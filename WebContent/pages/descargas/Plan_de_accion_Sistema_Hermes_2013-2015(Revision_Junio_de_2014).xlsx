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mc:AlternateContent xmlns:mc="http://schemas.openxmlformats.org/markup-compatibility/2006">
    <mc:Choice Requires="x15">
      <x15ac:absPath xmlns:x15ac="http://schemas.microsoft.com/office/spreadsheetml/2010/11/ac" url="C:\Users\USUARIO\Documents\Vicerrectoria de Inv\Sistema Hermes\"/>
    </mc:Choice>
  </mc:AlternateContent>
  <bookViews>
    <workbookView xWindow="0" yWindow="0" windowWidth="25200" windowHeight="12135" firstSheet="7" activeTab="7"/>
  </bookViews>
  <sheets>
    <sheet name="Formato metas " sheetId="2" r:id="rId1"/>
    <sheet name="hermes" sheetId="3" r:id="rId2"/>
    <sheet name="1.4" sheetId="4" r:id="rId3"/>
    <sheet name="Por año" sheetId="7" state="hidden" r:id="rId4"/>
    <sheet name="Matriz de seguimiento" sheetId="8" r:id="rId5"/>
    <sheet name="PRES 1" sheetId="9" r:id="rId6"/>
    <sheet name="PRES 2" sheetId="10" r:id="rId7"/>
    <sheet name="MATRIZ PLAN DE ACCIÓN HERMES" sheetId="16" r:id="rId8"/>
    <sheet name="MATRIZ DETALLADA PLAN DE ACCIÓN" sheetId="15" r:id="rId9"/>
  </sheets>
  <definedNames>
    <definedName name="_xlnm._FilterDatabase" localSheetId="0" hidden="1">'Formato metas '!$A$6:$AX$8</definedName>
    <definedName name="_xlnm._FilterDatabase" localSheetId="5" hidden="1">'PRES 1'!$A$8:$J$63</definedName>
    <definedName name="_xlnm.Print_Area" localSheetId="0">'Formato metas '!$A$1:$BO$238</definedName>
    <definedName name="OLE_LINK1" localSheetId="0">'Formato metas '!#REF!</definedName>
    <definedName name="_xlnm.Print_Titles" localSheetId="0">'Formato metas '!$6:$8</definedName>
    <definedName name="_xlnm.Print_Titles" localSheetId="8">'MATRIZ DETALLADA PLAN DE ACCIÓN'!$6:$8</definedName>
  </definedNames>
  <calcPr calcId="152511"/>
  <fileRecoveryPr autoRecover="0"/>
</workbook>
</file>

<file path=xl/calcChain.xml><?xml version="1.0" encoding="utf-8"?>
<calcChain xmlns="http://schemas.openxmlformats.org/spreadsheetml/2006/main">
  <c r="CV46" i="8" l="1"/>
  <c r="CW46" i="8" s="1"/>
  <c r="CV50" i="8"/>
  <c r="CW50" i="8"/>
  <c r="CV54" i="8"/>
  <c r="CW54" i="8" s="1"/>
  <c r="CV57" i="8"/>
  <c r="CW57" i="8" s="1"/>
  <c r="CV61" i="8"/>
  <c r="CW61" i="8" s="1"/>
  <c r="CW79" i="8" s="1"/>
  <c r="CV65" i="8"/>
  <c r="CW65" i="8" s="1"/>
  <c r="CV69" i="8"/>
  <c r="CW69" i="8" s="1"/>
  <c r="CV73" i="8"/>
  <c r="CW73" i="8" s="1"/>
  <c r="CV75" i="8"/>
  <c r="CW75" i="8" s="1"/>
  <c r="CV78" i="8"/>
  <c r="CW78" i="8"/>
  <c r="AO229" i="8"/>
  <c r="AP161" i="8"/>
  <c r="AQ157" i="8"/>
  <c r="AQ169" i="8"/>
  <c r="AQ173" i="8"/>
  <c r="AQ175" i="8"/>
  <c r="AR180" i="8"/>
  <c r="AS161" i="8"/>
  <c r="AT157" i="8"/>
  <c r="AT169" i="8"/>
  <c r="AT173" i="8"/>
  <c r="AT175" i="8"/>
  <c r="AO180" i="8"/>
  <c r="AP156" i="8"/>
  <c r="AQ126" i="8"/>
  <c r="AQ132" i="8"/>
  <c r="AQ135" i="8"/>
  <c r="AQ141" i="8"/>
  <c r="AQ144" i="8"/>
  <c r="AQ147" i="8"/>
  <c r="AQ150" i="8"/>
  <c r="AQ153" i="8"/>
  <c r="AR156" i="8"/>
  <c r="AS132" i="8"/>
  <c r="AT132" i="8" s="1"/>
  <c r="AS135" i="8"/>
  <c r="AT135" i="8" s="1"/>
  <c r="AS144" i="8"/>
  <c r="AT144" i="8" s="1"/>
  <c r="AS153" i="8"/>
  <c r="AT153" i="8" s="1"/>
  <c r="AT126" i="8"/>
  <c r="AT141" i="8"/>
  <c r="AT147" i="8"/>
  <c r="AT150" i="8"/>
  <c r="AO156" i="8"/>
  <c r="AP80" i="8"/>
  <c r="AP87" i="8"/>
  <c r="AP118" i="8"/>
  <c r="AQ118" i="8" s="1"/>
  <c r="AP125" i="8"/>
  <c r="AO80" i="8"/>
  <c r="AO84" i="8"/>
  <c r="AQ84" i="8"/>
  <c r="AO87" i="8"/>
  <c r="AQ87" i="8"/>
  <c r="AO90" i="8"/>
  <c r="AQ90" i="8"/>
  <c r="AO94" i="8"/>
  <c r="AQ94" i="8" s="1"/>
  <c r="AO99" i="8"/>
  <c r="AQ99" i="8"/>
  <c r="AO103" i="8"/>
  <c r="AQ103" i="8"/>
  <c r="AO109" i="8"/>
  <c r="AQ109" i="8"/>
  <c r="AO113" i="8"/>
  <c r="AQ113" i="8" s="1"/>
  <c r="AO116" i="8"/>
  <c r="AQ116" i="8"/>
  <c r="AO118" i="8"/>
  <c r="AO121" i="8"/>
  <c r="AQ121" i="8"/>
  <c r="AR80" i="8"/>
  <c r="AR84" i="8"/>
  <c r="AT84" i="8" s="1"/>
  <c r="AR87" i="8"/>
  <c r="AR90" i="8"/>
  <c r="AT90" i="8" s="1"/>
  <c r="AR94" i="8"/>
  <c r="AR99" i="8"/>
  <c r="AT99" i="8" s="1"/>
  <c r="AR103" i="8"/>
  <c r="AS103" i="8"/>
  <c r="AR109" i="8"/>
  <c r="AT109" i="8" s="1"/>
  <c r="AR113" i="8"/>
  <c r="AR116" i="8"/>
  <c r="AT116" i="8" s="1"/>
  <c r="AR118" i="8"/>
  <c r="AS118" i="8"/>
  <c r="AT118" i="8" s="1"/>
  <c r="AR121" i="8"/>
  <c r="AT121" i="8" s="1"/>
  <c r="AS80" i="8"/>
  <c r="AS87" i="8"/>
  <c r="AT87" i="8" s="1"/>
  <c r="AT94" i="8"/>
  <c r="AT113" i="8"/>
  <c r="AP69" i="8"/>
  <c r="AP78" i="8"/>
  <c r="AQ78" i="8"/>
  <c r="AP79" i="8"/>
  <c r="AQ46" i="8"/>
  <c r="AQ50" i="8"/>
  <c r="AQ54" i="8"/>
  <c r="AQ57" i="8"/>
  <c r="AO61" i="8"/>
  <c r="AQ61" i="8" s="1"/>
  <c r="AO79" i="8"/>
  <c r="AQ69" i="8"/>
  <c r="AQ73" i="8"/>
  <c r="AQ75" i="8"/>
  <c r="AR61" i="8"/>
  <c r="AS46" i="8"/>
  <c r="AS79" i="8" s="1"/>
  <c r="AS57" i="8"/>
  <c r="AT57" i="8" s="1"/>
  <c r="AS61" i="8"/>
  <c r="AS69" i="8"/>
  <c r="AT69" i="8" s="1"/>
  <c r="AS75" i="8"/>
  <c r="AT75" i="8" s="1"/>
  <c r="AS78" i="8"/>
  <c r="AT78" i="8" s="1"/>
  <c r="AT50" i="8"/>
  <c r="AT54" i="8"/>
  <c r="AT73" i="8"/>
  <c r="AP31" i="8"/>
  <c r="AQ9" i="8"/>
  <c r="AQ13" i="8"/>
  <c r="AQ26" i="8"/>
  <c r="AQ42" i="8"/>
  <c r="AR45" i="8"/>
  <c r="AS13" i="8"/>
  <c r="AS31" i="8"/>
  <c r="AT31" i="8" s="1"/>
  <c r="AS45" i="8"/>
  <c r="AT9" i="8"/>
  <c r="AT26" i="8"/>
  <c r="AT42" i="8"/>
  <c r="AO45" i="8"/>
  <c r="AS203" i="8"/>
  <c r="AT203" i="8" s="1"/>
  <c r="AT181" i="8"/>
  <c r="AT184" i="8"/>
  <c r="AT187" i="8"/>
  <c r="AT190" i="8"/>
  <c r="AT198" i="8"/>
  <c r="AT201" i="8"/>
  <c r="AT207" i="8"/>
  <c r="AT211" i="8"/>
  <c r="AT215" i="8"/>
  <c r="AT218" i="8"/>
  <c r="AT222" i="8"/>
  <c r="AT225" i="8"/>
  <c r="AS229" i="8"/>
  <c r="AR229" i="8"/>
  <c r="AW181" i="8"/>
  <c r="AW184" i="8"/>
  <c r="AW187" i="8"/>
  <c r="AW190" i="8"/>
  <c r="AW198" i="8"/>
  <c r="AW201" i="8"/>
  <c r="AW203" i="8"/>
  <c r="AW207" i="8"/>
  <c r="AW211" i="8"/>
  <c r="AW215" i="8"/>
  <c r="AW218" i="8"/>
  <c r="AW222" i="8"/>
  <c r="AW225" i="8"/>
  <c r="AV229" i="8"/>
  <c r="AU229" i="8"/>
  <c r="AU180" i="8"/>
  <c r="AV180" i="8"/>
  <c r="AW180" i="8"/>
  <c r="AW175" i="8"/>
  <c r="AW173" i="8"/>
  <c r="AW169" i="8"/>
  <c r="AW161" i="8"/>
  <c r="AW157" i="8"/>
  <c r="AW126" i="8"/>
  <c r="AW156" i="8" s="1"/>
  <c r="AV156" i="8"/>
  <c r="AU156" i="8"/>
  <c r="AW153" i="8"/>
  <c r="AW150" i="8"/>
  <c r="AW147" i="8"/>
  <c r="AW144" i="8"/>
  <c r="AW141" i="8"/>
  <c r="AW135" i="8"/>
  <c r="AW132" i="8"/>
  <c r="AU121" i="8"/>
  <c r="AW121" i="8"/>
  <c r="AU118" i="8"/>
  <c r="AV118" i="8"/>
  <c r="AU116" i="8"/>
  <c r="AW116" i="8" s="1"/>
  <c r="AU113" i="8"/>
  <c r="AW113" i="8" s="1"/>
  <c r="AU109" i="8"/>
  <c r="AW109" i="8" s="1"/>
  <c r="AU103" i="8"/>
  <c r="AW103" i="8"/>
  <c r="AU99" i="8"/>
  <c r="AW99" i="8" s="1"/>
  <c r="AU94" i="8"/>
  <c r="AW94" i="8" s="1"/>
  <c r="AU90" i="8"/>
  <c r="AW90" i="8" s="1"/>
  <c r="AU87" i="8"/>
  <c r="AV87" i="8"/>
  <c r="AU84" i="8"/>
  <c r="AW84" i="8"/>
  <c r="AU80" i="8"/>
  <c r="AV80" i="8"/>
  <c r="AW46" i="8"/>
  <c r="AW50" i="8"/>
  <c r="AW54" i="8"/>
  <c r="AW57" i="8"/>
  <c r="AU61" i="8"/>
  <c r="AV69" i="8"/>
  <c r="AW69" i="8" s="1"/>
  <c r="AW73" i="8"/>
  <c r="AW75" i="8"/>
  <c r="AV78" i="8"/>
  <c r="AW9" i="8"/>
  <c r="AW13" i="8"/>
  <c r="AW26" i="8"/>
  <c r="AV31" i="8"/>
  <c r="AW42" i="8"/>
  <c r="AU45" i="8"/>
  <c r="AQ225" i="8"/>
  <c r="AQ222" i="8"/>
  <c r="AQ218" i="8"/>
  <c r="AQ215" i="8"/>
  <c r="AQ211" i="8"/>
  <c r="AQ207" i="8"/>
  <c r="AQ203" i="8"/>
  <c r="AQ201" i="8"/>
  <c r="AQ198" i="8"/>
  <c r="AQ190" i="8"/>
  <c r="AQ181" i="8"/>
  <c r="AQ184" i="8"/>
  <c r="AQ187" i="8"/>
  <c r="AP229" i="8"/>
  <c r="E229" i="8"/>
  <c r="H55" i="9"/>
  <c r="E180" i="8"/>
  <c r="G79" i="8"/>
  <c r="F79" i="8"/>
  <c r="E79" i="8"/>
  <c r="DE229" i="8"/>
  <c r="DE230" i="8" s="1"/>
  <c r="DA181" i="8"/>
  <c r="DB181" i="8"/>
  <c r="CV181" i="8"/>
  <c r="CP181" i="8"/>
  <c r="CQ181" i="8" s="1"/>
  <c r="CH181" i="8"/>
  <c r="CI181" i="8" s="1"/>
  <c r="DA184" i="8"/>
  <c r="DB184" i="8" s="1"/>
  <c r="CV184" i="8"/>
  <c r="CW184" i="8" s="1"/>
  <c r="CP184" i="8"/>
  <c r="CH184" i="8"/>
  <c r="CI184" i="8" s="1"/>
  <c r="DA187" i="8"/>
  <c r="CV187" i="8"/>
  <c r="CW187" i="8" s="1"/>
  <c r="CP187" i="8"/>
  <c r="CQ187" i="8" s="1"/>
  <c r="CH187" i="8"/>
  <c r="CI187" i="8" s="1"/>
  <c r="DA190" i="8"/>
  <c r="DB190" i="8" s="1"/>
  <c r="DD190" i="8" s="1"/>
  <c r="CV190" i="8"/>
  <c r="CW190" i="8"/>
  <c r="CP190" i="8"/>
  <c r="CQ190" i="8"/>
  <c r="CH190" i="8"/>
  <c r="CI190" i="8" s="1"/>
  <c r="DA198" i="8"/>
  <c r="DB198" i="8" s="1"/>
  <c r="CV198" i="8"/>
  <c r="CW198" i="8" s="1"/>
  <c r="CP198" i="8"/>
  <c r="CQ198" i="8" s="1"/>
  <c r="CH198" i="8"/>
  <c r="CI198" i="8" s="1"/>
  <c r="DA201" i="8"/>
  <c r="DB201" i="8" s="1"/>
  <c r="CV201" i="8"/>
  <c r="CW201" i="8"/>
  <c r="CP201" i="8"/>
  <c r="CQ201" i="8"/>
  <c r="CH201" i="8"/>
  <c r="BV201" i="8"/>
  <c r="BV229" i="8" s="1"/>
  <c r="BV230" i="8" s="1"/>
  <c r="DA203" i="8"/>
  <c r="DB203" i="8" s="1"/>
  <c r="CV203" i="8"/>
  <c r="CW203" i="8"/>
  <c r="CP203" i="8"/>
  <c r="CQ203" i="8"/>
  <c r="CH203" i="8"/>
  <c r="CI203" i="8"/>
  <c r="DA207" i="8"/>
  <c r="DB207" i="8" s="1"/>
  <c r="CV207" i="8"/>
  <c r="CW207" i="8"/>
  <c r="CP207" i="8"/>
  <c r="CQ207" i="8"/>
  <c r="CH207" i="8"/>
  <c r="CI207" i="8"/>
  <c r="DA211" i="8"/>
  <c r="DB211" i="8" s="1"/>
  <c r="CV211" i="8"/>
  <c r="CW211" i="8"/>
  <c r="CP211" i="8"/>
  <c r="CQ211" i="8" s="1"/>
  <c r="CH211" i="8"/>
  <c r="CI211" i="8"/>
  <c r="DA215" i="8"/>
  <c r="DB215" i="8" s="1"/>
  <c r="CV215" i="8"/>
  <c r="CW215" i="8" s="1"/>
  <c r="CP215" i="8"/>
  <c r="CQ215" i="8" s="1"/>
  <c r="CH215" i="8"/>
  <c r="CI215" i="8" s="1"/>
  <c r="DA157" i="8"/>
  <c r="DB157" i="8" s="1"/>
  <c r="DB180" i="8" s="1"/>
  <c r="CV157" i="8"/>
  <c r="CW157" i="8" s="1"/>
  <c r="CP157" i="8"/>
  <c r="CP180" i="8" s="1"/>
  <c r="CQ157" i="8"/>
  <c r="CQ180" i="8" s="1"/>
  <c r="CH157" i="8"/>
  <c r="CI157" i="8" s="1"/>
  <c r="CV169" i="8"/>
  <c r="CW169" i="8" s="1"/>
  <c r="CV173" i="8"/>
  <c r="CW173" i="8"/>
  <c r="CV176" i="8"/>
  <c r="CW176" i="8"/>
  <c r="CW180" i="8"/>
  <c r="DA169" i="8"/>
  <c r="DB169" i="8"/>
  <c r="CP169" i="8"/>
  <c r="CQ169" i="8" s="1"/>
  <c r="CH169" i="8"/>
  <c r="CI169" i="8"/>
  <c r="DA173" i="8"/>
  <c r="DB173" i="8"/>
  <c r="CP173" i="8"/>
  <c r="CQ173" i="8" s="1"/>
  <c r="CH173" i="8"/>
  <c r="CI173" i="8" s="1"/>
  <c r="DA176" i="8"/>
  <c r="DB176" i="8" s="1"/>
  <c r="CP176" i="8"/>
  <c r="CQ176" i="8" s="1"/>
  <c r="CH176" i="8"/>
  <c r="CI176" i="8" s="1"/>
  <c r="DA126" i="8"/>
  <c r="DB126" i="8" s="1"/>
  <c r="DA130" i="8"/>
  <c r="DB130" i="8"/>
  <c r="DA132" i="8"/>
  <c r="DA135" i="8"/>
  <c r="DB135" i="8" s="1"/>
  <c r="DA141" i="8"/>
  <c r="DB141" i="8" s="1"/>
  <c r="DA150" i="8"/>
  <c r="DB150" i="8" s="1"/>
  <c r="DD150" i="8" s="1"/>
  <c r="CV126" i="8"/>
  <c r="CV130" i="8"/>
  <c r="CW130" i="8" s="1"/>
  <c r="CV132" i="8"/>
  <c r="CW132" i="8"/>
  <c r="CV135" i="8"/>
  <c r="CW135" i="8"/>
  <c r="CV141" i="8"/>
  <c r="CW141" i="8" s="1"/>
  <c r="CV150" i="8"/>
  <c r="CW150" i="8" s="1"/>
  <c r="CP126" i="8"/>
  <c r="CQ126" i="8"/>
  <c r="CH126" i="8"/>
  <c r="CI126" i="8" s="1"/>
  <c r="DC126" i="8"/>
  <c r="DC156" i="8" s="1"/>
  <c r="DC230" i="8" s="1"/>
  <c r="CP130" i="8"/>
  <c r="CQ130" i="8" s="1"/>
  <c r="CH130" i="8"/>
  <c r="CI130" i="8"/>
  <c r="CP132" i="8"/>
  <c r="CQ132" i="8" s="1"/>
  <c r="CH132" i="8"/>
  <c r="CI132" i="8" s="1"/>
  <c r="CP135" i="8"/>
  <c r="CQ135" i="8" s="1"/>
  <c r="CH135" i="8"/>
  <c r="CI135" i="8" s="1"/>
  <c r="CP141" i="8"/>
  <c r="CQ141" i="8" s="1"/>
  <c r="CI141" i="8"/>
  <c r="CP150" i="8"/>
  <c r="CQ150" i="8" s="1"/>
  <c r="CH150" i="8"/>
  <c r="CI150" i="8" s="1"/>
  <c r="DA80" i="8"/>
  <c r="DB80" i="8" s="1"/>
  <c r="CV80" i="8"/>
  <c r="CP80" i="8"/>
  <c r="CQ80" i="8"/>
  <c r="CH80" i="8"/>
  <c r="CI80" i="8" s="1"/>
  <c r="DA84" i="8"/>
  <c r="DB84" i="8"/>
  <c r="CV84" i="8"/>
  <c r="CW84" i="8"/>
  <c r="CP84" i="8"/>
  <c r="CQ84" i="8"/>
  <c r="DD84" i="8" s="1"/>
  <c r="CH84" i="8"/>
  <c r="CI84" i="8" s="1"/>
  <c r="DA87" i="8"/>
  <c r="CV87" i="8"/>
  <c r="CW87" i="8" s="1"/>
  <c r="CP87" i="8"/>
  <c r="CQ87" i="8" s="1"/>
  <c r="CH87" i="8"/>
  <c r="CI87" i="8" s="1"/>
  <c r="DA90" i="8"/>
  <c r="DB90" i="8" s="1"/>
  <c r="CV90" i="8"/>
  <c r="CW90" i="8" s="1"/>
  <c r="CP90" i="8"/>
  <c r="CH90" i="8"/>
  <c r="CI90" i="8" s="1"/>
  <c r="DA94" i="8"/>
  <c r="DB94" i="8" s="1"/>
  <c r="CV94" i="8"/>
  <c r="CW94" i="8" s="1"/>
  <c r="CP94" i="8"/>
  <c r="CQ94" i="8"/>
  <c r="CH94" i="8"/>
  <c r="CI94" i="8" s="1"/>
  <c r="DA99" i="8"/>
  <c r="DB99" i="8"/>
  <c r="CV99" i="8"/>
  <c r="CW99" i="8" s="1"/>
  <c r="CP99" i="8"/>
  <c r="CQ99" i="8"/>
  <c r="CH99" i="8"/>
  <c r="CI99" i="8"/>
  <c r="DA103" i="8"/>
  <c r="DB103" i="8"/>
  <c r="CV103" i="8"/>
  <c r="CW103" i="8" s="1"/>
  <c r="CP103" i="8"/>
  <c r="CH103" i="8"/>
  <c r="CI103" i="8" s="1"/>
  <c r="DA106" i="8"/>
  <c r="DB106" i="8" s="1"/>
  <c r="CV106" i="8"/>
  <c r="CW106" i="8" s="1"/>
  <c r="CP106" i="8"/>
  <c r="CQ106" i="8"/>
  <c r="CH106" i="8"/>
  <c r="CI106" i="8"/>
  <c r="DD106" i="8" s="1"/>
  <c r="DA107" i="8"/>
  <c r="DB107" i="8" s="1"/>
  <c r="CV107" i="8"/>
  <c r="CW107" i="8" s="1"/>
  <c r="CP107" i="8"/>
  <c r="CQ107" i="8" s="1"/>
  <c r="CH107" i="8"/>
  <c r="CI107" i="8"/>
  <c r="DA108" i="8"/>
  <c r="DB108" i="8" s="1"/>
  <c r="CV108" i="8"/>
  <c r="CW108" i="8" s="1"/>
  <c r="CP108" i="8"/>
  <c r="CQ108" i="8" s="1"/>
  <c r="CH108" i="8"/>
  <c r="CI108" i="8" s="1"/>
  <c r="DA109" i="8"/>
  <c r="DB109" i="8" s="1"/>
  <c r="CV109" i="8"/>
  <c r="CP109" i="8"/>
  <c r="CQ109" i="8"/>
  <c r="CH109" i="8"/>
  <c r="CI109" i="8" s="1"/>
  <c r="DA113" i="8"/>
  <c r="DB113" i="8"/>
  <c r="CV113" i="8"/>
  <c r="CW113" i="8" s="1"/>
  <c r="CP113" i="8"/>
  <c r="CQ113" i="8"/>
  <c r="CH113" i="8"/>
  <c r="CI113" i="8" s="1"/>
  <c r="DA116" i="8"/>
  <c r="DB116" i="8" s="1"/>
  <c r="DD116" i="8" s="1"/>
  <c r="CV116" i="8"/>
  <c r="CW116" i="8" s="1"/>
  <c r="CP116" i="8"/>
  <c r="CQ116" i="8" s="1"/>
  <c r="CH116" i="8"/>
  <c r="CI116" i="8" s="1"/>
  <c r="DA118" i="8"/>
  <c r="DB118" i="8" s="1"/>
  <c r="CV118" i="8"/>
  <c r="CW118" i="8"/>
  <c r="CP118" i="8"/>
  <c r="CQ118" i="8" s="1"/>
  <c r="CH118" i="8"/>
  <c r="CI118" i="8" s="1"/>
  <c r="DA121" i="8"/>
  <c r="DB121" i="8" s="1"/>
  <c r="CV121" i="8"/>
  <c r="CW121" i="8"/>
  <c r="CP121" i="8"/>
  <c r="CQ121" i="8"/>
  <c r="CH121" i="8"/>
  <c r="CI121" i="8" s="1"/>
  <c r="DA46" i="8"/>
  <c r="DB46" i="8" s="1"/>
  <c r="CP46" i="8"/>
  <c r="CQ46" i="8" s="1"/>
  <c r="CH46" i="8"/>
  <c r="CI46" i="8" s="1"/>
  <c r="DA50" i="8"/>
  <c r="DB50" i="8"/>
  <c r="CP50" i="8"/>
  <c r="CQ50" i="8" s="1"/>
  <c r="CH50" i="8"/>
  <c r="CI50" i="8"/>
  <c r="CH54" i="8"/>
  <c r="CI54" i="8" s="1"/>
  <c r="CH57" i="8"/>
  <c r="CI57" i="8"/>
  <c r="CH61" i="8"/>
  <c r="CI61" i="8" s="1"/>
  <c r="CH65" i="8"/>
  <c r="CI65" i="8"/>
  <c r="CI79" i="8" s="1"/>
  <c r="CH69" i="8"/>
  <c r="CI69" i="8" s="1"/>
  <c r="CH73" i="8"/>
  <c r="CI73" i="8" s="1"/>
  <c r="CH75" i="8"/>
  <c r="CI75" i="8" s="1"/>
  <c r="CH78" i="8"/>
  <c r="CI78" i="8"/>
  <c r="DA54" i="8"/>
  <c r="DB54" i="8" s="1"/>
  <c r="CP54" i="8"/>
  <c r="CQ54" i="8" s="1"/>
  <c r="DA57" i="8"/>
  <c r="DB57" i="8" s="1"/>
  <c r="CP57" i="8"/>
  <c r="CQ57" i="8"/>
  <c r="DA61" i="8"/>
  <c r="DB61" i="8" s="1"/>
  <c r="CP61" i="8"/>
  <c r="CQ61" i="8" s="1"/>
  <c r="DA65" i="8"/>
  <c r="DB65" i="8" s="1"/>
  <c r="CP65" i="8"/>
  <c r="CQ65" i="8" s="1"/>
  <c r="DA69" i="8"/>
  <c r="CP69" i="8"/>
  <c r="CQ69" i="8" s="1"/>
  <c r="DA73" i="8"/>
  <c r="DB73" i="8"/>
  <c r="CP73" i="8"/>
  <c r="CQ73" i="8" s="1"/>
  <c r="DA75" i="8"/>
  <c r="DB75" i="8" s="1"/>
  <c r="CP75" i="8"/>
  <c r="CQ75" i="8" s="1"/>
  <c r="DD75" i="8" s="1"/>
  <c r="DA78" i="8"/>
  <c r="DB78" i="8"/>
  <c r="CP78" i="8"/>
  <c r="CQ78" i="8" s="1"/>
  <c r="DA9" i="8"/>
  <c r="DB9" i="8"/>
  <c r="CV9" i="8"/>
  <c r="CW9" i="8"/>
  <c r="CP9" i="8"/>
  <c r="CQ9" i="8" s="1"/>
  <c r="CH9" i="8"/>
  <c r="DA13" i="8"/>
  <c r="CV13" i="8"/>
  <c r="CP13" i="8"/>
  <c r="CQ13" i="8" s="1"/>
  <c r="CH13" i="8"/>
  <c r="CI13" i="8"/>
  <c r="DA19" i="8"/>
  <c r="DB19" i="8" s="1"/>
  <c r="CV19" i="8"/>
  <c r="CW19" i="8" s="1"/>
  <c r="CP19" i="8"/>
  <c r="CQ19" i="8" s="1"/>
  <c r="CH19" i="8"/>
  <c r="CI19" i="8" s="1"/>
  <c r="DA22" i="8"/>
  <c r="DB22" i="8" s="1"/>
  <c r="CV22" i="8"/>
  <c r="CW22" i="8"/>
  <c r="CP22" i="8"/>
  <c r="CQ22" i="8" s="1"/>
  <c r="CH22" i="8"/>
  <c r="CI22" i="8"/>
  <c r="DA24" i="8"/>
  <c r="DB24" i="8" s="1"/>
  <c r="CV24" i="8"/>
  <c r="CP24" i="8"/>
  <c r="CQ24" i="8" s="1"/>
  <c r="CH24" i="8"/>
  <c r="CI24" i="8" s="1"/>
  <c r="DA26" i="8"/>
  <c r="DB26" i="8" s="1"/>
  <c r="CV26" i="8"/>
  <c r="CW26" i="8"/>
  <c r="CP26" i="8"/>
  <c r="CQ26" i="8" s="1"/>
  <c r="CH26" i="8"/>
  <c r="CI26" i="8" s="1"/>
  <c r="DA31" i="8"/>
  <c r="DB31" i="8" s="1"/>
  <c r="CV31" i="8"/>
  <c r="CW31" i="8" s="1"/>
  <c r="CP31" i="8"/>
  <c r="CQ31" i="8"/>
  <c r="CH31" i="8"/>
  <c r="CI31" i="8" s="1"/>
  <c r="DA33" i="8"/>
  <c r="DB33" i="8" s="1"/>
  <c r="CV33" i="8"/>
  <c r="CW33" i="8"/>
  <c r="CP33" i="8"/>
  <c r="CQ33" i="8" s="1"/>
  <c r="DD33" i="8" s="1"/>
  <c r="CH33" i="8"/>
  <c r="BV33" i="8"/>
  <c r="CI33" i="8"/>
  <c r="DA36" i="8"/>
  <c r="DB36" i="8" s="1"/>
  <c r="CV36" i="8"/>
  <c r="CW36" i="8"/>
  <c r="CP36" i="8"/>
  <c r="CQ36" i="8" s="1"/>
  <c r="CH36" i="8"/>
  <c r="CI36" i="8" s="1"/>
  <c r="DA40" i="8"/>
  <c r="DB40" i="8"/>
  <c r="CV40" i="8"/>
  <c r="CW40" i="8"/>
  <c r="CP40" i="8"/>
  <c r="CQ40" i="8" s="1"/>
  <c r="CH40" i="8"/>
  <c r="CI40" i="8" s="1"/>
  <c r="DC229" i="8"/>
  <c r="DC180" i="8"/>
  <c r="DC125" i="8"/>
  <c r="DC79" i="8"/>
  <c r="DC45" i="8"/>
  <c r="CZ229" i="8"/>
  <c r="CZ180" i="8"/>
  <c r="CZ156" i="8"/>
  <c r="CZ230" i="8" s="1"/>
  <c r="CZ125" i="8"/>
  <c r="CZ79" i="8"/>
  <c r="CZ45" i="8"/>
  <c r="CY229" i="8"/>
  <c r="CY180" i="8"/>
  <c r="CY156" i="8"/>
  <c r="CY125" i="8"/>
  <c r="CY79" i="8"/>
  <c r="CY45" i="8"/>
  <c r="CX229" i="8"/>
  <c r="CX180" i="8"/>
  <c r="CX156" i="8"/>
  <c r="CX125" i="8"/>
  <c r="CX79" i="8"/>
  <c r="CX45" i="8"/>
  <c r="CU229" i="8"/>
  <c r="CU230" i="8" s="1"/>
  <c r="CU180" i="8"/>
  <c r="CU156" i="8"/>
  <c r="CU125" i="8"/>
  <c r="CU79" i="8"/>
  <c r="CU45" i="8"/>
  <c r="CT229" i="8"/>
  <c r="CT180" i="8"/>
  <c r="CT156" i="8"/>
  <c r="CT125" i="8"/>
  <c r="CT79" i="8"/>
  <c r="CT45" i="8"/>
  <c r="CS229" i="8"/>
  <c r="CS180" i="8"/>
  <c r="CS156" i="8"/>
  <c r="CS125" i="8"/>
  <c r="CS79" i="8"/>
  <c r="CS45" i="8"/>
  <c r="CR229" i="8"/>
  <c r="CR180" i="8"/>
  <c r="CR156" i="8"/>
  <c r="CR125" i="8"/>
  <c r="CR79" i="8"/>
  <c r="CR45" i="8"/>
  <c r="CO229" i="8"/>
  <c r="CO230" i="8" s="1"/>
  <c r="CO180" i="8"/>
  <c r="CO156" i="8"/>
  <c r="CO125" i="8"/>
  <c r="CO79" i="8"/>
  <c r="CO45" i="8"/>
  <c r="CN229" i="8"/>
  <c r="CN180" i="8"/>
  <c r="CN156" i="8"/>
  <c r="CN125" i="8"/>
  <c r="CN79" i="8"/>
  <c r="CN45" i="8"/>
  <c r="CM229" i="8"/>
  <c r="CM180" i="8"/>
  <c r="CM156" i="8"/>
  <c r="CM125" i="8"/>
  <c r="CM79" i="8"/>
  <c r="CM45" i="8"/>
  <c r="CL229" i="8"/>
  <c r="CL180" i="8"/>
  <c r="CL156" i="8"/>
  <c r="CL125" i="8"/>
  <c r="CL79" i="8"/>
  <c r="CL45" i="8"/>
  <c r="CK229" i="8"/>
  <c r="CK180" i="8"/>
  <c r="CK156" i="8"/>
  <c r="CK125" i="8"/>
  <c r="CK79" i="8"/>
  <c r="CK45" i="8"/>
  <c r="CJ229" i="8"/>
  <c r="CJ180" i="8"/>
  <c r="CJ156" i="8"/>
  <c r="CJ125" i="8"/>
  <c r="CJ79" i="8"/>
  <c r="CJ45" i="8"/>
  <c r="BW180" i="8"/>
  <c r="BX180" i="8"/>
  <c r="BY180" i="8"/>
  <c r="BZ180" i="8"/>
  <c r="CA180" i="8"/>
  <c r="CB180" i="8"/>
  <c r="CC180" i="8"/>
  <c r="CD180" i="8"/>
  <c r="CE180" i="8"/>
  <c r="CF180" i="8"/>
  <c r="CG180" i="8"/>
  <c r="BV180" i="8"/>
  <c r="BW156" i="8"/>
  <c r="BX156" i="8"/>
  <c r="BY156" i="8"/>
  <c r="BZ156" i="8"/>
  <c r="CA156" i="8"/>
  <c r="CB156" i="8"/>
  <c r="CC156" i="8"/>
  <c r="CD156" i="8"/>
  <c r="CE156" i="8"/>
  <c r="CF156" i="8"/>
  <c r="CG156" i="8"/>
  <c r="BV156" i="8"/>
  <c r="BV125" i="8"/>
  <c r="BV45" i="8"/>
  <c r="BW79" i="8"/>
  <c r="BX79" i="8"/>
  <c r="BY79" i="8"/>
  <c r="BZ79" i="8"/>
  <c r="CA79" i="8"/>
  <c r="CB79" i="8"/>
  <c r="CC79" i="8"/>
  <c r="CD79" i="8"/>
  <c r="CE79" i="8"/>
  <c r="CF79" i="8"/>
  <c r="CG79" i="8"/>
  <c r="CG229" i="8"/>
  <c r="CG125" i="8"/>
  <c r="CG45" i="8"/>
  <c r="CF229" i="8"/>
  <c r="CF125" i="8"/>
  <c r="CF45" i="8"/>
  <c r="CE229" i="8"/>
  <c r="CE125" i="8"/>
  <c r="CE45" i="8"/>
  <c r="CD229" i="8"/>
  <c r="CD125" i="8"/>
  <c r="CD45" i="8"/>
  <c r="CC229" i="8"/>
  <c r="CC125" i="8"/>
  <c r="CC45" i="8"/>
  <c r="CB229" i="8"/>
  <c r="CB125" i="8"/>
  <c r="CB45" i="8"/>
  <c r="CA229" i="8"/>
  <c r="CA125" i="8"/>
  <c r="CA45" i="8"/>
  <c r="BZ229" i="8"/>
  <c r="BZ125" i="8"/>
  <c r="BZ230" i="8" s="1"/>
  <c r="BZ45" i="8"/>
  <c r="BY229" i="8"/>
  <c r="BY125" i="8"/>
  <c r="BY45" i="8"/>
  <c r="BX229" i="8"/>
  <c r="BX125" i="8"/>
  <c r="BX45" i="8"/>
  <c r="BW229" i="8"/>
  <c r="BW125" i="8"/>
  <c r="BW45" i="8"/>
  <c r="BV79" i="8"/>
  <c r="BS218" i="8"/>
  <c r="BT218" i="8"/>
  <c r="BU180" i="8"/>
  <c r="BU150" i="8"/>
  <c r="BU156" i="8"/>
  <c r="BS80" i="8"/>
  <c r="BS81" i="8"/>
  <c r="BS82" i="8"/>
  <c r="BS83" i="8"/>
  <c r="BS84" i="8"/>
  <c r="BS85" i="8"/>
  <c r="BU84" i="8" s="1"/>
  <c r="BS87" i="8"/>
  <c r="BS88" i="8"/>
  <c r="BU87" i="8" s="1"/>
  <c r="BS89" i="8"/>
  <c r="BM90" i="8"/>
  <c r="BS90" i="8" s="1"/>
  <c r="BS92" i="8"/>
  <c r="BS94" i="8"/>
  <c r="BS96" i="8"/>
  <c r="BS99" i="8"/>
  <c r="BS101" i="8"/>
  <c r="BS103" i="8"/>
  <c r="BS104" i="8"/>
  <c r="BS105" i="8"/>
  <c r="BS106" i="8"/>
  <c r="BU106" i="8" s="1"/>
  <c r="BS109" i="8"/>
  <c r="BS111" i="8"/>
  <c r="BS112" i="8"/>
  <c r="BS113" i="8"/>
  <c r="BS114" i="8"/>
  <c r="BS115" i="8"/>
  <c r="BU113" i="8" s="1"/>
  <c r="BO116" i="8"/>
  <c r="BS116" i="8" s="1"/>
  <c r="BU116" i="8" s="1"/>
  <c r="BM116" i="8"/>
  <c r="BS117" i="8"/>
  <c r="BS118" i="8"/>
  <c r="BU118" i="8" s="1"/>
  <c r="BS120" i="8"/>
  <c r="BS121" i="8"/>
  <c r="BS122" i="8"/>
  <c r="BS123" i="8"/>
  <c r="BS124" i="8"/>
  <c r="BS46" i="8"/>
  <c r="BT46" i="8"/>
  <c r="BS50" i="8"/>
  <c r="BT50" i="8"/>
  <c r="BS54" i="8"/>
  <c r="BT54" i="8"/>
  <c r="BS57" i="8"/>
  <c r="BT57" i="8"/>
  <c r="BU57" i="8" s="1"/>
  <c r="BS61" i="8"/>
  <c r="BT61" i="8"/>
  <c r="BU61" i="8"/>
  <c r="BS65" i="8"/>
  <c r="BT65" i="8"/>
  <c r="BU65" i="8" s="1"/>
  <c r="BT69" i="8"/>
  <c r="BT73" i="8"/>
  <c r="BT75" i="8"/>
  <c r="BS69" i="8"/>
  <c r="BS73" i="8"/>
  <c r="BS75" i="8"/>
  <c r="BU42" i="8"/>
  <c r="BU45" i="8" s="1"/>
  <c r="BM229" i="8"/>
  <c r="DA225" i="8"/>
  <c r="DB225" i="8"/>
  <c r="CV225" i="8"/>
  <c r="CW225" i="8" s="1"/>
  <c r="CP225" i="8"/>
  <c r="CQ225" i="8" s="1"/>
  <c r="CH225" i="8"/>
  <c r="CI225" i="8" s="1"/>
  <c r="BS225" i="8"/>
  <c r="BT225" i="8"/>
  <c r="BU225" i="8"/>
  <c r="DA222" i="8"/>
  <c r="DB222" i="8" s="1"/>
  <c r="DD222" i="8" s="1"/>
  <c r="CV222" i="8"/>
  <c r="CW222" i="8"/>
  <c r="CP222" i="8"/>
  <c r="CQ222" i="8"/>
  <c r="CH222" i="8"/>
  <c r="CI222" i="8"/>
  <c r="BS222" i="8"/>
  <c r="BT222" i="8"/>
  <c r="DA218" i="8"/>
  <c r="DB218" i="8" s="1"/>
  <c r="CV218" i="8"/>
  <c r="CW218" i="8" s="1"/>
  <c r="CP218" i="8"/>
  <c r="CQ218" i="8" s="1"/>
  <c r="CH218" i="8"/>
  <c r="CI218" i="8" s="1"/>
  <c r="DA153" i="8"/>
  <c r="DB153" i="8"/>
  <c r="CV153" i="8"/>
  <c r="CW153" i="8" s="1"/>
  <c r="CP153" i="8"/>
  <c r="CQ153" i="8" s="1"/>
  <c r="CH153" i="8"/>
  <c r="CI153" i="8" s="1"/>
  <c r="CH141" i="8"/>
  <c r="BR79" i="8"/>
  <c r="BQ79" i="8"/>
  <c r="BP79" i="8"/>
  <c r="BO79" i="8"/>
  <c r="BN79" i="8"/>
  <c r="BM79" i="8"/>
  <c r="O75" i="8"/>
  <c r="O73" i="8"/>
  <c r="O69" i="8"/>
  <c r="O57" i="8"/>
  <c r="O54" i="8"/>
  <c r="O50" i="8"/>
  <c r="O46" i="8"/>
  <c r="BM45" i="8"/>
  <c r="BO45" i="8"/>
  <c r="BQ45" i="8"/>
  <c r="DA42" i="8"/>
  <c r="DB42" i="8"/>
  <c r="CV42" i="8"/>
  <c r="CW42" i="8" s="1"/>
  <c r="CP42" i="8"/>
  <c r="CQ42" i="8"/>
  <c r="CH42" i="8"/>
  <c r="CI42" i="8" s="1"/>
  <c r="BS42" i="8"/>
  <c r="BS31" i="8"/>
  <c r="BS26" i="8"/>
  <c r="BS13" i="8"/>
  <c r="BS9" i="8"/>
  <c r="O9" i="8"/>
  <c r="AQ81" i="2"/>
  <c r="AR81" i="2"/>
  <c r="AP81" i="2"/>
  <c r="AS81" i="2"/>
  <c r="AU81" i="2"/>
  <c r="AV81" i="2"/>
  <c r="AW81" i="2"/>
  <c r="AX81" i="2"/>
  <c r="AT81" i="2"/>
  <c r="R77" i="2"/>
  <c r="R74" i="2"/>
  <c r="R70" i="2"/>
  <c r="R58" i="2"/>
  <c r="R55" i="2"/>
  <c r="R51" i="2"/>
  <c r="R47" i="2"/>
  <c r="R9" i="2"/>
  <c r="AY32" i="2"/>
  <c r="AS46" i="2"/>
  <c r="AU46" i="2"/>
  <c r="AW46" i="2"/>
  <c r="AY43" i="2"/>
  <c r="AY27" i="2"/>
  <c r="AY14" i="2"/>
  <c r="AY9" i="2"/>
  <c r="E14" i="3"/>
  <c r="F14" i="3"/>
  <c r="G14" i="3" s="1"/>
  <c r="AO243" i="2"/>
  <c r="AS238" i="2"/>
  <c r="AY227" i="2"/>
  <c r="AZ227" i="2"/>
  <c r="CB196" i="2"/>
  <c r="CC196" i="2" s="1"/>
  <c r="D2" i="4"/>
  <c r="D1" i="4"/>
  <c r="K18" i="3"/>
  <c r="K19" i="3" s="1"/>
  <c r="D2" i="3"/>
  <c r="D3" i="3"/>
  <c r="D4" i="3"/>
  <c r="D5" i="3"/>
  <c r="D6" i="3"/>
  <c r="H2" i="3"/>
  <c r="H3" i="3"/>
  <c r="H4" i="3"/>
  <c r="H5" i="3"/>
  <c r="H7" i="3" s="1"/>
  <c r="AY47" i="2"/>
  <c r="AZ47" i="2"/>
  <c r="AY51" i="2"/>
  <c r="BA51" i="2" s="1"/>
  <c r="AZ51" i="2"/>
  <c r="AY55" i="2"/>
  <c r="AZ55" i="2"/>
  <c r="AY58" i="2"/>
  <c r="AZ58" i="2"/>
  <c r="AY62" i="2"/>
  <c r="AZ62" i="2"/>
  <c r="BA62" i="2"/>
  <c r="AY66" i="2"/>
  <c r="AZ66" i="2"/>
  <c r="AY70" i="2"/>
  <c r="AZ70" i="2"/>
  <c r="AY74" i="2"/>
  <c r="AZ74" i="2"/>
  <c r="AY77" i="2"/>
  <c r="AZ77" i="2"/>
  <c r="BA43" i="2"/>
  <c r="BA46" i="2" s="1"/>
  <c r="CG234" i="2"/>
  <c r="CH234" i="2" s="1"/>
  <c r="CB234" i="2"/>
  <c r="CC234" i="2"/>
  <c r="BV234" i="2"/>
  <c r="BW234" i="2" s="1"/>
  <c r="BN234" i="2"/>
  <c r="BO234" i="2" s="1"/>
  <c r="AZ234" i="2"/>
  <c r="AY234" i="2"/>
  <c r="BA234" i="2" s="1"/>
  <c r="CG231" i="2"/>
  <c r="CH231" i="2" s="1"/>
  <c r="CB231" i="2"/>
  <c r="CC231" i="2" s="1"/>
  <c r="BV231" i="2"/>
  <c r="BW231" i="2" s="1"/>
  <c r="BN231" i="2"/>
  <c r="BO231" i="2"/>
  <c r="AZ231" i="2"/>
  <c r="AY231" i="2"/>
  <c r="BA231" i="2"/>
  <c r="CG227" i="2"/>
  <c r="CH227" i="2"/>
  <c r="CB227" i="2"/>
  <c r="CC227" i="2"/>
  <c r="BV227" i="2"/>
  <c r="BW227" i="2" s="1"/>
  <c r="BN227" i="2"/>
  <c r="BO227" i="2"/>
  <c r="CG158" i="2"/>
  <c r="CH158" i="2" s="1"/>
  <c r="CB158" i="2"/>
  <c r="CC158" i="2"/>
  <c r="BV158" i="2"/>
  <c r="BW158" i="2" s="1"/>
  <c r="BN158" i="2"/>
  <c r="BO158" i="2" s="1"/>
  <c r="CG43" i="2"/>
  <c r="CH43" i="2" s="1"/>
  <c r="CB43" i="2"/>
  <c r="CC43" i="2" s="1"/>
  <c r="BV43" i="2"/>
  <c r="BW43" i="2" s="1"/>
  <c r="BN43" i="2"/>
  <c r="BO43" i="2"/>
  <c r="CI128" i="2"/>
  <c r="CI161" i="2" s="1"/>
  <c r="CG207" i="2"/>
  <c r="CH207" i="2" s="1"/>
  <c r="CJ207" i="2" s="1"/>
  <c r="CI238" i="2"/>
  <c r="CI189" i="2"/>
  <c r="CI127" i="2"/>
  <c r="CI81" i="2"/>
  <c r="CI46" i="2"/>
  <c r="CG9" i="2"/>
  <c r="CB9" i="2"/>
  <c r="CC9" i="2"/>
  <c r="BV9" i="2"/>
  <c r="BW9" i="2"/>
  <c r="BN9" i="2"/>
  <c r="BO9" i="2" s="1"/>
  <c r="CG14" i="2"/>
  <c r="CH14" i="2" s="1"/>
  <c r="CB14" i="2"/>
  <c r="CC14" i="2"/>
  <c r="BV14" i="2"/>
  <c r="BW14" i="2" s="1"/>
  <c r="BN14" i="2"/>
  <c r="BO14" i="2"/>
  <c r="CG20" i="2"/>
  <c r="CH20" i="2" s="1"/>
  <c r="CB20" i="2"/>
  <c r="CC20" i="2"/>
  <c r="BV20" i="2"/>
  <c r="BW20" i="2" s="1"/>
  <c r="BV23" i="2"/>
  <c r="BW23" i="2"/>
  <c r="BV25" i="2"/>
  <c r="BV27" i="2"/>
  <c r="BW27" i="2"/>
  <c r="BV32" i="2"/>
  <c r="BW32" i="2"/>
  <c r="CJ32" i="2" s="1"/>
  <c r="BV34" i="2"/>
  <c r="BW34" i="2" s="1"/>
  <c r="BV37" i="2"/>
  <c r="BW37" i="2" s="1"/>
  <c r="BV41" i="2"/>
  <c r="BW41" i="2" s="1"/>
  <c r="BN20" i="2"/>
  <c r="BO20" i="2" s="1"/>
  <c r="CG23" i="2"/>
  <c r="CH23" i="2"/>
  <c r="CB23" i="2"/>
  <c r="CC23" i="2" s="1"/>
  <c r="BN23" i="2"/>
  <c r="BO23" i="2" s="1"/>
  <c r="CG25" i="2"/>
  <c r="CH25" i="2" s="1"/>
  <c r="CB25" i="2"/>
  <c r="CC25" i="2" s="1"/>
  <c r="BN25" i="2"/>
  <c r="BO25" i="2" s="1"/>
  <c r="CG27" i="2"/>
  <c r="CH27" i="2" s="1"/>
  <c r="CB27" i="2"/>
  <c r="CC27" i="2" s="1"/>
  <c r="BN27" i="2"/>
  <c r="BO27" i="2" s="1"/>
  <c r="CG32" i="2"/>
  <c r="CH32" i="2" s="1"/>
  <c r="CB32" i="2"/>
  <c r="CC32" i="2" s="1"/>
  <c r="BN32" i="2"/>
  <c r="BO32" i="2" s="1"/>
  <c r="CG34" i="2"/>
  <c r="CH34" i="2"/>
  <c r="CB34" i="2"/>
  <c r="CC34" i="2" s="1"/>
  <c r="BN34" i="2"/>
  <c r="BB34" i="2"/>
  <c r="BB46" i="2" s="1"/>
  <c r="CG37" i="2"/>
  <c r="CH37" i="2"/>
  <c r="CB37" i="2"/>
  <c r="BN37" i="2"/>
  <c r="CG41" i="2"/>
  <c r="CH41" i="2" s="1"/>
  <c r="CJ41" i="2" s="1"/>
  <c r="CB41" i="2"/>
  <c r="CC41" i="2" s="1"/>
  <c r="BN41" i="2"/>
  <c r="BO41" i="2" s="1"/>
  <c r="BA189" i="2"/>
  <c r="BA155" i="2"/>
  <c r="BA161" i="2"/>
  <c r="AY82" i="2"/>
  <c r="AY83" i="2"/>
  <c r="AY84" i="2"/>
  <c r="AY85" i="2"/>
  <c r="AY86" i="2"/>
  <c r="AY87" i="2"/>
  <c r="BA86" i="2" s="1"/>
  <c r="AY89" i="2"/>
  <c r="AY90" i="2"/>
  <c r="AY91" i="2"/>
  <c r="AS92" i="2"/>
  <c r="AY92" i="2"/>
  <c r="BA92" i="2" s="1"/>
  <c r="AY94" i="2"/>
  <c r="AY96" i="2"/>
  <c r="BA96" i="2" s="1"/>
  <c r="AY98" i="2"/>
  <c r="AY101" i="2"/>
  <c r="AY103" i="2"/>
  <c r="AY105" i="2"/>
  <c r="AY106" i="2"/>
  <c r="AY107" i="2"/>
  <c r="AY108" i="2"/>
  <c r="BA108" i="2" s="1"/>
  <c r="AY111" i="2"/>
  <c r="AY113" i="2"/>
  <c r="AY114" i="2"/>
  <c r="AY115" i="2"/>
  <c r="BA115" i="2" s="1"/>
  <c r="AY116" i="2"/>
  <c r="AY117" i="2"/>
  <c r="AU118" i="2"/>
  <c r="AS118" i="2"/>
  <c r="AY118" i="2" s="1"/>
  <c r="AY119" i="2"/>
  <c r="AY120" i="2"/>
  <c r="AY122" i="2"/>
  <c r="AY123" i="2"/>
  <c r="AY124" i="2"/>
  <c r="AY125" i="2"/>
  <c r="AY126" i="2"/>
  <c r="CG62" i="2"/>
  <c r="CH62" i="2" s="1"/>
  <c r="CB62" i="2"/>
  <c r="CC62" i="2"/>
  <c r="BV62" i="2"/>
  <c r="BW62" i="2" s="1"/>
  <c r="BN62" i="2"/>
  <c r="BO62" i="2"/>
  <c r="CG74" i="2"/>
  <c r="CH74" i="2" s="1"/>
  <c r="CB74" i="2"/>
  <c r="CC74" i="2"/>
  <c r="BV74" i="2"/>
  <c r="BW74" i="2" s="1"/>
  <c r="BN74" i="2"/>
  <c r="BO74" i="2"/>
  <c r="CG77" i="2"/>
  <c r="CH77" i="2" s="1"/>
  <c r="CB77" i="2"/>
  <c r="CC77" i="2"/>
  <c r="BV77" i="2"/>
  <c r="BW77" i="2"/>
  <c r="BN77" i="2"/>
  <c r="BO77" i="2" s="1"/>
  <c r="CG58" i="2"/>
  <c r="CH58" i="2" s="1"/>
  <c r="CB58" i="2"/>
  <c r="CC58" i="2" s="1"/>
  <c r="CJ58" i="2" s="1"/>
  <c r="BV58" i="2"/>
  <c r="BW58" i="2"/>
  <c r="BV47" i="2"/>
  <c r="BW47" i="2"/>
  <c r="BV51" i="2"/>
  <c r="BW51" i="2" s="1"/>
  <c r="BV55" i="2"/>
  <c r="BW55" i="2"/>
  <c r="BV66" i="2"/>
  <c r="BW66" i="2"/>
  <c r="BV70" i="2"/>
  <c r="BW70" i="2"/>
  <c r="BV80" i="2"/>
  <c r="BW80" i="2" s="1"/>
  <c r="BN58" i="2"/>
  <c r="BO58" i="2" s="1"/>
  <c r="CG66" i="2"/>
  <c r="CH66" i="2" s="1"/>
  <c r="CB66" i="2"/>
  <c r="BN66" i="2"/>
  <c r="BO66" i="2" s="1"/>
  <c r="CG70" i="2"/>
  <c r="CH70" i="2"/>
  <c r="CB70" i="2"/>
  <c r="CC70" i="2"/>
  <c r="BN70" i="2"/>
  <c r="BO70" i="2" s="1"/>
  <c r="BP46" i="2"/>
  <c r="BB127" i="2"/>
  <c r="CG220" i="2"/>
  <c r="CH220" i="2"/>
  <c r="CB220" i="2"/>
  <c r="CC220" i="2"/>
  <c r="BV220" i="2"/>
  <c r="BW220" i="2" s="1"/>
  <c r="BN220" i="2"/>
  <c r="BO220" i="2"/>
  <c r="CG216" i="2"/>
  <c r="CH216" i="2" s="1"/>
  <c r="CB216" i="2"/>
  <c r="CC216" i="2"/>
  <c r="BV216" i="2"/>
  <c r="BW216" i="2" s="1"/>
  <c r="BN216" i="2"/>
  <c r="BO216" i="2" s="1"/>
  <c r="CG212" i="2"/>
  <c r="CG190" i="2"/>
  <c r="CH190" i="2" s="1"/>
  <c r="CG193" i="2"/>
  <c r="CG196" i="2"/>
  <c r="CG199" i="2"/>
  <c r="CH199" i="2" s="1"/>
  <c r="CG210" i="2"/>
  <c r="CH210" i="2" s="1"/>
  <c r="CG224" i="2"/>
  <c r="CH224" i="2" s="1"/>
  <c r="CJ224" i="2" s="1"/>
  <c r="CG162" i="2"/>
  <c r="CG176" i="2"/>
  <c r="CG180" i="2"/>
  <c r="CH180" i="2" s="1"/>
  <c r="CG185" i="2"/>
  <c r="CG189" i="2"/>
  <c r="CG128" i="2"/>
  <c r="CH128" i="2" s="1"/>
  <c r="CG132" i="2"/>
  <c r="CG134" i="2"/>
  <c r="CH134" i="2" s="1"/>
  <c r="CG141" i="2"/>
  <c r="CG146" i="2"/>
  <c r="CG155" i="2"/>
  <c r="CH155" i="2" s="1"/>
  <c r="CG82" i="2"/>
  <c r="CH82" i="2" s="1"/>
  <c r="CG86" i="2"/>
  <c r="CH86" i="2" s="1"/>
  <c r="CG89" i="2"/>
  <c r="CH89" i="2" s="1"/>
  <c r="CG92" i="2"/>
  <c r="CH92" i="2" s="1"/>
  <c r="CG96" i="2"/>
  <c r="CH96" i="2" s="1"/>
  <c r="CG101" i="2"/>
  <c r="CG105" i="2"/>
  <c r="CH105" i="2" s="1"/>
  <c r="CG108" i="2"/>
  <c r="CG109" i="2"/>
  <c r="CH109" i="2" s="1"/>
  <c r="CG110" i="2"/>
  <c r="CG111" i="2"/>
  <c r="CH111" i="2" s="1"/>
  <c r="CG115" i="2"/>
  <c r="CH115" i="2" s="1"/>
  <c r="CG118" i="2"/>
  <c r="CG120" i="2"/>
  <c r="CG123" i="2"/>
  <c r="CH123" i="2" s="1"/>
  <c r="CG47" i="2"/>
  <c r="CG51" i="2"/>
  <c r="CG55" i="2"/>
  <c r="CH55" i="2" s="1"/>
  <c r="CG80" i="2"/>
  <c r="CB212" i="2"/>
  <c r="CC212" i="2" s="1"/>
  <c r="BV212" i="2"/>
  <c r="BW212" i="2" s="1"/>
  <c r="BN212" i="2"/>
  <c r="BO212" i="2"/>
  <c r="CB210" i="2"/>
  <c r="CC210" i="2" s="1"/>
  <c r="BV210" i="2"/>
  <c r="BW210" i="2" s="1"/>
  <c r="BN210" i="2"/>
  <c r="BB210" i="2"/>
  <c r="BB238" i="2" s="1"/>
  <c r="BB189" i="2"/>
  <c r="BB161" i="2"/>
  <c r="BB81" i="2"/>
  <c r="CB207" i="2"/>
  <c r="CC207" i="2" s="1"/>
  <c r="BV207" i="2"/>
  <c r="BW207" i="2" s="1"/>
  <c r="BN207" i="2"/>
  <c r="BO207" i="2"/>
  <c r="CB199" i="2"/>
  <c r="CB190" i="2"/>
  <c r="CB193" i="2"/>
  <c r="CB224" i="2"/>
  <c r="CB162" i="2"/>
  <c r="CC162" i="2" s="1"/>
  <c r="CB176" i="2"/>
  <c r="CC176" i="2" s="1"/>
  <c r="CB180" i="2"/>
  <c r="CC180" i="2" s="1"/>
  <c r="CB185" i="2"/>
  <c r="CB128" i="2"/>
  <c r="CB132" i="2"/>
  <c r="CB134" i="2"/>
  <c r="CB141" i="2"/>
  <c r="CC141" i="2" s="1"/>
  <c r="CB146" i="2"/>
  <c r="CC146" i="2" s="1"/>
  <c r="CB155" i="2"/>
  <c r="CC155" i="2" s="1"/>
  <c r="CJ155" i="2" s="1"/>
  <c r="CB82" i="2"/>
  <c r="CB86" i="2"/>
  <c r="CB89" i="2"/>
  <c r="CB92" i="2"/>
  <c r="CB96" i="2"/>
  <c r="CC96" i="2" s="1"/>
  <c r="CB101" i="2"/>
  <c r="CC101" i="2" s="1"/>
  <c r="CB105" i="2"/>
  <c r="CC105" i="2" s="1"/>
  <c r="CJ105" i="2" s="1"/>
  <c r="CB108" i="2"/>
  <c r="CB109" i="2"/>
  <c r="CB110" i="2"/>
  <c r="CB111" i="2"/>
  <c r="CB115" i="2"/>
  <c r="CC115" i="2" s="1"/>
  <c r="CB118" i="2"/>
  <c r="CB120" i="2"/>
  <c r="CC120" i="2" s="1"/>
  <c r="CJ120" i="2" s="1"/>
  <c r="CB123" i="2"/>
  <c r="CC123" i="2" s="1"/>
  <c r="CB47" i="2"/>
  <c r="CB51" i="2"/>
  <c r="CB55" i="2"/>
  <c r="CC55" i="2" s="1"/>
  <c r="CB80" i="2"/>
  <c r="BV199" i="2"/>
  <c r="BW199" i="2" s="1"/>
  <c r="BN199" i="2"/>
  <c r="BO199" i="2" s="1"/>
  <c r="BN190" i="2"/>
  <c r="BN238" i="2" s="1"/>
  <c r="BN193" i="2"/>
  <c r="BO193" i="2" s="1"/>
  <c r="BN196" i="2"/>
  <c r="BO196" i="2" s="1"/>
  <c r="BN224" i="2"/>
  <c r="BO224" i="2" s="1"/>
  <c r="CH196" i="2"/>
  <c r="BV196" i="2"/>
  <c r="BW196" i="2" s="1"/>
  <c r="CC193" i="2"/>
  <c r="BV193" i="2"/>
  <c r="BW193" i="2" s="1"/>
  <c r="CC190" i="2"/>
  <c r="BV190" i="2"/>
  <c r="BW190" i="2" s="1"/>
  <c r="CH185" i="2"/>
  <c r="CC185" i="2"/>
  <c r="BV185" i="2"/>
  <c r="BW185" i="2" s="1"/>
  <c r="BN185" i="2"/>
  <c r="BO185" i="2" s="1"/>
  <c r="BV180" i="2"/>
  <c r="BW180" i="2"/>
  <c r="BN180" i="2"/>
  <c r="BO180" i="2" s="1"/>
  <c r="CH176" i="2"/>
  <c r="BV176" i="2"/>
  <c r="BW176" i="2" s="1"/>
  <c r="BN176" i="2"/>
  <c r="BO176" i="2" s="1"/>
  <c r="CH162" i="2"/>
  <c r="BV162" i="2"/>
  <c r="BN162" i="2"/>
  <c r="BO162" i="2" s="1"/>
  <c r="CC128" i="2"/>
  <c r="BV128" i="2"/>
  <c r="BV132" i="2"/>
  <c r="BV134" i="2"/>
  <c r="BW134" i="2" s="1"/>
  <c r="BV141" i="2"/>
  <c r="BV146" i="2"/>
  <c r="BV155" i="2"/>
  <c r="BV224" i="2"/>
  <c r="BV82" i="2"/>
  <c r="BW82" i="2" s="1"/>
  <c r="BV86" i="2"/>
  <c r="BW86" i="2" s="1"/>
  <c r="BV89" i="2"/>
  <c r="BW89" i="2" s="1"/>
  <c r="BV92" i="2"/>
  <c r="BW92" i="2" s="1"/>
  <c r="BV96" i="2"/>
  <c r="BW96" i="2" s="1"/>
  <c r="BV101" i="2"/>
  <c r="BV105" i="2"/>
  <c r="BW105" i="2" s="1"/>
  <c r="BV108" i="2"/>
  <c r="BV109" i="2"/>
  <c r="BW109" i="2" s="1"/>
  <c r="BV110" i="2"/>
  <c r="BW110" i="2" s="1"/>
  <c r="BV111" i="2"/>
  <c r="BW111" i="2" s="1"/>
  <c r="BV115" i="2"/>
  <c r="BW115" i="2" s="1"/>
  <c r="BV118" i="2"/>
  <c r="BW118" i="2" s="1"/>
  <c r="BV120" i="2"/>
  <c r="BV123" i="2"/>
  <c r="BW123" i="2" s="1"/>
  <c r="BN128" i="2"/>
  <c r="BO128" i="2"/>
  <c r="CC132" i="2"/>
  <c r="BW132" i="2"/>
  <c r="BN132" i="2"/>
  <c r="BO132" i="2" s="1"/>
  <c r="CC134" i="2"/>
  <c r="BN134" i="2"/>
  <c r="BO134" i="2"/>
  <c r="CH141" i="2"/>
  <c r="BW141" i="2"/>
  <c r="BN141" i="2"/>
  <c r="BO141" i="2" s="1"/>
  <c r="CH146" i="2"/>
  <c r="BO146" i="2"/>
  <c r="BW155" i="2"/>
  <c r="BN155" i="2"/>
  <c r="BO155" i="2"/>
  <c r="BN123" i="2"/>
  <c r="BO123" i="2" s="1"/>
  <c r="CH120" i="2"/>
  <c r="BW120" i="2"/>
  <c r="BN120" i="2"/>
  <c r="BO120" i="2" s="1"/>
  <c r="CH118" i="2"/>
  <c r="CC118" i="2"/>
  <c r="BN118" i="2"/>
  <c r="BO118" i="2" s="1"/>
  <c r="BN115" i="2"/>
  <c r="BO115" i="2" s="1"/>
  <c r="CC111" i="2"/>
  <c r="BN111" i="2"/>
  <c r="BO111" i="2" s="1"/>
  <c r="CH108" i="2"/>
  <c r="CC108" i="2"/>
  <c r="CJ108" i="2" s="1"/>
  <c r="BW108" i="2"/>
  <c r="BN108" i="2"/>
  <c r="BO108" i="2" s="1"/>
  <c r="BN105" i="2"/>
  <c r="BO105" i="2" s="1"/>
  <c r="CH101" i="2"/>
  <c r="BW101" i="2"/>
  <c r="BN101" i="2"/>
  <c r="BO101" i="2" s="1"/>
  <c r="BN96" i="2"/>
  <c r="BO96" i="2" s="1"/>
  <c r="CC92" i="2"/>
  <c r="BN92" i="2"/>
  <c r="BO92" i="2" s="1"/>
  <c r="CC89" i="2"/>
  <c r="BN89" i="2"/>
  <c r="BO89" i="2" s="1"/>
  <c r="CC86" i="2"/>
  <c r="BN86" i="2"/>
  <c r="BN82" i="2"/>
  <c r="BN109" i="2"/>
  <c r="BO109" i="2" s="1"/>
  <c r="BN110" i="2"/>
  <c r="BO110" i="2" s="1"/>
  <c r="CH80" i="2"/>
  <c r="CC80" i="2"/>
  <c r="BN80" i="2"/>
  <c r="BO80" i="2"/>
  <c r="CH51" i="2"/>
  <c r="CC51" i="2"/>
  <c r="BN51" i="2"/>
  <c r="BO51" i="2"/>
  <c r="BO81" i="2" s="1"/>
  <c r="BN55" i="2"/>
  <c r="BO55" i="2" s="1"/>
  <c r="CC47" i="2"/>
  <c r="BN47" i="2"/>
  <c r="BO47" i="2"/>
  <c r="CD127" i="2"/>
  <c r="CE127" i="2"/>
  <c r="CF127" i="2"/>
  <c r="CC109" i="2"/>
  <c r="CH110" i="2"/>
  <c r="CD81" i="2"/>
  <c r="CE81" i="2"/>
  <c r="CF81" i="2"/>
  <c r="CF239" i="2" s="1"/>
  <c r="CD46" i="2"/>
  <c r="CD238" i="2"/>
  <c r="CD189" i="2"/>
  <c r="CD161" i="2"/>
  <c r="CE46" i="2"/>
  <c r="CF46" i="2"/>
  <c r="BX238" i="2"/>
  <c r="BX189" i="2"/>
  <c r="BX239" i="2" s="1"/>
  <c r="BX161" i="2"/>
  <c r="BX127" i="2"/>
  <c r="BX81" i="2"/>
  <c r="BX46" i="2"/>
  <c r="BY238" i="2"/>
  <c r="BY189" i="2"/>
  <c r="BY161" i="2"/>
  <c r="BY127" i="2"/>
  <c r="BY239" i="2" s="1"/>
  <c r="BY81" i="2"/>
  <c r="BY46" i="2"/>
  <c r="BZ238" i="2"/>
  <c r="BZ189" i="2"/>
  <c r="BZ161" i="2"/>
  <c r="BZ127" i="2"/>
  <c r="BZ81" i="2"/>
  <c r="BZ46" i="2"/>
  <c r="BZ239" i="2" s="1"/>
  <c r="CA238" i="2"/>
  <c r="CA189" i="2"/>
  <c r="CA161" i="2"/>
  <c r="CA127" i="2"/>
  <c r="CA81" i="2"/>
  <c r="CA46" i="2"/>
  <c r="CA239" i="2"/>
  <c r="CC82" i="2"/>
  <c r="CE238" i="2"/>
  <c r="CE189" i="2"/>
  <c r="CE161" i="2"/>
  <c r="CF238" i="2"/>
  <c r="CF189" i="2"/>
  <c r="CF161" i="2"/>
  <c r="CK238" i="2"/>
  <c r="CK239" i="2" s="1"/>
  <c r="BW224" i="2"/>
  <c r="BQ238" i="2"/>
  <c r="BQ189" i="2"/>
  <c r="BQ161" i="2"/>
  <c r="BQ127" i="2"/>
  <c r="BQ81" i="2"/>
  <c r="BQ46" i="2"/>
  <c r="BR238" i="2"/>
  <c r="BR189" i="2"/>
  <c r="BR161" i="2"/>
  <c r="BR127" i="2"/>
  <c r="BR81" i="2"/>
  <c r="BR46" i="2"/>
  <c r="BS238" i="2"/>
  <c r="BS189" i="2"/>
  <c r="BS161" i="2"/>
  <c r="BS127" i="2"/>
  <c r="BS81" i="2"/>
  <c r="BS46" i="2"/>
  <c r="BT238" i="2"/>
  <c r="BT189" i="2"/>
  <c r="BT161" i="2"/>
  <c r="BT127" i="2"/>
  <c r="BT81" i="2"/>
  <c r="BT46" i="2"/>
  <c r="BU238" i="2"/>
  <c r="BU189" i="2"/>
  <c r="BU161" i="2"/>
  <c r="BU127" i="2"/>
  <c r="BU81" i="2"/>
  <c r="BU46" i="2"/>
  <c r="BP238" i="2"/>
  <c r="BP239" i="2" s="1"/>
  <c r="BP189" i="2"/>
  <c r="BP161" i="2"/>
  <c r="BP127" i="2"/>
  <c r="BP81" i="2"/>
  <c r="BC238" i="2"/>
  <c r="BC239" i="2" s="1"/>
  <c r="BC189" i="2"/>
  <c r="BD189" i="2"/>
  <c r="BN189" i="2" s="1"/>
  <c r="BO189" i="2" s="1"/>
  <c r="BE189" i="2"/>
  <c r="BF189" i="2"/>
  <c r="BG189" i="2"/>
  <c r="BH189" i="2"/>
  <c r="BI189" i="2"/>
  <c r="BJ189" i="2"/>
  <c r="BK189" i="2"/>
  <c r="BL189" i="2"/>
  <c r="BM189" i="2"/>
  <c r="BC161" i="2"/>
  <c r="BC127" i="2"/>
  <c r="BC81" i="2"/>
  <c r="BN81" i="2" s="1"/>
  <c r="BC46" i="2"/>
  <c r="BD238" i="2"/>
  <c r="BD161" i="2"/>
  <c r="BD127" i="2"/>
  <c r="BD81" i="2"/>
  <c r="BD46" i="2"/>
  <c r="BE238" i="2"/>
  <c r="BE161" i="2"/>
  <c r="BE127" i="2"/>
  <c r="BE81" i="2"/>
  <c r="BE46" i="2"/>
  <c r="BF238" i="2"/>
  <c r="BF161" i="2"/>
  <c r="BF127" i="2"/>
  <c r="BF81" i="2"/>
  <c r="BF46" i="2"/>
  <c r="BG238" i="2"/>
  <c r="BG239" i="2" s="1"/>
  <c r="BG161" i="2"/>
  <c r="BG127" i="2"/>
  <c r="BG81" i="2"/>
  <c r="BG46" i="2"/>
  <c r="BH238" i="2"/>
  <c r="BH161" i="2"/>
  <c r="BH127" i="2"/>
  <c r="BH81" i="2"/>
  <c r="BH46" i="2"/>
  <c r="BI238" i="2"/>
  <c r="BI161" i="2"/>
  <c r="BI127" i="2"/>
  <c r="BI81" i="2"/>
  <c r="BI46" i="2"/>
  <c r="BI239" i="2"/>
  <c r="BJ238" i="2"/>
  <c r="BJ161" i="2"/>
  <c r="BJ127" i="2"/>
  <c r="BJ81" i="2"/>
  <c r="BJ46" i="2"/>
  <c r="BK238" i="2"/>
  <c r="BK161" i="2"/>
  <c r="BK127" i="2"/>
  <c r="BK81" i="2"/>
  <c r="BK46" i="2"/>
  <c r="BL238" i="2"/>
  <c r="BL161" i="2"/>
  <c r="BL127" i="2"/>
  <c r="BL81" i="2"/>
  <c r="BL46" i="2"/>
  <c r="BL239" i="2" s="1"/>
  <c r="BM238" i="2"/>
  <c r="BM161" i="2"/>
  <c r="BM127" i="2"/>
  <c r="BM81" i="2"/>
  <c r="BM46" i="2"/>
  <c r="BN146" i="2"/>
  <c r="BO82" i="2"/>
  <c r="CC224" i="2"/>
  <c r="CJ118" i="2"/>
  <c r="CC110" i="2"/>
  <c r="BO86" i="2"/>
  <c r="CJ86" i="2"/>
  <c r="BW128" i="2"/>
  <c r="CC199" i="2"/>
  <c r="CH212" i="2"/>
  <c r="DD130" i="8"/>
  <c r="BU46" i="8"/>
  <c r="CW13" i="8"/>
  <c r="CW80" i="8"/>
  <c r="AT61" i="8"/>
  <c r="AR79" i="8"/>
  <c r="DB69" i="8"/>
  <c r="CQ103" i="8"/>
  <c r="DB87" i="8"/>
  <c r="DD87" i="8"/>
  <c r="AT13" i="8"/>
  <c r="CJ199" i="2"/>
  <c r="DD54" i="8"/>
  <c r="AT45" i="8" l="1"/>
  <c r="DD69" i="8"/>
  <c r="DD50" i="8"/>
  <c r="AQ161" i="8"/>
  <c r="AQ180" i="8" s="1"/>
  <c r="AP180" i="8"/>
  <c r="CJ96" i="2"/>
  <c r="CJ134" i="2"/>
  <c r="CT230" i="8"/>
  <c r="DD103" i="8"/>
  <c r="DA125" i="8"/>
  <c r="AW118" i="8"/>
  <c r="AR125" i="8"/>
  <c r="BJ239" i="2"/>
  <c r="BT239" i="2"/>
  <c r="CJ51" i="2"/>
  <c r="BA105" i="2"/>
  <c r="DD153" i="8"/>
  <c r="CQ79" i="8"/>
  <c r="DD121" i="8"/>
  <c r="DD108" i="8"/>
  <c r="DD198" i="8"/>
  <c r="AT229" i="8"/>
  <c r="BA58" i="2"/>
  <c r="AZ81" i="2"/>
  <c r="DB13" i="8"/>
  <c r="DA45" i="8"/>
  <c r="CJ101" i="2"/>
  <c r="CV229" i="8"/>
  <c r="CW181" i="8"/>
  <c r="BO210" i="2"/>
  <c r="CJ210" i="2" s="1"/>
  <c r="DD73" i="8"/>
  <c r="DB187" i="8"/>
  <c r="DB229" i="8" s="1"/>
  <c r="DA229" i="8"/>
  <c r="DD78" i="8"/>
  <c r="CQ45" i="8"/>
  <c r="BO190" i="2"/>
  <c r="CB127" i="2"/>
  <c r="CB161" i="2"/>
  <c r="BA120" i="2"/>
  <c r="CJ23" i="2"/>
  <c r="AY81" i="2"/>
  <c r="BA47" i="2"/>
  <c r="BU94" i="8"/>
  <c r="DA156" i="8"/>
  <c r="AO125" i="8"/>
  <c r="AQ80" i="8"/>
  <c r="AQ125" i="8" s="1"/>
  <c r="AS125" i="8"/>
  <c r="DD80" i="8"/>
  <c r="BH239" i="2"/>
  <c r="CJ111" i="2"/>
  <c r="BA111" i="2"/>
  <c r="CJ231" i="2"/>
  <c r="BA70" i="2"/>
  <c r="BU218" i="8"/>
  <c r="BU229" i="8" s="1"/>
  <c r="DD31" i="8"/>
  <c r="DD107" i="8"/>
  <c r="CI201" i="8"/>
  <c r="CI229" i="8" s="1"/>
  <c r="BA101" i="2"/>
  <c r="BM239" i="2"/>
  <c r="CB81" i="2"/>
  <c r="CJ77" i="2"/>
  <c r="DD218" i="8"/>
  <c r="BU75" i="8"/>
  <c r="BY230" i="8"/>
  <c r="CK230" i="8"/>
  <c r="AS156" i="8"/>
  <c r="G156" i="8" s="1"/>
  <c r="CJ212" i="2"/>
  <c r="BE239" i="2"/>
  <c r="CE239" i="2"/>
  <c r="CD239" i="2"/>
  <c r="CJ123" i="2"/>
  <c r="BV189" i="2"/>
  <c r="BA123" i="2"/>
  <c r="BU73" i="8"/>
  <c r="BU99" i="8"/>
  <c r="CG230" i="8"/>
  <c r="CF230" i="8"/>
  <c r="CB230" i="8"/>
  <c r="CX230" i="8"/>
  <c r="DD135" i="8"/>
  <c r="DD176" i="8"/>
  <c r="AW87" i="8"/>
  <c r="AT46" i="8"/>
  <c r="AT79" i="8"/>
  <c r="BN161" i="2"/>
  <c r="BO161" i="2" s="1"/>
  <c r="CJ62" i="2"/>
  <c r="BB239" i="2"/>
  <c r="CC230" i="8"/>
  <c r="DD26" i="8"/>
  <c r="BD239" i="2"/>
  <c r="CJ80" i="2"/>
  <c r="BA74" i="2"/>
  <c r="BA227" i="2"/>
  <c r="BA238" i="2" s="1"/>
  <c r="BU69" i="8"/>
  <c r="BU109" i="8"/>
  <c r="DD99" i="8"/>
  <c r="DD169" i="8"/>
  <c r="CJ196" i="2"/>
  <c r="DD57" i="8"/>
  <c r="CS230" i="8"/>
  <c r="AW80" i="8"/>
  <c r="AT103" i="8"/>
  <c r="DD13" i="8"/>
  <c r="BU239" i="2"/>
  <c r="BN127" i="2"/>
  <c r="BO127" i="2" s="1"/>
  <c r="CJ185" i="2"/>
  <c r="BA118" i="2"/>
  <c r="CJ14" i="2"/>
  <c r="BA55" i="2"/>
  <c r="AY46" i="2"/>
  <c r="BU54" i="8"/>
  <c r="BW230" i="8"/>
  <c r="DD40" i="8"/>
  <c r="AW229" i="8"/>
  <c r="BO34" i="2"/>
  <c r="CJ34" i="2" s="1"/>
  <c r="BF239" i="2"/>
  <c r="CJ180" i="2"/>
  <c r="CJ74" i="2"/>
  <c r="CJ20" i="2"/>
  <c r="BA66" i="2"/>
  <c r="BS45" i="8"/>
  <c r="BU103" i="8"/>
  <c r="CD230" i="8"/>
  <c r="DA180" i="8"/>
  <c r="BO37" i="2"/>
  <c r="BN46" i="2"/>
  <c r="BO46" i="2" s="1"/>
  <c r="DB125" i="8"/>
  <c r="CJ176" i="2"/>
  <c r="CH189" i="2"/>
  <c r="CJ55" i="2"/>
  <c r="CJ220" i="2"/>
  <c r="CJ70" i="2"/>
  <c r="CI239" i="2"/>
  <c r="BX230" i="8"/>
  <c r="DB79" i="8"/>
  <c r="DD46" i="8"/>
  <c r="CH229" i="8"/>
  <c r="BK239" i="2"/>
  <c r="BS239" i="2"/>
  <c r="CC127" i="2"/>
  <c r="CJ190" i="2"/>
  <c r="BW238" i="2"/>
  <c r="CJ109" i="2"/>
  <c r="CJ82" i="2"/>
  <c r="CH127" i="2"/>
  <c r="AY127" i="2"/>
  <c r="DD118" i="8"/>
  <c r="CQ156" i="8"/>
  <c r="DD215" i="8"/>
  <c r="DD211" i="8"/>
  <c r="DD207" i="8"/>
  <c r="DD203" i="8"/>
  <c r="AQ79" i="8"/>
  <c r="CJ115" i="2"/>
  <c r="CJ27" i="2"/>
  <c r="DD19" i="8"/>
  <c r="DB45" i="8"/>
  <c r="CJ128" i="2"/>
  <c r="BQ239" i="2"/>
  <c r="CJ110" i="2"/>
  <c r="CC238" i="2"/>
  <c r="CC66" i="2"/>
  <c r="BS125" i="8"/>
  <c r="CV45" i="8"/>
  <c r="CW24" i="8"/>
  <c r="DD24" i="8" s="1"/>
  <c r="DD94" i="8"/>
  <c r="DD173" i="8"/>
  <c r="CQ184" i="8"/>
  <c r="CP229" i="8"/>
  <c r="BW146" i="2"/>
  <c r="BV161" i="2"/>
  <c r="CQ90" i="8"/>
  <c r="CQ125" i="8" s="1"/>
  <c r="CP125" i="8"/>
  <c r="CC37" i="2"/>
  <c r="CC46" i="2" s="1"/>
  <c r="CB46" i="2"/>
  <c r="BA89" i="2"/>
  <c r="CW109" i="8"/>
  <c r="CW125" i="8" s="1"/>
  <c r="CV125" i="8"/>
  <c r="CV79" i="8"/>
  <c r="BR239" i="2"/>
  <c r="BW127" i="2"/>
  <c r="CJ92" i="2"/>
  <c r="CJ141" i="2"/>
  <c r="CC161" i="2"/>
  <c r="CH132" i="2"/>
  <c r="CJ132" i="2" s="1"/>
  <c r="CG161" i="2"/>
  <c r="BU80" i="8"/>
  <c r="DD36" i="8"/>
  <c r="CI9" i="8"/>
  <c r="DD9" i="8" s="1"/>
  <c r="CH45" i="8"/>
  <c r="CI45" i="8" s="1"/>
  <c r="AT161" i="8"/>
  <c r="AT180" i="8" s="1"/>
  <c r="AS180" i="8"/>
  <c r="BW161" i="2"/>
  <c r="CJ146" i="2"/>
  <c r="CJ89" i="2"/>
  <c r="BS79" i="8"/>
  <c r="DD141" i="8"/>
  <c r="BW81" i="2"/>
  <c r="BV46" i="2"/>
  <c r="CG46" i="2"/>
  <c r="CJ43" i="2"/>
  <c r="CE230" i="8"/>
  <c r="CY230" i="8"/>
  <c r="DD65" i="8"/>
  <c r="CW126" i="8"/>
  <c r="CW156" i="8" s="1"/>
  <c r="CV156" i="8"/>
  <c r="DD187" i="8"/>
  <c r="AV79" i="8"/>
  <c r="AW78" i="8"/>
  <c r="AT156" i="8"/>
  <c r="CW45" i="8"/>
  <c r="DA79" i="8"/>
  <c r="CP156" i="8"/>
  <c r="CH125" i="8"/>
  <c r="CI125" i="8" s="1"/>
  <c r="BA82" i="2"/>
  <c r="BA77" i="2"/>
  <c r="DD42" i="8"/>
  <c r="BU121" i="8"/>
  <c r="CM230" i="8"/>
  <c r="BU222" i="8"/>
  <c r="BU50" i="8"/>
  <c r="BU79" i="8" s="1"/>
  <c r="CL230" i="8"/>
  <c r="DD113" i="8"/>
  <c r="CC189" i="2"/>
  <c r="CB189" i="2"/>
  <c r="BT79" i="8"/>
  <c r="CA230" i="8"/>
  <c r="CV180" i="8"/>
  <c r="AW61" i="8"/>
  <c r="AU79" i="8"/>
  <c r="BV127" i="2"/>
  <c r="CB238" i="2"/>
  <c r="CG127" i="2"/>
  <c r="CG238" i="2"/>
  <c r="CH193" i="2"/>
  <c r="CJ227" i="2"/>
  <c r="DD225" i="8"/>
  <c r="AT80" i="8"/>
  <c r="DD61" i="8"/>
  <c r="AV45" i="8"/>
  <c r="AW31" i="8"/>
  <c r="AW45" i="8" s="1"/>
  <c r="CH180" i="8"/>
  <c r="CI180" i="8" s="1"/>
  <c r="CG81" i="2"/>
  <c r="CH156" i="8"/>
  <c r="CI156" i="8" s="1"/>
  <c r="CH47" i="2"/>
  <c r="BV238" i="2"/>
  <c r="CJ216" i="2"/>
  <c r="CJ158" i="2"/>
  <c r="CJ234" i="2"/>
  <c r="CH79" i="8"/>
  <c r="CJ230" i="8"/>
  <c r="CR230" i="8"/>
  <c r="DD157" i="8"/>
  <c r="AQ229" i="8"/>
  <c r="BU90" i="8"/>
  <c r="DD22" i="8"/>
  <c r="AQ31" i="8"/>
  <c r="AQ45" i="8" s="1"/>
  <c r="AP45" i="8"/>
  <c r="CP45" i="8"/>
  <c r="BV81" i="2"/>
  <c r="BW25" i="2"/>
  <c r="CJ25" i="2" s="1"/>
  <c r="CH9" i="2"/>
  <c r="D7" i="3"/>
  <c r="D21" i="3" s="1"/>
  <c r="CN230" i="8"/>
  <c r="CP79" i="8"/>
  <c r="DB132" i="8"/>
  <c r="DD132" i="8" s="1"/>
  <c r="AQ156" i="8"/>
  <c r="BW162" i="2"/>
  <c r="BW189" i="2" s="1"/>
  <c r="BU125" i="8" l="1"/>
  <c r="BU230" i="8" s="1"/>
  <c r="BA81" i="2"/>
  <c r="DD181" i="8"/>
  <c r="CW229" i="8"/>
  <c r="AT125" i="8"/>
  <c r="BA127" i="2"/>
  <c r="BA239" i="2" s="1"/>
  <c r="DD201" i="8"/>
  <c r="BO238" i="2"/>
  <c r="BO239" i="2" s="1"/>
  <c r="DD180" i="8"/>
  <c r="AW79" i="8"/>
  <c r="CW230" i="8"/>
  <c r="CV230" i="8"/>
  <c r="DD45" i="8"/>
  <c r="DF45" i="8" s="1"/>
  <c r="DA230" i="8"/>
  <c r="CI230" i="8"/>
  <c r="CJ37" i="2"/>
  <c r="CH81" i="2"/>
  <c r="CJ47" i="2"/>
  <c r="CJ161" i="2"/>
  <c r="CJ162" i="2"/>
  <c r="CJ189" i="2" s="1"/>
  <c r="DD90" i="8"/>
  <c r="CP230" i="8"/>
  <c r="BW239" i="2"/>
  <c r="CC81" i="2"/>
  <c r="CC239" i="2" s="1"/>
  <c r="CJ66" i="2"/>
  <c r="CJ193" i="2"/>
  <c r="CH238" i="2"/>
  <c r="DB156" i="8"/>
  <c r="DB230" i="8" s="1"/>
  <c r="CG239" i="2"/>
  <c r="BW46" i="2"/>
  <c r="DD109" i="8"/>
  <c r="CQ229" i="8"/>
  <c r="CQ230" i="8" s="1"/>
  <c r="DD184" i="8"/>
  <c r="DD229" i="8" s="1"/>
  <c r="BN239" i="2"/>
  <c r="CJ9" i="2"/>
  <c r="CH46" i="2"/>
  <c r="CB239" i="2"/>
  <c r="DD126" i="8"/>
  <c r="DD156" i="8" s="1"/>
  <c r="CH230" i="8"/>
  <c r="CJ238" i="2"/>
  <c r="BV239" i="2"/>
  <c r="CH161" i="2"/>
  <c r="CJ127" i="2"/>
  <c r="DD79" i="8"/>
  <c r="DD125" i="8" l="1"/>
  <c r="CJ46" i="2"/>
  <c r="CL46" i="2" s="1"/>
  <c r="CH239" i="2"/>
  <c r="DD230" i="8"/>
  <c r="CJ81" i="2"/>
  <c r="CJ239" i="2" s="1"/>
</calcChain>
</file>

<file path=xl/comments1.xml><?xml version="1.0" encoding="utf-8"?>
<comments xmlns="http://schemas.openxmlformats.org/spreadsheetml/2006/main">
  <authors>
    <author>Sonia Rincon</author>
  </authors>
  <commentList>
    <comment ref="AS6" authorId="0" shapeId="0">
      <text>
        <r>
          <rPr>
            <b/>
            <sz val="8"/>
            <color indexed="81"/>
            <rFont val="Tahoma"/>
            <family val="2"/>
          </rPr>
          <t>Sonia Rincón:</t>
        </r>
        <r>
          <rPr>
            <sz val="8"/>
            <color indexed="81"/>
            <rFont val="Tahoma"/>
            <family val="2"/>
          </rPr>
          <t xml:space="preserve">
Indicar la unidad de medida: ¿3000? ¿qué?
</t>
        </r>
      </text>
    </comment>
  </commentList>
</comments>
</file>

<file path=xl/comments2.xml><?xml version="1.0" encoding="utf-8"?>
<comments xmlns="http://schemas.openxmlformats.org/spreadsheetml/2006/main">
  <authors>
    <author>Sonia Rincon</author>
  </authors>
  <commentList>
    <comment ref="BM6" authorId="0" shapeId="0">
      <text>
        <r>
          <rPr>
            <b/>
            <sz val="8"/>
            <color indexed="81"/>
            <rFont val="Tahoma"/>
            <family val="2"/>
          </rPr>
          <t>Sonia Rincón:</t>
        </r>
        <r>
          <rPr>
            <sz val="8"/>
            <color indexed="81"/>
            <rFont val="Tahoma"/>
            <family val="2"/>
          </rPr>
          <t xml:space="preserve">
Indicar la unidad de medida: ¿3000? ¿qué?
</t>
        </r>
      </text>
    </comment>
  </commentList>
</comments>
</file>

<file path=xl/sharedStrings.xml><?xml version="1.0" encoding="utf-8"?>
<sst xmlns="http://schemas.openxmlformats.org/spreadsheetml/2006/main" count="1554" uniqueCount="733">
  <si>
    <t>OBJETIVOS</t>
  </si>
  <si>
    <t>METAS POR OBJETIVO ESPECÍFICO</t>
  </si>
  <si>
    <t>OBJETIVO GENERAL</t>
  </si>
  <si>
    <t>OBJETIVOS ESPECÍFICOS</t>
  </si>
  <si>
    <t>TOTAL PROYECTO</t>
  </si>
  <si>
    <t>INDICADORES POR META</t>
  </si>
  <si>
    <t>UNIVERSIDAD NACIONAL DE COLOMBIA</t>
  </si>
  <si>
    <t>ACTIVIDADES PARA CUMPLIR CON CADA META</t>
  </si>
  <si>
    <t>RESULTADOS</t>
  </si>
  <si>
    <t>TOTAL</t>
  </si>
  <si>
    <t xml:space="preserve">Un documento de políticas para el SNL aprobado institucionalmente. </t>
  </si>
  <si>
    <t>Un documento de reglamentación para la operación de laboratorios aprobado institucionalmente.</t>
  </si>
  <si>
    <t>Un manual de tarifas para los servicios ofrecidos por los laboratorios.</t>
  </si>
  <si>
    <t xml:space="preserve">Documento de políticas de aseguramiento metrológico aprobado Institucionalmente. </t>
  </si>
  <si>
    <t xml:space="preserve">I – 13 </t>
  </si>
  <si>
    <t xml:space="preserve">II – 13 </t>
  </si>
  <si>
    <t xml:space="preserve">I – 14  </t>
  </si>
  <si>
    <t xml:space="preserve">II – 14 </t>
  </si>
  <si>
    <t>I – 15</t>
  </si>
  <si>
    <t>II – 15</t>
  </si>
  <si>
    <t xml:space="preserve">LÍNEA BASE 2012 </t>
  </si>
  <si>
    <t xml:space="preserve">VICERRECTORIA DE INVESTIGACION, EXTENSIÓN Y LABORATORIOS </t>
  </si>
  <si>
    <t>PLAN DE ACCIÓN 2013-2015</t>
  </si>
  <si>
    <t>COSTO POR ACTIVIDAD ($ DE 2012) *mil</t>
  </si>
  <si>
    <t># de documentos patrimoniales digitalizados / documentos patrimoniales *100</t>
  </si>
  <si>
    <t>Fortalecer, dinamizar e integrar las capacidades de investigación, extensión y laboratorios de la Universidad Nacional de Colombia</t>
  </si>
  <si>
    <t xml:space="preserve">1.1 Creación del Programa  Grandes Problemas Nacionales  </t>
  </si>
  <si>
    <t xml:space="preserve">Inexistente </t>
  </si>
  <si>
    <t>Meta 1.3.3 Puesta en marcha de la figura jurídico administrativa seleccionada</t>
  </si>
  <si>
    <t>Figura jurídico administrativa creada legalmente</t>
  </si>
  <si>
    <t xml:space="preserve"># de estudiantes vinculados al programa / 1500 estudiantes (meta) *100% </t>
  </si>
  <si>
    <t xml:space="preserve"># de contrapartidas / 750 estudiantes (meta) *100% </t>
  </si>
  <si>
    <t xml:space="preserve"># de proyectos de tesis apoyados / 1200 proyectos de tesis (meta) *100% </t>
  </si>
  <si>
    <t># de movilidades internacionales patrocinadas / 1500 movilidades patrocinadas (meta) *100%</t>
  </si>
  <si>
    <t># de movilidades nacionales patrocinadas / 1500 movilidades patrocinadas (meta) *100%</t>
  </si>
  <si>
    <t>Considerar</t>
  </si>
  <si>
    <t>Considerar: # de estudiantes y/o universidades participantes / cantidades (meta)</t>
  </si>
  <si>
    <t xml:space="preserve">Colección Obra Selecta y Techné </t>
  </si>
  <si>
    <t>Edición e impresión de los libros seleccionados en la convocatoria</t>
  </si>
  <si>
    <t>(Grado de implementación de los modelos de gestión del conocimiento / meta * 100)%</t>
  </si>
  <si>
    <t>Personal Capacitado / # total de personal  editorial UN *100</t>
  </si>
  <si>
    <t>Disminución semestral en los niveles de inventarios de la Editorial UN: ((nivel de inventarios actual / nivel de inventarios anterior)-1*100)%</t>
  </si>
  <si>
    <t xml:space="preserve">Librerías Sede Campus y Nieves - Distribución a través de Siglo del Hombre e Hipertexto </t>
  </si>
  <si>
    <t>Actualización del portafolio de servicios de la Editorial UN.</t>
  </si>
  <si>
    <t xml:space="preserve">Portafolio de servicios editorial (Proceso editorial, impresión, librerías y consecución bibliográfica) </t>
  </si>
  <si>
    <t xml:space="preserve">Definición del plan de marketing de la editorial UN. </t>
  </si>
  <si>
    <t>Considerar: # de estudiantes participantes y / o cursos realizados / cantidades (meta)</t>
  </si>
  <si>
    <t># de registros estandarizados  / total de registros del sistema de información del catálogo actualmente no estandarizados *100%.</t>
  </si>
  <si>
    <t>60 bases de datos</t>
  </si>
  <si>
    <t>4 convenios vigentes</t>
  </si>
  <si>
    <t xml:space="preserve">39000 usuarios </t>
  </si>
  <si>
    <t>x</t>
  </si>
  <si>
    <t># de proyectos y actividades  ejecutadas para la obtención de recursos en las diferentes etapas transferencia del conocimiento por Sede durante las vigencias 2011 y 2012</t>
  </si>
  <si>
    <t># de proyectos propuestos ante los Fondos del SGR</t>
  </si>
  <si>
    <t># de procedimientos estructurados</t>
  </si>
  <si>
    <t># de proyectos financiados en temas de innovación social</t>
  </si>
  <si>
    <t xml:space="preserve">Conversión a e-pub a través de Hipertexto y desarrollo de 2 libros electrónicos desde la Editorial UN.  </t>
  </si>
  <si>
    <t xml:space="preserve">Etapa inicial de reformulación de protocolos y procedimientos.    </t>
  </si>
  <si>
    <t xml:space="preserve">Planeación estratégica a  2021                             </t>
  </si>
  <si>
    <t xml:space="preserve">Más de 400,000 ejemplares represados en bodegas en todas las sedes de la Universidad Nacional. La Editorial cuenta con un Sistema Integrado de Administración Editorial SIAED que debe ser mejorado o reemplazado para el cumplimiento de la meta.             </t>
  </si>
  <si>
    <t xml:space="preserve">Actualmente no se cuenta con alianzas que generen valor permanentemente a la Editorial.                       </t>
  </si>
  <si>
    <t>Formalización de X # de convenios suscritos  /  15 convenios suscritos *100</t>
  </si>
  <si>
    <t xml:space="preserve">Al menos en el 5 puesto del ranking </t>
  </si>
  <si>
    <t xml:space="preserve"># de equipos para la automatización x año x Sede </t>
  </si>
  <si>
    <t xml:space="preserve"># de usuarios transacciones bibliográficas registradas en  SINAB / Comunidad académica UN * 100% </t>
  </si>
  <si>
    <t>Puesto 6</t>
  </si>
  <si>
    <t>1 manual de bioseguridad en laboratorios  socializado y entregado a 35 laboratorios</t>
  </si>
  <si>
    <t xml:space="preserve">Establecer una red de metrología / Identificar y Determinar áreas / </t>
  </si>
  <si>
    <t>9 Laboratorios acreditados / 2 laboratorios certificados / 3 cursos por año (15 personas por curso)</t>
  </si>
  <si>
    <t>1 curso sobre gestión metrológica (15 personas)</t>
  </si>
  <si>
    <t>(Grado de implementación del sistema de información / 100)%</t>
  </si>
  <si>
    <t>((Ventas realizadas/ # de consultadas realizadas a través de la plataforma web)*100) %</t>
  </si>
  <si>
    <t>Capacitaciones desarrollas / 4 anuales meta*100%</t>
  </si>
  <si>
    <t xml:space="preserve">(Trabajos publicados  / trabajos premiados o reconocidos internacionalmente)-1*100         </t>
  </si>
  <si>
    <t>(Sedes, facultades, centros e institutos articulados con el sistema / total dependencias esperadas*100)%</t>
  </si>
  <si>
    <t>Sedes, facultades, centros e institutos articulados con el sistema / total dependencias esperadas*100)%</t>
  </si>
  <si>
    <t>Bases de datos de información científica disponible anualmente / 60  bases de datos (meta) * 100%</t>
  </si>
  <si>
    <t>Proyectos del Plan de acción 2013-2015  del Sistema Nacional de Investigación</t>
  </si>
  <si>
    <t>Metas, indicadores y actividades</t>
  </si>
  <si>
    <t>Meta 1.1.1 Creación y operación de al menos 9 'Focos de Pensamiento' en torno a problemas prioritarios para el país</t>
  </si>
  <si>
    <t>Conformación del Foco de Pensamiento</t>
  </si>
  <si>
    <t>Realización del programa académico formulado</t>
  </si>
  <si>
    <t>Realización y divulgación de los productos académicos programados</t>
  </si>
  <si>
    <t>Desarrollo de soporte técnico para el funcionamiento de los Focos de Pensamiento</t>
  </si>
  <si>
    <t>**Un manual sobre políticas de adquisición de equipos.</t>
  </si>
  <si>
    <r>
      <t xml:space="preserve">Iniciar la acreditación de por lo menos 5 laboratorios Reacreditación de 3 laboratorios / 9 laboratorios acreditados *100 %.  Ampliación de acreditación de 2 laboratorios / 9 laboratorios acreditados *100 %.      </t>
    </r>
    <r>
      <rPr>
        <sz val="9"/>
        <color indexed="10"/>
        <rFont val="Arial"/>
        <family val="2"/>
      </rPr>
      <t/>
    </r>
  </si>
  <si>
    <t xml:space="preserve">4 Documentos de políticas para el Sistema de Seguridad Industrial aprobado Institucionalmente. </t>
  </si>
  <si>
    <t xml:space="preserve">Cantidad de laboratorios con Sistema de seguridad industrial implementado / 50 laboratorios (meta) *100% </t>
  </si>
  <si>
    <t>Diseño e implementación de una interfaz en línea para la consulta especializada de la información asociada con las capacidades de investigación de la Universidad</t>
  </si>
  <si>
    <t>Un estudio comparativo realizado</t>
  </si>
  <si>
    <t>Normatividad vigente</t>
  </si>
  <si>
    <t>Modelo vigente</t>
  </si>
  <si>
    <t>[Medios actualmente disponibles]</t>
  </si>
  <si>
    <t>Estudiantes vinculados a semilleros periodo 2010 -2012 [Bogotá 236; Manizales 75]</t>
  </si>
  <si>
    <t>Estudiantes vinculados a Jóvenes Investigadores periodo 2010 -2012 [Bogotá 290; Medellín 219; Manizales 69; Palmira 52; SF 3]</t>
  </si>
  <si>
    <t>Proyectos de tesis de posgrado apoyados periodo 2010 -2012 [Bogotá 216; Medellín -; Manizales 50; Palmira 41; SF 23]</t>
  </si>
  <si>
    <t>Apoyos de movilidad internacional periodo 2010 -2012 [Bogotá 666; Medellín 110; Manizales 56; Palmira 42; SF 25]</t>
  </si>
  <si>
    <t>500 estudiantes</t>
  </si>
  <si>
    <t>Incremento de la productividad individual anual</t>
  </si>
  <si>
    <t>Apoyo a 69 eventos en el periodo 2010 - 2012</t>
  </si>
  <si>
    <t xml:space="preserve">A consideración  100  eventos nacionales o internacionales apoyados [y / o # de participantes externos] / cantidades (meta) *100% </t>
  </si>
  <si>
    <t>Inexistente</t>
  </si>
  <si>
    <t># de proyectos de educación continua realizados en los nodos creados [y/o cantidad de participantes en los eventos]</t>
  </si>
  <si>
    <t># de colecciones desarrolladas / 6 colecciones (meta)*100% [y /o (( Publicaciones promedio por colección  / # anterior  de publicaciones promedio por colección) -1)* 100% ]</t>
  </si>
  <si>
    <t>Estudio del modelo de indicadores actual y los ajustes requeridos</t>
  </si>
  <si>
    <t>Construcción Base de Datos de Profesionales en (lingüística, literatura y filosofía)</t>
  </si>
  <si>
    <t># de proyectos apoyados / 200 proyectos (meta) en el trienio *100%</t>
  </si>
  <si>
    <t># de Focos de Pensamiento implementados / 9 focos de pensamiento (meta) * 100%</t>
  </si>
  <si>
    <t>Aplicativos implementados / 3 nuevos aplicativos (meta) *100%</t>
  </si>
  <si>
    <t>Aplicativos implementados / 2 nuevos aplicativos (meta) *100%</t>
  </si>
  <si>
    <t xml:space="preserve">Cantidad de proyectos administrados (y cubrimiento y calidad de los servicios prestados) </t>
  </si>
  <si>
    <t xml:space="preserve">Normas modificadas y /o expedidas con indicación de la disminución y simplificación de trámites administrativos </t>
  </si>
  <si>
    <t>Modelo establecido con un estudio comparativo de análisis que sustente las modificaciones establecidas</t>
  </si>
  <si>
    <t>Elaboración del portafolio unificado de investigación, extensión y laboratorios de la Universidad</t>
  </si>
  <si>
    <t>Aprobación y divulgación del portafolio por medios impresos y digitales</t>
  </si>
  <si>
    <t>Estandarización del Boletín Nacional de Investigación como medio de divulgación interna en la Universidad</t>
  </si>
  <si>
    <t>Diseño e implementación del sistema electrónico de difusión externa a la Universidad para el sistema de investigación</t>
  </si>
  <si>
    <t># de proyectos formulados por año/ # de proyectos presupuestados 
# de proyectos ejecutados/ # de proyectos formulados</t>
  </si>
  <si>
    <t>Mejoramiento del alcance e impacto con los medios generados (a través de mecanismos verificables como consulta, personal, cobertura)</t>
  </si>
  <si>
    <t># de proyectos de educación continua ejecutados en el trienio/ 3 proyectos propuestos</t>
  </si>
  <si>
    <t># de cursos ejecutados en el trienio / 2 proyectos propuestos [considerar adicionalmente: # de asistentes por curso / # de asistentes proyectados por curso]</t>
  </si>
  <si>
    <t>SEDE BOGOTA</t>
  </si>
  <si>
    <t>FACULTAD 1</t>
  </si>
  <si>
    <t>FACULTAD 2</t>
  </si>
  <si>
    <t>FACULTAD 3</t>
  </si>
  <si>
    <t>FACULTAD 4</t>
  </si>
  <si>
    <t>FACULTAD 5</t>
  </si>
  <si>
    <t>FACULTAD 6</t>
  </si>
  <si>
    <t>FACULTAD 7</t>
  </si>
  <si>
    <t>FACULTAD 8</t>
  </si>
  <si>
    <t>FACULTAD 9</t>
  </si>
  <si>
    <t>FACULTAD 10</t>
  </si>
  <si>
    <t>FACULTAD 11</t>
  </si>
  <si>
    <t xml:space="preserve">VRI </t>
  </si>
  <si>
    <t>TOTAL PROYECTO 1</t>
  </si>
  <si>
    <t>TOTAL PROYECTO 3</t>
  </si>
  <si>
    <t>TOTAL PROYECTO 2</t>
  </si>
  <si>
    <t>TOTAL PROYECTO 4</t>
  </si>
  <si>
    <t>TOTAL PROYECTO 5</t>
  </si>
  <si>
    <t>TOTAL PROYECTO 6</t>
  </si>
  <si>
    <t xml:space="preserve">TOTAL PROYECTOS </t>
  </si>
  <si>
    <t xml:space="preserve">TOTAL FACULTADES BOGOTA </t>
  </si>
  <si>
    <t>TOTAL FACULTADES Y BOGOTA</t>
  </si>
  <si>
    <t>SEDE MEDELLIN</t>
  </si>
  <si>
    <t>TOTAL FACULTADES MEDELLIN</t>
  </si>
  <si>
    <t>TOTAL FACULTADES Y MEDELLIN</t>
  </si>
  <si>
    <t>SEDE MANIZALES</t>
  </si>
  <si>
    <t>TOTAL FACULTADES MANIZALES</t>
  </si>
  <si>
    <t>TOTAL FACULTADES Y MANIZALES</t>
  </si>
  <si>
    <t>SEDE PALMIRA</t>
  </si>
  <si>
    <t>TOTAL FACULTADES PALMIRA</t>
  </si>
  <si>
    <t>TOTAL FACULTADES Y PALMIRA</t>
  </si>
  <si>
    <t>TOTAL SEDES Y FACULTADES</t>
  </si>
  <si>
    <t xml:space="preserve"> RECURSOS SEDE Y FACULTADES DATOS TRIENIO</t>
  </si>
  <si>
    <t>5 aplicativos disponibles y en servicio en el sistema [Convocatorias; Proyectos; Avales; Grupos de Investigación; Movilidades]</t>
  </si>
  <si>
    <t>OBSERVACIONES</t>
  </si>
  <si>
    <t>$300.000 x 10 meses x estudiante x año = $3.000.000</t>
  </si>
  <si>
    <t xml:space="preserve">Hasta $5.000.0000 por semillero </t>
  </si>
  <si>
    <t>$1.800.000 mensual x 12 meses x estudiante</t>
  </si>
  <si>
    <t>Hasta $10.000.000 x proyecto</t>
  </si>
  <si>
    <t>Promedio $4.000.000 x apoyo</t>
  </si>
  <si>
    <t>Promedio $1.000.000 x apoyo</t>
  </si>
  <si>
    <t>Promedio $26.000.000 x encuentro</t>
  </si>
  <si>
    <t>$11.500.000 x libro</t>
  </si>
  <si>
    <t>Estudio, diseño, impresión y divulgación de la convocatoria, invitación o solicitud directa, con los parámetros establecidos por el Comité Editorial.</t>
  </si>
  <si>
    <t xml:space="preserve">Recepción,  evaluación y selección de las propuestas presentadas a la convocatoria, invitación o solicitud directa.  </t>
  </si>
  <si>
    <t>Lanzamiento y distribución de las colecciones creadas</t>
  </si>
  <si>
    <t xml:space="preserve">Grado de cumplimiento / compromisos adquiridos según ods del profesional en derecho. </t>
  </si>
  <si>
    <t>(Protocolos aplicados / Protocolos propuestos)*100</t>
  </si>
  <si>
    <t xml:space="preserve">Suscripción a los canales de distribución efectivos para libros electrónicos (publidisa, Amazon, Appstore), incluyendo renovación anual. </t>
  </si>
  <si>
    <t xml:space="preserve">(# de eventos realizados / # de eventos programados anualmente *100 </t>
  </si>
  <si>
    <t>4 Coediciones en 2012  con editoriales nacionales</t>
  </si>
  <si>
    <t>(Profesionales vinculados / # total de personal Editorial UN *100)%</t>
  </si>
  <si>
    <t xml:space="preserve">(# de entregas realizadas/ 4 estregas propuestas) *100 </t>
  </si>
  <si>
    <t xml:space="preserve">Grado de implementación del sistema /100% </t>
  </si>
  <si>
    <t>Certificaciones recibidas / 1*100</t>
  </si>
  <si>
    <t xml:space="preserve">Incremento en ventas respecto a la vigencia anterior en Librería nieves </t>
  </si>
  <si>
    <t>(Apertura de puntos de venta en sedes /3)*100%</t>
  </si>
  <si>
    <t xml:space="preserve">Incremento del  impacto en la construcción de redes y alianzas - %        </t>
  </si>
  <si>
    <r>
      <t xml:space="preserve">(Nuevos productos y servicios ofertados / 1 anual * 100)%      </t>
    </r>
    <r>
      <rPr>
        <sz val="9"/>
        <color indexed="8"/>
        <rFont val="Arial"/>
        <family val="2"/>
      </rPr>
      <t/>
    </r>
  </si>
  <si>
    <t>(Margen operacional  por producto / 30% mínimo esperado)*100)%</t>
  </si>
  <si>
    <t>Aporte Nación</t>
  </si>
  <si>
    <t>6 puntos</t>
  </si>
  <si>
    <t>12000 Volúmenes Adquiridos en el trienio 2010-2012</t>
  </si>
  <si>
    <t xml:space="preserve">Volúmenes adquiridos /  de volúmenes (meta) (Medellín:4812 ; Manizales:1200; Palmira 1378)   </t>
  </si>
  <si>
    <t>879 documentos Digitalizados y preservados en el trienio 2010-2012</t>
  </si>
  <si>
    <t xml:space="preserve">Identificar los materiales y colecciones a preservar y a digitalizar en las Sedes Bogotá, Medellín y Manizales  </t>
  </si>
  <si>
    <t>Digitalizar y catalogar los metadatos en las plataformas Dspace y OJS, colocar la información digitalizada y preservada a la comunidad de usuarios.</t>
  </si>
  <si>
    <t># de documentos preservados  / documentos por preservar *100 %</t>
  </si>
  <si>
    <t>Adquisición y desarrollo de un software para el alojamiento de materiales audiovisuales en el repositorio Digital</t>
  </si>
  <si>
    <t>Diseño de campaña de promoción de servicios del SINAB</t>
  </si>
  <si>
    <t>Realizar la depuración de registros manuales de acuerdo al diagnóstico realizado con el personal contratado para ello.</t>
  </si>
  <si>
    <t>Catalogar y normalizar los registros bibliográficos del nuevo material bibliográfico y retrospectivo</t>
  </si>
  <si>
    <t>1 licencia en los últimos tres años</t>
  </si>
  <si>
    <t># de licencias apoyadas/ # de licencias presupuestadas (meta)*100%</t>
  </si>
  <si>
    <t># de investigadores capacitados/año</t>
  </si>
  <si>
    <t># propuestas de proyectos de innovación generados / # propuestas de proyectos de innovación programadas</t>
  </si>
  <si>
    <t>Gestionar y tramitar el registro de patentes producidas por los investigadores de la Universidad Nacional</t>
  </si>
  <si>
    <t>Gestionar y tramitar los permisos de colecta de material biológico para los proyectos de  investigación de la Universidad Nacional</t>
  </si>
  <si>
    <t>Gestionar y tramitar la obtención y renovación de las colecciones biológicas de la Universidad Nacional</t>
  </si>
  <si>
    <t>Realizar actividades de capacitación en las diferentes sedes de la Universidad</t>
  </si>
  <si>
    <t># de proyectos de innovación social  formulados / # de proyectos (meta) * 100%</t>
  </si>
  <si>
    <t># de actividades de innovación social realizadas / # actividades (meta) *100%</t>
  </si>
  <si>
    <t>Establecer áreas comunes de interés  de las entidades territoriales y la Universidad para la formulación de proyectos que serán presentados al  Sistema General de Regalías</t>
  </si>
  <si>
    <t>Apoyar la consolidación de la relación con entidades externas para la elaboración y presentación de los proyectos</t>
  </si>
  <si>
    <t># de proyectos formulados y presentados / # de proyectos (meta)*100%</t>
  </si>
  <si>
    <t>Socialización y ajuste de propuesta de Unidad de Innovación Social UN</t>
  </si>
  <si>
    <t>Puesta en marcha de la  Unidad de Innovación Social UN</t>
  </si>
  <si>
    <t xml:space="preserve">Seguimiento, evaluación  y control de funcionamiento de la Unidad de Innovación Social UN </t>
  </si>
  <si>
    <t>Formulación de la convocatoria con sus criterios de participación y alcances</t>
  </si>
  <si>
    <t>Coordinación a nivel nacional la puesta en marcha de la convocatoria</t>
  </si>
  <si>
    <t>Acompañamiento y asesoría permanentes a cada una de las sedes en la implementación de los proyectos de innovación social seleccionados</t>
  </si>
  <si>
    <t>Seguimiento a la ejecución y alcance de  resultados de los proyectos apoyados y generación de indicadores</t>
  </si>
  <si>
    <t>Acompañamiento y asesoría permanentes a cada una de las sedes en el desarrollo de las actividades de innovación social seleccionadas</t>
  </si>
  <si>
    <t xml:space="preserve"># de patentes gestionadas(6)/# de patentes presupuestadas
# de permisos gestionados (20)/# de permisos presupuestados(30)
# de colecciones tramitadas (5) / # de colecciones presupuestadas  (10)
# de Conocimiento tradionales tramitadas (1) / # de Conocimiento tradionales tramitadas (1)
</t>
  </si>
  <si>
    <t>SEDE AMAZONIA</t>
  </si>
  <si>
    <t>FACULTAD 1 FIA</t>
  </si>
  <si>
    <t>FACULTAD 2 FCA</t>
  </si>
  <si>
    <t>Meta 2.1.1 Vinculación de al menos 1.500 estudiantes de pregrado al Programa Nacional de Iniciación en investigación en el trienio 2013 - 2015</t>
  </si>
  <si>
    <t>Meta 2.2.1 Fortalecer el Programa Nacional de Semilleros de Investigación para la vinculación de al menos 1.500 estudiantes de pregrado en el trienio 2013 - 2015.</t>
  </si>
  <si>
    <t>3.1 Brindar un soporte editorial centralizado de calidad y altos estándares académicos</t>
  </si>
  <si>
    <t xml:space="preserve">Meta 3.1.1  Desarrollo y fortalecimiento de 6 colecciones editoriales. </t>
  </si>
  <si>
    <t xml:space="preserve">Meta 3.1.2 Garantizar la protección de los derechos de autor en un 100% de las publicaciones realizadas por la Editorial UN, durante el trienio 2013-2015.
</t>
  </si>
  <si>
    <t>Meta 3.1.3 Desarrollo y distribución del 70% de las colecciones de la editorial en formato digital durante el trienio 2013 -2015.</t>
  </si>
  <si>
    <t xml:space="preserve">Meta 3.1.4 Incremento del 10% de los procesos de coedición en el trienio 2013-2015, para el fortalecimiento y visibilización de la producción académica de la Universidad a nivel nacional e internacional. </t>
  </si>
  <si>
    <t>Meta 3.1.5 Realización de al menos 5 estudios de producción académica en nuevos nichos de mercado.</t>
  </si>
  <si>
    <t>Meta 3.2.1 Lograr la certificación internacional de calidad de la Editorial UN para el final del trienio 2013 -2015.</t>
  </si>
  <si>
    <t>3.2 Visibilizar internacionalmente las publicaciones de la Universidad Nacional de Colombia por medio de la Editorial, implementando protocolos y modelos de calidad</t>
  </si>
  <si>
    <t xml:space="preserve">Meta 3.2.2 Incrementar en un 10% anual el número de publicaciones con estándares internacionales de calidad editorial, durante el trienio 2013-2015.            </t>
  </si>
  <si>
    <t xml:space="preserve">Meta 3.3.3 Ampliación de los canales de distribución y puntos de venta en un 30% durante el trienio 2013-2015
</t>
  </si>
  <si>
    <t>3.4  Fortalecer redes y sistemas de cooperación que permitan dar mayor visibilidad a la producción académica de la Universidad Nacional de Colombia y la consolide como un referente y modelo exitoso de valor integral en la divulgación académica y científica en Iberoamérica</t>
  </si>
  <si>
    <t>Meta 3.4.1  Incrementar en un 20% los acuerdos con instituciones y empresas del sector editorial, durante el trienio 2013-2015.</t>
  </si>
  <si>
    <t xml:space="preserve">1.2. Consolidación del Sistema de Información de la Investigación HERMES e integrarlo para su uso en extensión y laboratorios de tal manera que facilite el seguimiento y control del desarrollo de las funciones del sistema de investigación, extensión y laboratorios. </t>
  </si>
  <si>
    <t>Meta 1.2.1  Mejoramiento del Sistema de Información HERMES mediante la creación y puesta en marcha de al menos 4 nuevos módulos de soporte a la gestión de la investigación, durante el trienio 2013 -2015.</t>
  </si>
  <si>
    <t>Creación del módulo para el registro único de proyectos de investigación y extensión de la Universidad</t>
  </si>
  <si>
    <t>Creación y puesta en marcha del módulo para el registro y gestión de los procesos asociados con la propiedad intelectual</t>
  </si>
  <si>
    <t xml:space="preserve">Establecimiento de la comunicación entre el sistema Hermes y el sistema de gestión financiera de la Universidad </t>
  </si>
  <si>
    <t>Creación del módulo para el registro y gestión del apoyo brindado a la formación de investigadores (semilleros, becas, jóvenes investigadores, etc.)</t>
  </si>
  <si>
    <t>Actualización del módulo para la gestión del programa de movilidad para la investigación (incorporar modalidad nacional y gestión del cierre administrativo de los apoyos brindados)</t>
  </si>
  <si>
    <t>Mejoramiento del diseño y manejo de la interfaz del sistema Hermes para facilitar su uso</t>
  </si>
  <si>
    <t>Creación del módulo de soporte de elaboración de presupuestos y su ejecución</t>
  </si>
  <si>
    <t>Diseño e implementación de un módulo para la gestión del mantenimiento de los equipos del Sistema Nacional de Laboratorios de la Universidad</t>
  </si>
  <si>
    <t>Ajuste de la bodega de datos para la generación de los informes e indicadores de gestión de la investigación, la extensión y el desempeño de los laboratorios en la Universidad</t>
  </si>
  <si>
    <t xml:space="preserve">1.3 Crear y poner en marcha la fundación / corporación (o similar) de la Universidad Nacional de Colombia para la promoción, gestión y administración de proyectos y recursos de CTeI de la Universidad </t>
  </si>
  <si>
    <t>Selección y contratación del servicio especializado para la realización del estudio</t>
  </si>
  <si>
    <t xml:space="preserve"> Realización de los trámites para la creación legal de la figura jurídico administrativa definida</t>
  </si>
  <si>
    <t>Gestión, consecución y ejecución de proyectos</t>
  </si>
  <si>
    <t>1.4 Mejorar el sistema de promoción y gestión de la investigación y la extensión.</t>
  </si>
  <si>
    <t>Meta 1.4.2 Elaboración y divulgación del portafolio de servicios de investigación, extensión y laboratorios de la Universidad</t>
  </si>
  <si>
    <t xml:space="preserve"> Elaboración de propuesta para el portafolio unificado de investigación, extensión y laboratorios de la Universidad</t>
  </si>
  <si>
    <t xml:space="preserve">Establecimiento de protocolos y mecanismos de actualización permanente de la información de las páginas web asociadas al sistema de investigación </t>
  </si>
  <si>
    <t xml:space="preserve">1.5 Revisar y ajustar la normatividad relacionada con el sistema de investigación, extensión y laboratorios de acuerdo con la nueva política adoptada para el sistema. </t>
  </si>
  <si>
    <t>2.1 Crear y poner en marcha el Programa Nacional de iniciación en investigación para estudiantes de pregrado</t>
  </si>
  <si>
    <t xml:space="preserve">Puesta en marcha del Programa Nacional de Iniciación en Investigación </t>
  </si>
  <si>
    <t>Acompañamiento y asesoría permanentes a cada una de las sedes en la implementación del Programa</t>
  </si>
  <si>
    <t>Seguimiento a los resultados del Programa y generación de indicadores</t>
  </si>
  <si>
    <t xml:space="preserve">2.2 Fortalecer el Programa Nacional de Semilleros de Investigación de pregrado de la Universidad Nacional de Colombia. </t>
  </si>
  <si>
    <t>Formulación detallada del Programa Nacional de Iniciación en Investigación con sus criterios de participación y alcances</t>
  </si>
  <si>
    <t>Coordinar a nivel nacional la puesta en marcha del Programa Nacional de Semilleros de Investigación</t>
  </si>
  <si>
    <t>Formulación detallada del Programa Nacional de Semilleros de Investigación con sus criterios de participación y alcances</t>
  </si>
  <si>
    <t>2.3 Apoyar el Programa Nacional de Jóvenes Investigadores de Colciencias para su desarrollo en la Universidad.</t>
  </si>
  <si>
    <t>Meta 2.3.1 Financiar las contrapartidas de al menos 750 jóvenes investigadores, creadores artistas e innovadores de la UN beneficiados a través del Programa Nacional de Jóvenes Investigadores e Innovadores de Colciencias, durante el trienio 2013-2015.</t>
  </si>
  <si>
    <t>Coordinar a nivel nacional la socialización, apoyo y acompañamiento a los jóvenes investigadores, creadores artistas e innovadores beneficiarios</t>
  </si>
  <si>
    <t>poyar la gestión administrativa para financiación de contrapartidas de jóvenes investigadores, creadores artistas e innovadores beneficiarios</t>
  </si>
  <si>
    <t>2.4 Consolidar el Programa Nacional de apoyo a grupos de investigación, creación e innovación mediante el desarrollo de tesis posgrados</t>
  </si>
  <si>
    <t xml:space="preserve">Meta 2.4.1 Apoyo al desarrollo de al menos 1200 proyectos de tesis de posgrado durante el trienio 2013 -2015 </t>
  </si>
  <si>
    <t>Formulación detallada del Programa Nacional de Apoyo a Tesis de Posgrados con sus criterios de participación y alcances</t>
  </si>
  <si>
    <t>Coordinar a nivel nacional la puesta en marcha del Programa Nacional de Apoyo a Tesis de Posgrados</t>
  </si>
  <si>
    <t>Seguimiento a los resultados del Programa y generación de indicadores.</t>
  </si>
  <si>
    <t xml:space="preserve">Meta 2.5.1 Apoyo para al menos 1.500 movilidades en investigación internacional, entrante y saliente durante el trienio 2013 -2015. </t>
  </si>
  <si>
    <t>Meta 2.5.2 Apoyo para al menos 1.500 movilidades nacionales en el desarrollo de proyectos de investigación en el país, durante el trienio 2013 -2015.</t>
  </si>
  <si>
    <t>Formulación detallada del Programa Nacional de Movilidad Internacional para la Investigación con sus criterios de participación y alcances</t>
  </si>
  <si>
    <t>Coordinar a nivel nacional la puesta en marcha del Programa Nacional de Movilidad Internacional para la Investigación</t>
  </si>
  <si>
    <t xml:space="preserve">2.5 Consolidar el Programa de movilidad nacional e internacional para la investigación, creación e innovación, que involucra el intercambio en doble vía de investigadores, estudiantes de posgrado y artistas, para promover la regionalización y la internacionalización de la Universidad Nacional de Colombia. </t>
  </si>
  <si>
    <t>Formulación detallada del Programa Nacional de Movilidad Nacional para la Investigación con sus criterios de participación y alcances</t>
  </si>
  <si>
    <t xml:space="preserve">2.6 Consolidar el Programa de visibilidad y divulgación del conocimiento generando espacios de encuentro, discusión y socialización de los resultados de las labores de investigación de la Universidad Nacional de Colombia, que fortalezcan las relaciones interinstitucionales y el posicionamiento y reconocimiento de su comunidad académica a nivel nacional e internacional </t>
  </si>
  <si>
    <t>Meta 2.6.1 Creación y consolidación del Programa Nacional "Escuela Internacional de Investigación de la Universidad Nacional de Colombia" a través de la realización de al menos una escuela anual.</t>
  </si>
  <si>
    <t>Meta 2.6.2 Consolidación del "Encuentro Nacional de Investigación y Desarrollo ENID", como evento de difusión nacional de la investigación, la creación y la innovación de la Universidad, a través de la realización de un Encuentro al año</t>
  </si>
  <si>
    <t>Meta 2.6.3 Consolidación del "Programa nacional de difusión del conocimiento" mediante el apoyo de al menos 100 evento</t>
  </si>
  <si>
    <t>Formulación detallada del Programa Nacional de "Escuelas Internacionales de Investigación de la Universidad Nacional de Colombia" con sus criterios de participación y alcances</t>
  </si>
  <si>
    <t>Coordinar a nivel nacional la puesta en marcha del Programa y ejecución anual</t>
  </si>
  <si>
    <t>Coordinar a nivel nacional la organización y realización del Encuentro Nacional de Investigación ENID</t>
  </si>
  <si>
    <t>Realización de los Encuentros)</t>
  </si>
  <si>
    <t>Diseñar el Programa de Apoyo a Eventos de Investigación a nivel nacional</t>
  </si>
  <si>
    <t>Coordinar a nivel nacional la puesta en marcha y el funcionamiento del Programa</t>
  </si>
  <si>
    <t>Identificación de las obras publicadas por la Editorial UN, objeto de protección.</t>
  </si>
  <si>
    <t>Gestionar la protección de las obras publicadas por la Editorial UN a través de contratos de edición y coedición y registro en la Dirección Nacional de Derechos de Autor</t>
  </si>
  <si>
    <t>Formulación de protocolos y lineamientos de los procesos editoriales en la Universidad Nacional de Colombia frente a los derechos de autor.</t>
  </si>
  <si>
    <t>Definición y adquisición de software de diseño para la diagramación y desarrollo de los libros electrónicos</t>
  </si>
  <si>
    <t>Implementar estrategias de e-marketing intensivas (pagina web, redes sociales y librerías virtuales) para visibilizar los productos y servicios de la editorial UN.</t>
  </si>
  <si>
    <t>Realizar convenios y alianzas con editoriales nacionales e internacionales, asociaciones y autores que permitan fortalecer la cadena de valor de la editorial UN y posicionar el sello. (</t>
  </si>
  <si>
    <t>Realización de los procesos de coedición, garantizando su difusión y divulgación.</t>
  </si>
  <si>
    <t>Coordinar a nivel nacional la organización y realización de los eventos en temas de actualidad editorial</t>
  </si>
  <si>
    <t xml:space="preserve"> Realización de los eventos (puede ser con sede única o simultáneo en varias sedes)</t>
  </si>
  <si>
    <t>Realización de un estudio sobre la memoria histórica de la producción editorial de la Universidad Nacional de Colombia</t>
  </si>
  <si>
    <t>Realización de un estudio de exploración de oferta y demanda de la producción académica.</t>
  </si>
  <si>
    <t>Realización de un estudio de referenciación competitiva del sector editorial en Colombia y en el mundo.</t>
  </si>
  <si>
    <t>Realización de un estudio de tendencias editoriales en el mundo</t>
  </si>
  <si>
    <t>Realización de un estudio prospectivo del sector editorial académico en Colombia.</t>
  </si>
  <si>
    <t>Adelantar el análisis, desarrollo e implementación de un sistema de gestión interna eficiente a través de la capacitación del personal orientada al desarrollo de capacidades y competencias tecnológicas.</t>
  </si>
  <si>
    <t>Redefinición de procesos y procedimientos del sistema editorial de la Universidad Nacional de Colombia.</t>
  </si>
  <si>
    <t>Adelantar asesoría de entidades autorizadas para otorgar certificación internacional en sistemas y procedimientos relativos a calidad tanto en la gestión administrativa, como editorial.</t>
  </si>
  <si>
    <t>Adelantar los trámites pertinentes para lograr la certificación en un sistema de calidad.</t>
  </si>
  <si>
    <t>Estudio e implementación de los protocolos de acuerdo a los estándares internacionales para el desarrollo de la actividad editorial de la Universidad.</t>
  </si>
  <si>
    <t>Incentivar la publicación de revistas de la Universidad con estándares internacionales</t>
  </si>
  <si>
    <t>Incentivar la producción de publicaciones en Inglés.</t>
  </si>
  <si>
    <t>3.3 Implementar un sistema logístico robusto e integral que permita la articulación del proceso y de la función editorial de facultades, centros e institutos de la Universidad Nacional de Colombia.</t>
  </si>
  <si>
    <t>Meta 3.3.1 Implementación de un sistema de gestión de contenidos editoriales que optimice los procesos de edición desarrollados en la UN, durante el trienio 2013-2015.</t>
  </si>
  <si>
    <t>Estudio y selección de un sistema de administración y gestión de contenidos editoriales, estableciendo la pertinencia en el logro de los objetivos de la Editorial UN</t>
  </si>
  <si>
    <t>Articulación con los procesos editoriales a nivel nacional y los sistemas de información existentes en la Universidad</t>
  </si>
  <si>
    <t>Aplicación de pruebas preliminares e implementación de cambios en el sistema editorial de la Universidad</t>
  </si>
  <si>
    <t>Implementación del sistema editorial a nivel nacional.</t>
  </si>
  <si>
    <t>Meta 3.3.2 Disminución del 80% del nivel de inventarios y control permanente a través del desarrollo e implementación de un sistema de inventarios integral, durante el trienio 2013-2015</t>
  </si>
  <si>
    <t>Desarrollo de un sistema integral para el control de inventarios en tiempo real a nivel nacional a través del sistema de información Hermes y desarrollo de una política de inventarios.</t>
  </si>
  <si>
    <t>Aplicación de pruebas preliminares e implementación de cambios en el sistema</t>
  </si>
  <si>
    <t>Implementación del sistema a nivel nacional.</t>
  </si>
  <si>
    <t>Adecuación, ampliación y dotación de espacios de las librerías de la sede Bogotá</t>
  </si>
  <si>
    <t>Asesoría a sedes para la planeación y gestión en la apertura de puntos de venta directos con visibilidad de la Editorial UN</t>
  </si>
  <si>
    <t>Construcción de alianzas estratégicas con las empresas de la industria ANDIGRAF, ASEUC, , CIGRAF, CERLALC, EULAC, Cámara Colombiana del Libro y Editoriales Universitarias</t>
  </si>
  <si>
    <t>Participación en eventos nacionales e internacionales organizados o con participación de las asociaciones editoriales, universitarias, y empresas del sector editorial, con presencia del personal profesional de la Editorial.</t>
  </si>
  <si>
    <t xml:space="preserve">Meta 3.4.2 Desarrollo del catálogo y portafolio de productos y servicios de la Universidad Nacional de Colombia en un 100%, durante el trienio 2013-2015. </t>
  </si>
  <si>
    <t>Realización de estudio de mercados que permita establecer los productos demandados</t>
  </si>
  <si>
    <t>Definición del programa de seguimiento del plan de Marketing</t>
  </si>
  <si>
    <t>4.1 Fortalecer el acceso a información de alto impacto académico y preservación y difusión documental del patrimonio científico y cultural de la Universidad.</t>
  </si>
  <si>
    <t xml:space="preserve">Invitación a la comunidad académica para que soliciten materiales bibliográficos en las Sedes Bogotá, Medellín, Manizales y Palmira.   </t>
  </si>
  <si>
    <t xml:space="preserve">Verificación de listados contra existencias en las Sedes Bogotá, Medellín, Manizales y Palmira. </t>
  </si>
  <si>
    <t>Cotización de listados con proveedores y proceso de contratación en las Sedes Bogotá, Medellín, Manizales y Palmira.</t>
  </si>
  <si>
    <t xml:space="preserve">Ingreso de materiales bibliográficos y puestos en circulación en las Sedes Bogotá, Medellín, Manizales y Palmira. </t>
  </si>
  <si>
    <t>4.2 Fortalecer la infraestructura tecnológica para garantizar el buen funcionamiento de la Biblioteca Digital de la Universidad Nacional de Colombia.</t>
  </si>
  <si>
    <t>Revisar posibles iniciativas y proyectos de acceso abierto y cumplimiento de requisitos: Sherpa, Science Commons, Open Archives Initiative, RABID, IBICT, JISC, DRIVER, OpenAIRE, COAR, Colabora, EOS, SPARC, PEER, OASIS, Red Federada Latinoamericana de Repositorios Institucionales</t>
  </si>
  <si>
    <t>Envío de información, cumplimiento de requisitos y formalización de participación en las iniciativas.</t>
  </si>
  <si>
    <t>Identificar los materiales y colecciones a preservar y a digitalizar en las Sedes Bogotá, Medellín y Manizales</t>
  </si>
  <si>
    <t>Gestionar las respectivas autorizaciones para la publicación y asesorar las Sedes en la adquisición de equipos para la digitalización y la preservación del patrimonio documental y realizar trámites contractuales en las Sedes Bogotá, Medellín y Manizales</t>
  </si>
  <si>
    <t xml:space="preserve">Gestionar las respectivas autorizaciones para la publicación y asesorar las Sedes en la adquisición de equipos para la digitalización y la preservación del patrimonio documental y realizar trámites contractuales en las Sedes Bogotá, Medellín y Manizales </t>
  </si>
  <si>
    <t>4.3 Promover el uso de los recursos de información del SINAB y aumentar la visibilidad de este a través de la normalización de sus sistemas de información.</t>
  </si>
  <si>
    <t>Medición bibliométrica semestral de la visibilidad y consulta de la producción académica de la UN a nivel latinoamericano y mundial.</t>
  </si>
  <si>
    <t xml:space="preserve">Cumplir con las directrices DRIVER: Digital Repository Infraestructure Visión for European Research en los metadatos del repositorio y el portal de revistas.                                                                        </t>
  </si>
  <si>
    <t xml:space="preserve">Realizar actualización y cumplimiento de directrices internacionales del sistema Open Journal System (OJS) de la Universidad.                                                           </t>
  </si>
  <si>
    <t>Adquisición de infraestructura para el mejoramiento de los sistemas asociados a la Biblioteca digital (Compra de baterías sam)</t>
  </si>
  <si>
    <t xml:space="preserve">Meta 4.3.3  Normalizar, catalogar y estandarizar el 100% de los registros en los diferentes sistemas de información del SINAB durante el período 2013-2015. </t>
  </si>
  <si>
    <t>Realizar estandarización de registros bibliográficos con cambios globales por parte del proveedor de Aleph y los demás sistemas de información del Sinab</t>
  </si>
  <si>
    <t>4.4 Promover la automatización y especialización de los servicios de las Bibliotecas para constituirlas en centros de recursos para el aprendizaje y de la investigación.</t>
  </si>
  <si>
    <t>Meta 4.4.1  Alcanzar un nivel de cubrimiento en capacitación para el uso de los servicios de información del SINAB de al menos 15.600 usuarios por año de la comunidad académica (docentes, estudiantes de posgrado y pregrado)</t>
  </si>
  <si>
    <t>Realizar encuentro del grupo de formadores en competencias informacionales, para revisar los contenidos de los módulos y la plataforma de moodle, actualizarlos, mejorarlos y socializar las mejores prácticas.</t>
  </si>
  <si>
    <t xml:space="preserve">ealizar campañas de promoción y divulgación de los cursos de capacitación en el manejo de los sistemas de información del SINAB </t>
  </si>
  <si>
    <t>Realizar capacitaciones y asistir a eventos Nacionales e internacionales que mejoren las capacidades de los funcionarios del Sinab, en calidad de asistentes o ponentes.</t>
  </si>
  <si>
    <t>Meta 4.4.2 Incrementar al menos el 40% el índice de usuarios que realizan transacciones bibliográficas realizadas en el SINAB, en el período 2013-2015.</t>
  </si>
  <si>
    <t>Realizar campañas de promoción y divulgación de los cursos de capacitación en el manejo de los sistemas de información del SINAB</t>
  </si>
  <si>
    <t xml:space="preserve">Diseño y adquisición de piezas de divulgación de servicios del SINAB </t>
  </si>
  <si>
    <t>Meta 4.4.3 Creación y prestación del servicio de apoyo al aprendizaje y a la investigación, en las sedes de Bogotá, Medellín y Manizales en el período 2013-2015</t>
  </si>
  <si>
    <t>Adquisición de equipos de radiofrecuencia en las Sedes Bogotá y Medellín</t>
  </si>
  <si>
    <t xml:space="preserve">Adquisición de equipos de computo para soporte del SINAB en el Nivel Nacional y las sedes de Manizales, Palmira, Bogotá y Medellín. </t>
  </si>
  <si>
    <t xml:space="preserve">Compra de equipos para la digitalización y proyección y automatización de servicios de las Sedes Manizales, Bogotá y Medellín. </t>
  </si>
  <si>
    <t xml:space="preserve">4.5 Facilitar a la comunidad universitaria el acceso a recursos de información de alta calidad académica. </t>
  </si>
  <si>
    <t>Selección de bases de datos a suscribir en la Dirección Nacional De Bibliotecas.</t>
  </si>
  <si>
    <t xml:space="preserve">Configuración y puesta a disposición de la comunidad académica las diferentes bases de datos adquiridas. </t>
  </si>
  <si>
    <t>Meta 5.1.1 Garantizar el acceso a 60 bases de datos de información científica de alto nivel de especialización para la comunidad universitaria en el período 2013-2015</t>
  </si>
  <si>
    <t xml:space="preserve">5.1 Establecer los mecanismos necesarios para la gestión y correcto funcionamiento del Sistema Nacional de Laboratorios </t>
  </si>
  <si>
    <t>Redacción, aprobación y divulgación del documento de políticas para el SNL</t>
  </si>
  <si>
    <t>Redacción, aprobación y divulgación del documento de reglamentación para la operación de laboratorios.</t>
  </si>
  <si>
    <t xml:space="preserve">Redacción, aprobación y divulgación del manual de tarifas para los servicios ofrecidos por los laboratorios.                                                                        </t>
  </si>
  <si>
    <t>Redacción, aprobación y divulgación del manual sobre políticas de adquisición de equipos.</t>
  </si>
  <si>
    <t>5.2 Mejorar la capacidad técnica y tecnológica del Sistema Nacional de Laboratorios.</t>
  </si>
  <si>
    <t>Cofinanciar la adquisición y repotenciación de equipos para laboratorios que hagan parte de proyectos de creación de redes</t>
  </si>
  <si>
    <t>Redacción , aprobación y divulgación del procedimiento para la gestión del mantenimiento y el aseguramiento metrológico de equipos en los laboratorios</t>
  </si>
  <si>
    <t>Realización de un foro taller sobre mantenimiento y aseguramiento metrológico</t>
  </si>
  <si>
    <t xml:space="preserve">Realizar un curso sobre gestión metrológica en el segundo semestre de 2013 </t>
  </si>
  <si>
    <t>Desarrollo y socialización de aplicativo (en Hermes) para el control del mantenimiento y la gestión metrológica en el SNL</t>
  </si>
  <si>
    <t>Realización de un diplomado sobre gestión metrológica</t>
  </si>
  <si>
    <t>Cofinanciar la creación de laboratorios de metrología</t>
  </si>
  <si>
    <t>Verificación del inventario de laboratorios y sus equipos</t>
  </si>
  <si>
    <t>Realizar un curso sobre gestión metrológica en el segundo semestre de 2014</t>
  </si>
  <si>
    <t>Realizar un curso sobre gestión metrológica en el segundo semestre de 2015</t>
  </si>
  <si>
    <t>Cofinanciación de la capacitación de funcionarios en cada una de las áreas definidas.</t>
  </si>
  <si>
    <t>5.3 Asegurar la competencia tecno-científica y de gestión de los laboratorios de la Universidad, mediante la implementación de buenas prácticas de laboratorios y el desarrollo de procesos de certificación, habilitación y acreditación de ensayos.</t>
  </si>
  <si>
    <t>Coordinar actividades de capacitación sobre gestión de calidad en laboratorios</t>
  </si>
  <si>
    <t xml:space="preserve">Cofinanciar procesos de acreditación de laboratorios                    </t>
  </si>
  <si>
    <t>Meta 5.3.2 Acompañar al menos el 10% de los laboratorios de la Universidad en la implementación de Buenas Prácticas de Laboratorio (BPL).</t>
  </si>
  <si>
    <t>Diseño e implementación de guías y cursos para gestión de riesgos eléctricos</t>
  </si>
  <si>
    <t xml:space="preserve">Dotar a los laboratorios con la señalización necesaria de acuerdo a los riesgos identificados                                                                  </t>
  </si>
  <si>
    <t>Diseño e implementación de guías y cursos para gestión de riesgos radiológicos</t>
  </si>
  <si>
    <t xml:space="preserve">Diseño e implementación de guías y cursos para gestión de riesgos mecánicos </t>
  </si>
  <si>
    <t xml:space="preserve">Diseño e implementación de guías y cursos para gestión de riesgos químicos.                                                                    </t>
  </si>
  <si>
    <t>Meta 5.3.1 Desarrollar procesos de acreditación, certificación y habilitación en al menos 10 laboratorios del SNL durante el trienio</t>
  </si>
  <si>
    <t>5. Mejorar las condiciones operacionales de los laboratorios de la Universidad, para que desarrollen sus actividades en el marco de las normas que le aplican.</t>
  </si>
  <si>
    <t>2.  Incentivar, gestionar y apoyar las labores de formación para la investigación, la creación y la innovación en la Universidad Nacional de Colombia a través de una oferta integral de estímulos que articulen la formación y la investigación en pregrados y posgrados, con proyección regional e internacional, que favorezcan la apropiación y transferencia de conocimientos.</t>
  </si>
  <si>
    <t>3. Integrar, modernizar, estandarizar y hacer mas eficaz la función de difusión y divulgación del conocimiento producido en la Universidad Nacional de Colombia a través de sus centros editoriales con la coordinación de la  Editorial de la Universidad, haciendo del sistema un referente y modelo exitoso de valor integral en la divulgación académica y científica de la Universidad con énfasis en Iberoamérica.</t>
  </si>
  <si>
    <t>4. Fortalecer el sistema de información bibliográfico especializado de la Universidad Nacional de Colombia como soporte a la docencia, el Sistema Nacional de Investigación y garantizar acceso a la comunidad universitaria a contenidos electrónicos de alto impacto académico.</t>
  </si>
  <si>
    <t>6. Establecer una cultura de la innovación, la creación y los procesos asociados de gestión de la propiedad intelectual, por medio del apoyo a la formulación de propuestas de innovación, procesos de transferencia de conocimiento, educación continua y creación de un ambiente cultural sobre la importancia de la innovación social y tecnológica para el desarrollo del país.</t>
  </si>
  <si>
    <t xml:space="preserve">6.1 Incentivar la generación de propuestas de innovación mediante la capacitación a los investigadores de la Universidad y el acompañamiento metodológico y logístico para su formulación. </t>
  </si>
  <si>
    <t>Divulgar los procesos, actividades referentes a la innovación y trasferencia de conocimiento</t>
  </si>
  <si>
    <t>Coordinación a nivel nacional de la puesta en marcha de la convocatoria</t>
  </si>
  <si>
    <t>Realización de mesas de trabajo con los investigadores de la Universidad Nacional de Colombia que tengan productos de investigación susceptibles de ser transferidos al sector productivo.</t>
  </si>
  <si>
    <t>Acompañar la formulación de los proyectos de innovación.</t>
  </si>
  <si>
    <t>Gestionar y tramitar el mantenimiento de las patentes producidas por los investigadores de la Universidad Nacional</t>
  </si>
  <si>
    <t xml:space="preserve">Gestionar y tramitar los registros de derechos de autor producidos por los investigadores de la Universidad Nacional </t>
  </si>
  <si>
    <t>Gestionar y tramitar los contratos de acceso a recursos genéticos para los proyectos de investigación de la Universidad Nacional</t>
  </si>
  <si>
    <t>Gestionar y tramitar la obtención de los permisos para los proyectos de investigación de la Universidad que involucren conocimiento tradicional de las comunidades étnicas del país</t>
  </si>
  <si>
    <t>Gestionar y tramitar los depósitos de microorganismos en los bancos autorizados para los proyectos de investigación de la Universidad que los requieran</t>
  </si>
  <si>
    <t>Capacitar y acompañar a docentes e investigadores en la formulación de programas y proyectos a ser presentados en las entidades territoriales para ser financiados con recursos del Sistema General de Regalías.</t>
  </si>
  <si>
    <t>Meta 6.4.2  Apoyar la formulación y ejecución de al menos 12 proyectos de innovación social mediante extensión solidaria, en el trienio 2013 -2015.</t>
  </si>
  <si>
    <t>Seguimiento a la ejecución y alcance de resultados de los proyectos apoyados y generación de indicadores</t>
  </si>
  <si>
    <t>Elaborar un diagnóstico de los factores internos y externos así como los posibles proyectos y programas que demandan los países vecinos para cada nodo propuesto</t>
  </si>
  <si>
    <t>Formular propuestas de estrategias y modelo de gestión y operación para cada nodo fronterizo</t>
  </si>
  <si>
    <t xml:space="preserve"> Implementación y montaje de las estrategias y modelos diseñados</t>
  </si>
  <si>
    <t>Realizar los ajustes y retroalimentación de las propuestas implementadas</t>
  </si>
  <si>
    <t>Elaborar un estudio de la demanda y comportamiento de programas de educación continua en Latinoamérica y el Caribe, así como centros de educación continua, redes y alianzas estratégicas para la internacionalización. Así mismo las fortalezas, capacidades y oportunidades a nivel de estructuración de programas y proyectos alrededor del tema</t>
  </si>
  <si>
    <t>Realización de mesas de trabajo con los docentes y los equipos de educación continua de la Universidad para identificar las propuestas a acompañar en la formulación para la internacionalización de programas y proyectos de Educación Continua</t>
  </si>
  <si>
    <t>Acompañamiento de la formulación de proyectos y actividades de educación continua con proyección internacional en las Facultades y Sedes de la UN</t>
  </si>
  <si>
    <t>Elaborar diagnóstico de requerimientos, modelos de gestión y equipos de trabajo</t>
  </si>
  <si>
    <t>Diseñar planes de trabajo por componente: tecnológico, académico, pedagógico, gestión de contenidos y de soporte gráfico y audiovisual, administración y seguimiento y validar e incorporar ajustes</t>
  </si>
  <si>
    <t>Gestionar e implementar los cursos diseñados</t>
  </si>
  <si>
    <t>2.7. Becas Posgrado</t>
  </si>
  <si>
    <t>Promedio $25.000.000 x curso</t>
  </si>
  <si>
    <t xml:space="preserve">No existe soporte jurídico especializado en asuntos editoriales y de pronta respuesta en asuntos de propiedad intelectual. </t>
  </si>
  <si>
    <t xml:space="preserve"># de publicaciones en formatos digitales /  # total de publicaciones desarrolladas  por la editorial UN a través de sus colecciones </t>
  </si>
  <si>
    <t>Coediciones realizadas / 3 Coediciones (meta ) *100%</t>
  </si>
  <si>
    <t>Realizar el proceso precontractual y contractual de las diferentes bases de datos a adquirir por parte la Dirección Nacional De Bibliotecas.</t>
  </si>
  <si>
    <t>Elaboración de Propuesta de organización  y funcionamiento de la Unidad de Innovación Social UN</t>
  </si>
  <si>
    <t>Meta 6.5.2 Apoyar la formulación de al menos 6 propuestas en el trienio 2013 - 2015 de programas de educación continua y permanente a nivel internacional con énfasis en Latinoamérica y el Caribe.</t>
  </si>
  <si>
    <t>Formulación de la convocatoria con sus criterios de participación y alcances.</t>
  </si>
  <si>
    <t>Realizar eventos en la modalidad de concurso para incentivar  las mejores propuestas de innovación.</t>
  </si>
  <si>
    <t>Estudio de factibilidad de las estrategías seleccionadas</t>
  </si>
  <si>
    <t>Participar en ruedas de innovación Universidad - Empresa - Estado</t>
  </si>
  <si>
    <t>Realización de un estudio de mercado de posibles licenciatarios</t>
  </si>
  <si>
    <t>6.5 Promover la proyección internacional de la Universidad mediante proyectos y actividades de innovación social, tecnológica y las labores de educación continua.</t>
  </si>
  <si>
    <t xml:space="preserve">Coordinación de las actividades que se desarrollarán teniendo en cuenta las condiciones de las sedes y los proyectos ganadores en la convocatoria de innovación social mediante extensión solidaria. . </t>
  </si>
  <si>
    <t>1. Integrar el sistema de investigación, extensión y laboratorios entre los niveles nacional, de sedes y de facultades con el fin de generar una estructura interna que le permita a la Universidad contribuir en la solución de problemas a nivel nacional e internacional.</t>
  </si>
  <si>
    <t>Aplicativos desarrollados e implementados / 4 nuevos aplicativos (meta) *100%</t>
  </si>
  <si>
    <t>personal hermes</t>
  </si>
  <si>
    <t>licencias</t>
  </si>
  <si>
    <t>INGENIEROS</t>
  </si>
  <si>
    <t>COORDINADOR /DISEÑADOR</t>
  </si>
  <si>
    <t>ESTUDIANTES AUXILIARES</t>
  </si>
  <si>
    <t>TECNÓLOGOS</t>
  </si>
  <si>
    <t>DISEÑADOR</t>
  </si>
  <si>
    <t>INGENIERIA</t>
  </si>
  <si>
    <t>mobiliario y equipos de cómputo</t>
  </si>
  <si>
    <t xml:space="preserve">insumos oficina </t>
  </si>
  <si>
    <t>viáticos y gastos de viaje</t>
  </si>
  <si>
    <t>total</t>
  </si>
  <si>
    <t>Adecuación y dotación del lugar de funcionamiento de la figura jurídico-administrativa</t>
  </si>
  <si>
    <t>1.4.5</t>
  </si>
  <si>
    <t xml:space="preserve">oracle, </t>
  </si>
  <si>
    <t>apoyo con contraprestaciones implementaciones ajuste</t>
  </si>
  <si>
    <t>Meta 6.1.2 Acompañar la formulación de al menos 30 propuestas de proyectos de innovación en el trienio 2013 - 2015</t>
  </si>
  <si>
    <t># de estrategias apoyadas / estrategias (meta) * 100%</t>
  </si>
  <si>
    <t>PERSONAL</t>
  </si>
  <si>
    <t>Acompañamiento y asesoría a cada una de las sedes en la implementación de los proyectos de innovación seleccionados</t>
  </si>
  <si>
    <t>Estudio de evaluación y elaboración del plan de acción con proyección al año 2023 del sistema de innovación de la Universidad Nacional de Colombia</t>
  </si>
  <si>
    <r>
      <t xml:space="preserve">6 patentes de la universidad en los últimos tres años
</t>
    </r>
    <r>
      <rPr>
        <sz val="9"/>
        <color indexed="10"/>
        <rFont val="Arial"/>
        <family val="2"/>
      </rPr>
      <t>3 registros de derecho de autor</t>
    </r>
    <r>
      <rPr>
        <sz val="9"/>
        <rFont val="Arial"/>
        <family val="2"/>
      </rPr>
      <t xml:space="preserve">
20 permisos de investigación
3 contratos de acceso
5 colecciones biológicas
Inexistente el número de deposito de microorganismos</t>
    </r>
  </si>
  <si>
    <t>Formular y poner en marcha las estrategias para la comercialización de tecnologías de acuerdo a lineamientos de la Universidad.</t>
  </si>
  <si>
    <t>Creación y operación del programa"¿Regalías CTeI, cómo vamos?" para el seguimiento al desarrollo del Fondo CTeI del Sistema General de Regalias a nivel nacional.</t>
  </si>
  <si>
    <t>Coordinar a nivel nacional la puesta en marcha del Programa Nacional de Movilidad Nacional para la Investigación</t>
  </si>
  <si>
    <t>Creación e implementación del módulo para la gestión de las transferencias asociadas a los proyectos de extensión</t>
  </si>
  <si>
    <t>Creación e implementación del módulo para la gestión de las labores de educación continua desarrolladas por la Universidad</t>
  </si>
  <si>
    <t>Diseño e implementación del módulo censo de laboratorios para el registro de capacidades e inventario de equipos del Sistema Nacional de Laboratorios de la Universidad.</t>
  </si>
  <si>
    <t xml:space="preserve">Meta 1.2.2  Integración del Sistema SIGE al Sistema de Información HERMES desarrollando 3 nuevos módulos para la gestión de las actividades de extensión de la Universidad Nacional de Colombia, durante el trienio 2013 -2015. </t>
  </si>
  <si>
    <t>Meta 1.2.3  Desarrollo de 2 nuevos módulos para el mejoramiento de la gestión del Sistema Nacional de Laboratorios en el Sistema de Información HERMES.</t>
  </si>
  <si>
    <t>Meta 1.2.4 Creación y operación de un módulo para la generación automática de indicadores de la gestión de Investigación, Extensión y Laboratorios de la Universidad a través del Sistema de Información HERMES , durante el trienio 2013 -2015.</t>
  </si>
  <si>
    <t xml:space="preserve">Meta 1.3.1  Realización de al menos 3 estudios ( jurídico, financiero y plan de negocios) como insumo para la creación de la figura jurídico-administrativa. </t>
  </si>
  <si>
    <t>Meta 1.3.2 Creación legal de una (1) figura jurídico-administrativa seleccionada</t>
  </si>
  <si>
    <t xml:space="preserve">Realización de los estudios de factibilidad jurídica, financiera y plan de negocios de la figura jurídico-administrativa </t>
  </si>
  <si>
    <t>Meta 1.4.1 Realización y divulgación del modelo de indicadores de investigación y extensión ajustado e implementado durante el trienio 2013 - 2015</t>
  </si>
  <si>
    <t>Meta 1.4.3 Elaboración e implementación de al menos cuatro protocolos para la estandarización de páginas web del sistema de investigación, Boletín de Investigación, Sistema Electrónico y protección de resultados de investigación.</t>
  </si>
  <si>
    <t>Meta 1.4.5 Creación del Banco de Proyectos de Investigación de la Universidad considerando las capacidades internas y las oportunidades externas a la Universidad durante el trienio 2013 - 2015</t>
  </si>
  <si>
    <t>Implementación y gestión de la generación en línea de indicadores de investigación, extensión, y laboratorios en coordinación con el Sistema de Información Hermes..</t>
  </si>
  <si>
    <t>Recopilación y ajuste de los portafolios de investigación y extensión disponibles por sedes y facultades</t>
  </si>
  <si>
    <t>Estandarización de las páginas web asociadas al sistema de investigación de la Universidad (investigación, extensión, laboratorios, bibliotecas y publicaciones)</t>
  </si>
  <si>
    <t xml:space="preserve">Ejecución de convocatoria permanente para el apoyo a la formulación de proyectos de investigación y de importancia institucional para la Universidad y para el Sistema Nacional de Investigación. </t>
  </si>
  <si>
    <t xml:space="preserve">Evaluación y seguimiento a los proyectos de investigación apoyados e inscritos en el Banco de Proyectos de la UN. </t>
  </si>
  <si>
    <t>Meta 1.5.1 Elaboración de al menos tres propuestas que evidencien la revisión y ajuste de la normatividad vigente en materia de investigación, extensión y laboratorios.</t>
  </si>
  <si>
    <t>Elaboración y trámite de la propuesta de ajuste del Acuerdo 036 de 2009 del Consejo Superior</t>
  </si>
  <si>
    <t>Elaboración y trámite de la propuesta de ajuste de la reglamentación asociada con las labores de investigación en la Universidad</t>
  </si>
  <si>
    <t>Elaboración y trámite de la propuesta de ajuste de la estructura administrativa del sistema de investigación, extensión y laboratorios de la Universidad</t>
  </si>
  <si>
    <t>2 Centros de Pensamiento financiados (Centro de Pensamiento y seguimeinto a los diálogos de paz; reforma a la ley 30)</t>
  </si>
  <si>
    <t xml:space="preserve">6.2  Incrementar la formulación de propuestas de transferencia de conocimiento así como la gestión y protección del conocimiento y la propiedad intelectual de la Universidad. </t>
  </si>
  <si>
    <t xml:space="preserve">6.3 Fortalecer la formulación y ejecución de proyectos de CTeI en las regiones para acceder a recursos destinados al desarrollo regional y de ciencia, tecnología e innovación en el país. </t>
  </si>
  <si>
    <t>6.4. Generar alianzas que permitan la participación activa de la Universidad en el fortalecimiento de un Sistema Nacional de Innovación Social.</t>
  </si>
  <si>
    <t>Meta 6.1.1 Capacitar al menos a 100 investigadores en el trienio 2013-2015 en temas de innovación.</t>
  </si>
  <si>
    <t>Meta 6.2.1  Acompañar la formulación de al menos 6 proyectos en el trienio 2013 - 2015 de innovación o transferencia de conocimiento con financiación externa</t>
  </si>
  <si>
    <t>Meta 6.2.2 Apoyar la gestión de patentes y derechos de autor incrementando el número de solicitudes en un 20% anual.</t>
  </si>
  <si>
    <t>Meta 6.2.3 Acompañar el trámite de al menos 3 licencias de productos en el trienio 2013-2015</t>
  </si>
  <si>
    <t>Meta 6.2.4 Apoyar la generación de mínimo dos (2) estrategias en el trienio 2013 -2015 para fortalecer los procesos de innovación con el sector productivo.</t>
  </si>
  <si>
    <t>Meta 6.3.1 Apoyar la formulación de al menos 50 proyectos anuales que contribuyan al desarrollo regional y de ciencia, tecnología e innovación en el país para acceder al apoyo de recursos como los ofrecidos por el Sistema General de Regalías.</t>
  </si>
  <si>
    <t>Meta 6.4.1 Crear y poner en funcionamiento la Unidad de Innovación Social de la Universidad Nacional de Colombia</t>
  </si>
  <si>
    <t>Meta 6.4.3 Apoyar la generación de 2 actividades anuales de innovación social en las Sedes.</t>
  </si>
  <si>
    <t>Meta 6.5.1 Creación y puesta en funcionamiento de 3 nodos fronterizos para la promoción de la educación continua y permanente de la Universidad, durante el trienio 2013 -2015. .</t>
  </si>
  <si>
    <t>Meta 6.5.3 ormulación y puesta en marcha de un programa para ampliar la cobertura con calidad de la educación continua ofrecida por la universidad mediante el uso de las herramientas digitales actuales durante el trienio 2013 - 2015.</t>
  </si>
  <si>
    <t>Acompañamiento en el trámite de licenciamiento (incluye entre otros valoración, negociación y puesta en marcha de acuerdos de comercialización de tecnologías)</t>
  </si>
  <si>
    <t>Realizar encuentros o mesas de trabajo anuales con la participación de alcaldes, gobernadores y/o demás actores de interés.</t>
  </si>
  <si>
    <t xml:space="preserve">Meta 5.1.1 Preparar y socializar al menos 4 documentos para la organización y funcionamiento del Sistema Nacional de Laboratorios para el segundo semestre de 2013 </t>
  </si>
  <si>
    <t xml:space="preserve">Meta 5.2.1 Adquirir y repotenciar equipos de al menos 80 laboratorios, durante el trienio. </t>
  </si>
  <si>
    <t>Meta 5.2.2 Crear el programa de mantenimiento y aseguramiento metrológico para los laboratorios de la Universidad y su implementación en al menos el 10% de los laboratorios del SNL</t>
  </si>
  <si>
    <t>Meta 5.2.3 Capacitación de al menos 40 técnicos profesionales de laboratorio durante el trienio según los requerimientos específicos y considerando criterios de servicio e impacto.</t>
  </si>
  <si>
    <t xml:space="preserve">BOGOTA </t>
  </si>
  <si>
    <t>MEDELLIN</t>
  </si>
  <si>
    <t>MANIZALES</t>
  </si>
  <si>
    <t xml:space="preserve">PALMIRA </t>
  </si>
  <si>
    <t xml:space="preserve">CARIBE </t>
  </si>
  <si>
    <t xml:space="preserve">AMAZONIA </t>
  </si>
  <si>
    <t>ORINOQUIA</t>
  </si>
  <si>
    <t>2.7.1 Becas Posgrado</t>
  </si>
  <si>
    <t>Meta 4.1.1 Adquisición de al menos 12.500 volúmenes de material bibliográfico durante el período 2013-2015.</t>
  </si>
  <si>
    <t>Meta 4.2.1 Fortalecer la biblioteca digital mediante el acceso e intercambio de información bibliográfica con iniciativas y proyectos de acceso abierto en el período 2013-2014.</t>
  </si>
  <si>
    <t xml:space="preserve">Meta 4.2.2 Digitalización, preservación y divulgación de al menos 23.400 documentos de valor científico, tecnológico, cultural según análisis previo de priorización. </t>
  </si>
  <si>
    <t>Meta 4.3.1 Mejorar la visibilidad y uso de la Biblioteca digital (Repositorio Institucional y Portal OJS) permitiendo la divulgación de la producción académica de la Universidad en los portales del SINAB y posicionándola dentro de los primeros 5 puestos del ranking latinoamericano en este aspecto en el período 2013-2015</t>
  </si>
  <si>
    <t>2 Centros de Pensamiento financiados (Centro de Pensamiento y seguimiento a los diálogos de paz; reforma a la ley 30)</t>
  </si>
  <si>
    <t>ACTIVIDADES PARA CUMPLIR CON CADA META AÑO 2013</t>
  </si>
  <si>
    <t xml:space="preserve">FECHA DE INICIO </t>
  </si>
  <si>
    <t xml:space="preserve">FECHA FINALIZACIÓN </t>
  </si>
  <si>
    <t xml:space="preserve">  31/12/2013     </t>
  </si>
  <si>
    <t xml:space="preserve"> 01/05/2014</t>
  </si>
  <si>
    <t xml:space="preserve"> 31/12/2013     </t>
  </si>
  <si>
    <t xml:space="preserve"> 31/12/2014     </t>
  </si>
  <si>
    <t xml:space="preserve">   20/12/2013     </t>
  </si>
  <si>
    <t xml:space="preserve">  20/12/2013     </t>
  </si>
  <si>
    <t xml:space="preserve"> 20/12/2013</t>
  </si>
  <si>
    <t xml:space="preserve"> 20/12/2013  </t>
  </si>
  <si>
    <t xml:space="preserve"> 29/11/2013</t>
  </si>
  <si>
    <t xml:space="preserve">Gestionar las respectivas autorizaciones para la publicación y asesorar las Sedes en la adquisición de equipos para la digitalización y la preservación del patrimonio documental y realizar trámites contractuales en las Sedes de la Universidad </t>
  </si>
  <si>
    <t xml:space="preserve"> Digitalizar y catalogar los metadatos en las plataformas Dspace y OJS, colocar la información digitalizada y preservada a la comunidad de usuarios.</t>
  </si>
  <si>
    <t>Adecuación y ajuste del sistema requerido para el alojamiento de materiales audiovisuales en el repositorio digital.</t>
  </si>
  <si>
    <t>Medición bibliométrica semestral de la visibilidad y consulta de la producción académica de la UN a nivel latinoamericano y mundial</t>
  </si>
  <si>
    <t xml:space="preserve">Realizar campañas de promoción y divulgación de los cursos de capacitación en el manejo de los sistemas de información del SINAB </t>
  </si>
  <si>
    <t xml:space="preserve"> 30/12/2013  </t>
  </si>
  <si>
    <t xml:space="preserve"> 30/11/2015  </t>
  </si>
  <si>
    <t xml:space="preserve">  30/11/2015    </t>
  </si>
  <si>
    <t xml:space="preserve">   28/11/2014  </t>
  </si>
  <si>
    <t>Acompañamiento en el trámite de licenciamiento (incluye entre otros valoración, negociación y puesta en marcha de acuerdos de comercialización de tecnologías</t>
  </si>
  <si>
    <t>Estudios de evaluación y elaboración del plan de acción con proyección al año 2023 del sistema de innovación de la Universidad Nacional de Colombia</t>
  </si>
  <si>
    <t xml:space="preserve">  31/12/2013  </t>
  </si>
  <si>
    <t>Elaboración de propuesta de organización  y funcionamiento de la Unidad de Innovación Social UN</t>
  </si>
  <si>
    <t>AÑO 1</t>
  </si>
  <si>
    <t xml:space="preserve">PRESUPUESTO </t>
  </si>
  <si>
    <t>Presupuesto</t>
  </si>
  <si>
    <t>Proyecto: PLANEACIÓN, INTEGRACIÓN Y PROYECCIÓN DEL SISTEMA DE INVESTIGACIÓN</t>
  </si>
  <si>
    <t>Código QUIPU: 40000009414</t>
  </si>
  <si>
    <t>ESTIMULO ESTUDIANTES AUXILIARES</t>
  </si>
  <si>
    <t>Vigencia</t>
  </si>
  <si>
    <t>Valor Ejecutado</t>
  </si>
  <si>
    <t>Valor Disponibilidad</t>
  </si>
  <si>
    <t>Fecha de Compromiso</t>
  </si>
  <si>
    <t>Tipo Compromiso</t>
  </si>
  <si>
    <t>Nro. Compromiso</t>
  </si>
  <si>
    <t>Tercero</t>
  </si>
  <si>
    <t>Valor Compromiso</t>
  </si>
  <si>
    <t>Objeto Compromiso</t>
  </si>
  <si>
    <t>22-AUG-13</t>
  </si>
  <si>
    <t>RAG</t>
  </si>
  <si>
    <t>GNFA-603</t>
  </si>
  <si>
    <t>1032426847 - CABEZAS MARTINEZ IVAN ALBEIRO</t>
  </si>
  <si>
    <t>ESTÌMULO ECONÒMICO POR LABORES DE ESTUDIANTE AUXILIAR 6 CONTADOS DE $1.000. 000.00</t>
  </si>
  <si>
    <t>TOTAL EJECUTADO ESTIMULO ESTUDIANTES AUXILIARES:</t>
  </si>
  <si>
    <t>IMPUESTOS TASAS Y MULTAS</t>
  </si>
  <si>
    <t>-</t>
  </si>
  <si>
    <t>TOTAL EJECUTADO IMPUESTOS TASAS Y MULTAS:</t>
  </si>
  <si>
    <t>MATERIALES Y SUMINISTROS</t>
  </si>
  <si>
    <t>ODC</t>
  </si>
  <si>
    <t>19122597 - ARCINIEGAS MILLAN BENICIO</t>
  </si>
  <si>
    <t>SUMINISTRAR E INSTALAR CORTINAS EN LOS VENTANALES DEL EDIFICIO DE LA HEMER OTECA UNIVERSITARIA NACIONAL</t>
  </si>
  <si>
    <t>13-AUG-13</t>
  </si>
  <si>
    <t>51614298 - ISAZA RUEDA CLEMENCIA ELVIRA</t>
  </si>
  <si>
    <t>SUMINISTRAR ALIMENTOS Y BEBIDAS QUE INCLUYAN LA ATENCION INTEGRAL EN LAS RE UNIONES ORGANIZADAS POR LA VICERRECTORIA DE INVESTIGACION, EN EL MARCO DEL PROYECTO PLANEACION, INTEGRACION Y PROYECCION DEL SISTEMA DE INVESTIGACION.</t>
  </si>
  <si>
    <t>TOTAL EJECUTADO MATERIALES Y SUMINISTROS:</t>
  </si>
  <si>
    <t>OTROS GASTOS GENERALES</t>
  </si>
  <si>
    <t>14-AUG-13</t>
  </si>
  <si>
    <t>GNFA-565</t>
  </si>
  <si>
    <t>830063697 - OBSERVATORIO DE CIENCIA Y TECNOLOGIA OCYT</t>
  </si>
  <si>
    <t>CUOTA DE AFILIACION AÑO 2013 COMO SOCIO PROMOTOR SEGUN CONSTA EN LA CUENTA DE COBRO 0104 DEL 3 DE MAYO DE 2013</t>
  </si>
  <si>
    <t>TOTAL EJECUTADO OTROS GASTOS GENERALES:</t>
  </si>
  <si>
    <t>REMUNERACION POR SERVICIOS TECNICOS</t>
  </si>
  <si>
    <t>26-AUG-13</t>
  </si>
  <si>
    <t>ODS</t>
  </si>
  <si>
    <t>1055272068 - GUIO ALVAREZ JOSE LUIS</t>
  </si>
  <si>
    <t>PRESTAR SERVICIOS PROFESIONALES PARA REALIZAR LA SEGUNDA FASE DE ESTANDARIZ ACION Y DISEÑO DE LOS SITIOS Y APLICATIVOS WEB RELACIONADOS CON PROCESOS DE INVESTIGACION DE LA VICERRECTORIA DE INVESTIGACION</t>
  </si>
  <si>
    <t>1032434473 - ZAPATA MARTINEZ CAMILO ALBERTO</t>
  </si>
  <si>
    <t>PRESTAR SERVICIOS PROFESIONALES PARA REALIZAR LA SEGUNDA FASE DE MIGRACIÒN AL SISTEMA HERMES, DEL MÒDULO DE APOYO A LA GESTIÒN DE LA MODALIDAD DE EDUC ACION CONTINUA Y PERMANENTE, DESARROLLADO EN EL SISTEMA DE EXTENSION SIGE</t>
  </si>
  <si>
    <t>1098610315 - VERA DIETTES KELLY JOHANA</t>
  </si>
  <si>
    <t>PRESTAR SERVICIOS PROFESIONALES PARA GESTIONAR Y DESARROLLAR PROYECTOS CON ENTIDADES EXTERNAS A LA UNIVERSIDAD</t>
  </si>
  <si>
    <t>09-AUG-13</t>
  </si>
  <si>
    <t>1012361850 - ARIZA SAYO CRISTIAN CAMILO</t>
  </si>
  <si>
    <t>PRESTAR SERVICIOS TÈCNICOS PARA APOYAR EL ANÀLISIS DE PRUEBAS Y REQUERIMIEN TOS DEL COMPONENTE PRESUPUESTAL DEL MÒDULO DE EDUCACION CONTINUA Y PERMANEN TE EN EL SISTEMA DE INFORMACION HERMES A NIVEL NACIONAL</t>
  </si>
  <si>
    <t>1032419871 - RODRIGUEZ CORTES OMAR CAMILO</t>
  </si>
  <si>
    <t>PRESTAR SERVICIOS TÈCNICOS PARA APOYAR LOS DESARROLLOS Y AJUSTES DEL COMPON ENTE DE REGISTRO DE PROYECTO Y APROBACION DEL MÒDULO DE EDUCACIÒN CONTINUA Y PERMANENTE EN EL SISTEMA DE INFORAMACIÒN HERMES A NIVEL NACIONAL</t>
  </si>
  <si>
    <t>1018415626 - GALINDO MALAVER NATALIE</t>
  </si>
  <si>
    <t>PRESTAR SERVICIOS PROFESIONALES PARA REALIZAR EL DISEÑO DE IDENTIDAD VISUA L COORDINADA, DISEÑO EDITORIAL Y MEDIO DIGITALES DENTRO DEL PLAN DE DIFUSIÒ N Y VISIBILIDAD DEL SISTEMA NACIONAL DE INVESTIGACION DE LA UNIVERSIDAD NAC</t>
  </si>
  <si>
    <t>1023876575 - OLARTE MESA LILIANA MARCELA</t>
  </si>
  <si>
    <t>PRESTAR SERVICIOS PROFESIONALES PARA EL DESARROLLO E IMPLEMENTACION DE LOS REQUERIMIENTOS FUNCIONALES DE LA PRIMERA FASE DEL MÒDULO CENTRALIZADO DE RE GISTRO Y GESTIÒN DE LOS PROCESOS ASOCIADOS CON LA PROPIEDAD INTELECTUAL</t>
  </si>
  <si>
    <t>36312531 - PEREZ GARZON MARIA MANUELA</t>
  </si>
  <si>
    <t>PRESTAR SERVICIOS PROFESIONALES EN LOS PROCESOS CONTRACTUALES EN DOBLE VIA DE LA VICERRECTORIA DE INVESTIGACION Y LAS DEPENDENCIAS ADSCRITAS, ASÌ COM O LA REVISIÒN Y GENERACION DE PROPUESTAS DE AJUSTE DE LA NORMATIVIDAD RELAC</t>
  </si>
  <si>
    <t>1020729897 - MORA PUIN JASSON JAIR</t>
  </si>
  <si>
    <t>PRESTAR SERVICIOS TÈCNICOS PARA APOYAR LOS DESARROLLOS Y AJUSTES DEL COMPON ENTE OPERATIVO - SOLICITUDES DEL MÒDULO DE EDUCACIÒN CONTINUA Y PERMANENTE EN EL SISTEMA DE INFORMACION HERMES A NIVEL NACIONAL</t>
  </si>
  <si>
    <t>79958139 - ORTEGA MARTINEZ JULIAN GUILLERMO</t>
  </si>
  <si>
    <t>PRESTAR SERVICIOS PROFESIONALES EN DISEÑO GRÀFICO PARA REALIZAR EL AJUSTE, DISEÑO, MONTAJE, PUBLICACIÒN Y DIVULGACION DEL BOLETÌN SEMANAL UN INVESTIGA</t>
  </si>
  <si>
    <t>1016019304 - LEAL LARA JULIETH ROCIO</t>
  </si>
  <si>
    <t>PRESTAR SERVICIOS TÈCNICOS PARA APOYAR EL ANÀLISIS DE PRUEBAS Y REQUERIMIEN TOS DEL COMPONENTE OPERTATIVO (SOLICITUDES) DEL MÒDULO DE EDUCACIÒN CONTINU A Y PERMANENTE EN EL SISTEMA DE INFORMACION HERMES A NIVEL NACIONAL</t>
  </si>
  <si>
    <t>1053799116 - AMAYA RIOS MAURICIO</t>
  </si>
  <si>
    <t>PRESTAR SERVICIOS PROFESIONALES EN ADMINISTRACION DE SISTEMAS INFORMÀTICOS PARA REALIZAR LA SEGUNDA FASE DEL FORTALECIMIENTO Y REESTRUCTURACION GRÀFIC A DE LAS FUNCIONALIDADES ADMINISTRATIVAS Y OPERATIVAS DE LOS MÒDULOS DE CON</t>
  </si>
  <si>
    <t>21-AUG-13</t>
  </si>
  <si>
    <t>1018403042 - ROLDAN OTALORA CHRISTIAN ADOLFO</t>
  </si>
  <si>
    <t>PRESTAR SERVICIOS TÈCNICOS PARA APOYAR EL ANÀLISIS DE PRUEBAS Y REQUERIMIEN TOS DE LOS PROCESOS, PROCEDIMIENTOS, ACTIVIDADES Y ACTORES DE LAS MODALIDAD ES DE EXTENSIÒN DE ACUERDO CON LA PARAMETRIZACION Y DISEÑO DEL COMPONENTE D</t>
  </si>
  <si>
    <t>23-AUG-13</t>
  </si>
  <si>
    <t>1020713787 - VARGAS URREA YENY SOFIA</t>
  </si>
  <si>
    <t>PRESTAR SERVICIOS TÈCNICOS PARA APOYAR EL DESARROLLO E IMPLEMENTACION DE LO S REQUERIMIENTOS FUNCIONALES PARA LA PRIMERA FASE DEL MÒDULO DE REGISTRO Y GESTIÒN DEL APOYO BRINDADO A LA FORMACION DE INVESTIGADORES (SEMILLEROS, BE</t>
  </si>
  <si>
    <t>08-AUG-13</t>
  </si>
  <si>
    <t>79596209 - MESA SANABRIA FABIO RAUL</t>
  </si>
  <si>
    <t>PRESTAR SERVICIOS PROFESIONALES PARA REALIZAR LOS DESARROLLOS Y AJUSTES DEL COMPONENTE OPERATIVO DEL MÒDULO DE EDUCACIÒN CONTÌNUA Y PERMANENTE EN EL S ISTEMA DE INFORMACIÒN HERMES A NIVEL NACIONAL.</t>
  </si>
  <si>
    <t>52935178 - LUENGAS CAMELO CLAUDIA LILIANA</t>
  </si>
  <si>
    <t>PRESTAR SERVICIOS PROFESIONALES PARA EL DISEÑO, PROCESAMIENTO Y DIVULGACIÒN DE LOS INDICADORES DE GESTIÒN, INVESTIGACIÒN, EXTENSIÒN, BIBLIOTECAS Y EDI TORIAL PARA LAS SEDES MANIZALES, MEDELLIN Y PALMIRA DE LA UNIVERSIDAD NACIO</t>
  </si>
  <si>
    <t>52797173 - GOMEZ PARRA ANA CAROLINA</t>
  </si>
  <si>
    <t>PRESTAR SERVICIOS PROFESIONALES PARA EL DISEÑO, PROCESAMIENTO Y DIVULGACIÒN DE LOS INDICADORES DE GESTIÒN, INVESTIGACION, EXTENSIÒN, INVERSIÒN Y LABOR ATORIOS PARA LAS SEDES BOGOTÀ Y PRESENCIA NACIONAL DE LA UNIVERSIDAD NACION</t>
  </si>
  <si>
    <t>53008311 - MARIN GALVIS GLORIA TATIANA</t>
  </si>
  <si>
    <t>PRESTAR SERVICIOS TÈCNICOS PARA REALIZAR EL ANÀLISIS DE PRUEBAS Y REQUERIMI ENTOS DEL COMPONENTE OPERATIVO ACTIVIDADES DEL MÒDULO EDUCACIÒN CONTINUA Y PERMANENTE EN EL SISTEMA DE INFORMACION HERMES A NIVLE NACIONAL</t>
  </si>
  <si>
    <t>79700066 - CARDENAS ROJAS JOSE SAUL</t>
  </si>
  <si>
    <t>PRESTAR SERVICIOS PROFESIONALES PARA REALIZAR LOS DESARROLLOS Y AJUSTES DEL COMPONENTE PRESUPUESTAL DEL MÒDULO DE EDUCACIÒN CONTINUA Y PERMANENTE EN E L SISTEMA DE INFORMACIÒN HERMES A NIVEL NACIONAL</t>
  </si>
  <si>
    <t>1032380386 - CARVAJAL PATIÑO JUAN GUILLERMO</t>
  </si>
  <si>
    <t>PRESTAR SERVICIOS PROFESIONALES PARA EL DESARROLLO E IMPLEMENTACION DE LA PRIMERA FASE DE LA INTEGRACION ENTRE EL SISTEMA DE INFORMACION SIGE Y EL SI STEMA DE INFORMACION HERMES</t>
  </si>
  <si>
    <t>1014200155 - CARVAJAL PATIÑO DIEGO FELIPE</t>
  </si>
  <si>
    <t>PRESTAR SERVICIOS PROFESIONALES PARA EL DESARROLLO E IMPLEMENTACION DE LOS REQUERIMIENTOS FUNCIONALES DE LA SEGUNDA FASE DEL MÒDULO CENTRALIZADO DE GE STIÒN DE CONVOCATORIAS Y PROYECTOS DE INVESTIGACION, EXTENSION Y LABORATORI</t>
  </si>
  <si>
    <t>TOTAL EJECUTADO REMUNERACION POR SERVICIOS TECNICOS:</t>
  </si>
  <si>
    <t>VIATICOS Y GASTOS DE VIAJE</t>
  </si>
  <si>
    <t>12-AUG-13</t>
  </si>
  <si>
    <t>GNFA-575</t>
  </si>
  <si>
    <t>42499123 - SOLANO GUERRERO FANNY TORCOROMA</t>
  </si>
  <si>
    <t>VIATICOS DE VIAJE EN LA RUTA BOGOTÀ-VALLEDUPAR ENTRE EL 12 Y EL 13 DE AGOS TO DE 2013 CON EL FIN DE ASISTIR A LA REUNIÒN DE TRABAJO PARA TRATAR ASUNTO S ACERCA DEL DIPLOMADO "CIENCIA PARA LAS REGIONES" Y CONCRETAR LAS LISTAS D</t>
  </si>
  <si>
    <t>20-AUG-13</t>
  </si>
  <si>
    <t>800041036 - PASPARTU LTDA</t>
  </si>
  <si>
    <t>SUMINISTRAR TIQUETES AÈREOS EN DESTINOS NACIONALES E INTERNACIONALES PARA L OS PARTICIPANTES EN EL DESARROLLO DEL PROYECTO PLANEACION, INTEGRACION Y PR OYECCION DEL SISTEMA DE INVESTIGACION</t>
  </si>
  <si>
    <t>TOTAL EJECUTADO VIATICOS Y GASTOS DE VIAJE:</t>
  </si>
  <si>
    <t>TOTAL EJECUTADO:</t>
  </si>
  <si>
    <t>Resumen Ejecución del Proyecto por Vigencias</t>
  </si>
  <si>
    <t>Universidad Nacional de Colombia</t>
  </si>
  <si>
    <t>Carrera 45 No 26-85 - Edificio Uriel Gutiérrez</t>
  </si>
  <si>
    <t>Bogotá D.C. - Colombia</t>
  </si>
  <si>
    <t>PBX: 3165000</t>
  </si>
  <si>
    <t>webmaster@unal.edu.co</t>
  </si>
  <si>
    <t>Aviso Legal - Copyright</t>
  </si>
  <si>
    <t>EJECUCIÓN %</t>
  </si>
  <si>
    <t>Proyecto: FORTALECIMIENTO DE LA FORMACIÓN PARA LA INVESTIGACIÓN</t>
  </si>
  <si>
    <t>Código QUIPU: 40000009274</t>
  </si>
  <si>
    <t>GNFA-514</t>
  </si>
  <si>
    <t>6728677 - HOCHGERNER JOSEF</t>
  </si>
  <si>
    <t>AVANCE PARA TRÀMITE DE PAGO DE GASTOS DE ESTADIA DEL DOCENTE JOSEF HOCHGERN ER PARA ASISTIR COMO CONFERENCISTA DEL CURSO "INNOVACION SOCIAL: ENFOQUES C REATIVOS PARA EL IMPACTO SOCIAL" QUE SE REALIZARÀ EL 26 DE JULIO DE 2013</t>
  </si>
  <si>
    <t>900445031 - VYVE VIAJA Y VIVE EXPERIENCIAS S.A.S.</t>
  </si>
  <si>
    <t>SUMINISTRAR TIQUETES AÈREOS EN DESTINOS NACIONALES E INTERNACIONALES PARA LOS PARTICIPANTES DEL PROYECTO FORTALECIMIENTO DE LA FORMACION PARA LA INVE STIGACION DE LA VICERRECTORIA DE INVESTIGACION Y EXTENSIÒN</t>
  </si>
  <si>
    <t>21070439 - DIAZ DEL VALLE LUZ MILENA</t>
  </si>
  <si>
    <t>PRESTAR SERVICIOS DE ALOJAMIENTO Y ALIMENTACION A LOS DOCENTES INVITADOS Q UE DICTARÀN EL CURSO DE INNOVACION SOCIAL; ENFOQUES CREATIVOS PARA EL IMPAC TO SOCIAL ORGANIZADO POR AL DIRECCION NACIONAL DE EXTENSION</t>
  </si>
  <si>
    <t>1.4</t>
  </si>
  <si>
    <t>1.2</t>
  </si>
  <si>
    <t>1.5</t>
  </si>
  <si>
    <t>punto</t>
  </si>
  <si>
    <t>POR EJECUTAR</t>
  </si>
  <si>
    <t>Administración</t>
  </si>
  <si>
    <t>Meta 6.5.3 Formulación y puesta en marcha de un programa para ampliar la cobertura con calidad de la educación continua ofrecida por la universidad mediante el uso de las herramientas digitales actuales durante el trienio 2013 - 2015.</t>
  </si>
  <si>
    <t>EJECUCIÓN</t>
  </si>
  <si>
    <t>Posicionamiento dentro de los 5 primeros puestos del ranking lationamericano</t>
  </si>
  <si>
    <t>20%</t>
  </si>
  <si>
    <t>40%</t>
  </si>
  <si>
    <t>10%</t>
  </si>
  <si>
    <t>15%</t>
  </si>
  <si>
    <t>EJECUCIÓN a 30/09/2013</t>
  </si>
  <si>
    <t>EJECUCIÓN a 21/10/2013</t>
  </si>
  <si>
    <t>Meta 4.5.1 Garantizar el acceso a 60 bases de datos de información científica de alto nivel de especialización para la comunidad universitaria en el período 2013-2015</t>
  </si>
  <si>
    <t>OBJETIVO</t>
  </si>
  <si>
    <t>META</t>
  </si>
  <si>
    <t>ACTIVIDADES PROPUESTAS 2014 (Difusión divulgación, capacitaciones, auditorías)</t>
  </si>
  <si>
    <t>FECHA DE INICIO</t>
  </si>
  <si>
    <t xml:space="preserve">FECHA DE FINALIZACIÓN </t>
  </si>
  <si>
    <t>COMPROMISOS PARA CUMPLIR CON CADA META AÑO 2013</t>
  </si>
  <si>
    <t>COMPROMISOS PARA CUMPLIR CON CADA META AÑO 2014</t>
  </si>
  <si>
    <t>ACTIVIDADES ESPECÍFICAS REALIZADAS EN 2013 PARA CUMPLIR CON CADA COMPROMISO</t>
  </si>
  <si>
    <t>ACTIVIDADES ESPECÍFICAS PLANEADAS PARA 2014  PARA CUMPLIR CON CADA COMPROMISO</t>
  </si>
  <si>
    <t>2014 (FINALIZADO)</t>
  </si>
  <si>
    <t>2013 (FINALIZADO)</t>
  </si>
  <si>
    <t>2015 (PENDIENTE)</t>
  </si>
  <si>
    <t xml:space="preserve">Creación del módulo para el registro único de proyectos de investigación y extensión de la Universidad. </t>
  </si>
  <si>
    <t>Realizar ajustes de los formularios de la ficha de registro único de proyectos  Fecha inicio: 20/01/2014 - Fecha finalización: 15/03/2014
Diseñar y desarrollar módulo para solictud, revisión,  aprobación y generación automática de avales relacionados con proyectos de extensión e integrar este módulo con la ficha de proyecto.  Fecha inicio: 20/01/2014 - Fecha finalizacion: 30/04/2014
Ajustar el modulo para solicitud, revisión, aprobación y generación automática de avales de investigación para que se integre con la ficha de proyecto.  Fecha inicio: 01/03/2014 - Fecha finalización: 31/06/2014
Ajustar el modulo para solicitud, revisión, aprobación y generación automática de avales de regalías para que se integre con la ficha de proyecto.  Fecha inicio: 01/03/2014 - Fecha finalización: 31/06/2014
Diseñar y desarrollar el modulo para soliictud, revisión , aprobación y generación auntomática de avales de laboratorios e innovación para que se integre con la ficha de proyecto. Fecha inicio: 01/05/2014 - Fecha finalizacion: 31/07/2014
Integrar el registro único de proyectos con la solicitud y aprobación de los proyectos de jornada docente.  Fecha inicio: 16/05/2014 - Fecha finalización: 30/06/2014
Realizar la vinculación de la ficha de proyecto con las convocatorias internas que lo requieran.  Fecha inicio: 20/01/2014 - Fecha finalizacion: 31/12/2014
Diseñar y desarrollar funcionalidad que permita guardar el histórico de los cambios a los proyectos relacionados con solicitudes de aval.   Fecha inicio: 01/05/2014 - Fecha finalizacion: 31/07/2014 
Generar funcionalidad que permita consultar por proyecto que avales se encuentran relacionados. Fecha inicio: 01/04/2014 - Fecha finalizacion: 31/05/2014 
Generar funcionalidad para consultar y generar reportes de los avales a nivel nacional, sede y facultad.  Fecha inicio: 01/05/2014 - Fecha finalizacion: 31/07/2014 
Realizar las pruebas relacionadas con el correcto funcionamiento de la ficha de proyecto. Fecha inicio: 20/01/2014 - Fecha finalizacion: 20/02/2014
Elaborar los requerimientos funcionales para ficha de proyecto y avales de investigación y extensión Fecha inicio: 01/11/2013 - Fecha finalizacion: 15/01/2014 
Realizar instructivos relacionados con la ficha de proyecto y avales.  Fecha inicio: 15/02/2014 - Fecha finalizacion: 28/05/2014</t>
  </si>
  <si>
    <t>Definir y desarrollar un módulo que permita realizar el registro, seguimiento y renovación de las patentes vinculadas con la Universidad Nacional de Colombia que se encuentran vigentes.   Fecha inicio: 01/04/2014 - Fecha finalizacion: 31/06/2014
Definir y desarrollar un módulo para gestionar las solicitudes y realizar el acompañamiento en el proceso de protección para propiedades industriales vinculadas con la Universidad Nacional de Colombia. Fecha inicio: 01/06/2014 - Fecha finalizacion: 31/09/2014
Definir y desarrollar un módulo para realizar el registro,  seguimiento de las explotaciones y regalías generadas por los derechos de propiedad intelectual vinculadas con la Universidad Nacional de Colombia.  Fecha inicio: 01/09/2014 - Fecha finalizacion: 30/11/2014
Analisis y diseño del módulo para la solicitud, revisión y seguimiento de los productos protegidos por derechos de autor. Fecha inicio: 01/08/2014 - Fecha finalizacion: 31/12/2014
Desarrollar funcionalidad para incluir los proyectos que serán asociados al permiso marco de recolección. ) Fecha inicio: 20/01/2014 - Fecha finalizacion: 30/04/2014
Desarrollar funcionalidad para solitar y generar el permiso de movilización de especímenes objeto de recolección. Fecha inicio: 01/03/2014 - Fecha finalizacion:31/05/2014
Desarrollar funcionlidad para registrar informes de avance y finales de los proyectos asociados con el permiso marco de recolección, asi como la generación de alarmas para la entrega de estos informes. Fecha inicio: 01/06/2014 - Fecha finalizacion:31/08/2014
Generación de reportes e indicadores para entregar al ministerio de ambiente y la ANLA asociados con el permiso marco de recolección de especímenes. Fecha inicio: 01/06/2014 - Fecha finalizacion:31/08/2014</t>
  </si>
  <si>
    <t>Realizar las equivalencias entre las tablas y campos de los sistemas hermes y quipu para la ficha administrativa Quipu y las solicitudes contractuales de educacion continua y permanente y servicios academicos.  (FABIO MESA, SAUL CARDENAS, JHENNIFER GALINDO)  Fecha inicio: 05/03/2014 - Fecha finalizacion: 30/03/2014
 Realizar los script para el envío de datos entre los sistemas hermes y quipu para las solicitudes contractuales de educacion continua y permanente y servicios academicos. (FABIO MESA, SAUL CARDENAS). Fecha inicio: 24/03/2014 - Fecha finalizacion: 03/04/2014
Realizar las pruebas de creación de ficha adminsitrativa y las solicitudes contractuales de educacion continua y permanente y servicios academicos.en el sistema QUIPU. (CHRISTIAN ROLDAN, CRISTIAN ARIZA) Fecha inicio: 04/04/2014 - Fecha finalizacion: 15/04/2014
Realizar la documentacion (instructivos y manuales) para la capacitacion de los usuarios referentes al manejo del desarrollo. Fecha inicio: 15/04/2014 - Fecha finalizacion: 20/04/2014
Realizar las actividades de divulgación y capacitación al personas de las unidades adminsitrativas para el manejo del sistema hermes y quipu para las solicitudes de educacion continua y permanente y servicios academicos.  Fecha inicio: 20/04/2014 - Fecha finalizacion: 15/05/2014
Desarrollar los procedimientos y funcionalidades necesarias para automatizar el registro de la ficha administrativa de los proyectos de convocatorias internas en el sistema Quipu. (GUILLERMO) Fecha inicio: 03/04/2014 - Fecha finalizacion: 18/06/2014
Realizar las equivalencias entre las tablas y campos de los sistemas hermes y quipu para las solicitudes contractuales de proyectos de investigación.  Fecha inicio: 19/04/2014 - Fecha finalizacion: 20/07/2014
Realizar los script para el envío de datos entre los sistemas hermes y quipu para las solicitudes contractuales de proyectos de investigación. Fecha inicio: 05/05/2014 - Fecha finalizacion: 20/07/2014
Realizar las pruebas de creación de ficha adminsitrativa y solcitudes para las solicitudes contractuales de proyectos de investigación en el sistema QUIPU - Fecha inicio: 20/05/2014 - Fecha finalizacion: 20/07/2014
Realizar las actividades de divulgación y capacitación al personas de las unidades adminsitrativas para el manejo del sistema hermes y quipu para las solicitudes de educacion continua y permanente y servicios academicos. ) Fecha inicio: 05/06/2014 - Fecha finalizacion: 20/06/2014</t>
  </si>
  <si>
    <t xml:space="preserve">Realizar la migración desde la versión anterior del sistema Hermes de los formularios para el registro de derechos en propiedad industrial.Invención, los cuales contienen información de la invecnión, inventores, financiación, transferencia y  proyectos asociados.
Desarrollar funcionalidad para solicitar la inclusión en el permiso marco de recolección de especímenes. </t>
  </si>
  <si>
    <r>
      <t xml:space="preserve">Realización de las equivalencias y pruebas de envio de datos para la </t>
    </r>
    <r>
      <rPr>
        <b/>
        <sz val="10"/>
        <rFont val="Arial"/>
        <family val="2"/>
      </rPr>
      <t>comunicación entre el sistema Hermes y el sistema de gestión financiera de la Universidad</t>
    </r>
    <r>
      <rPr>
        <sz val="10"/>
        <rFont val="Arial"/>
        <family val="2"/>
      </rPr>
      <t>, para la ejecución de los proyectos</t>
    </r>
  </si>
  <si>
    <t>Diseñar y desarrollar módulo para solicitar, registrar y administrar usuarios relacionados con la gestión de las convocatorias internas. (SOFIA VARGAS) Fecha inicio: 01/04/2014 - Fecha finalizacion: 30/06/2014
Desarrollar módulo de informes que se ajuste a las convocatorias de eventos, escuela internacional, Banco de proyectos, Libros y artículos, jovenes investigadores. Fecha inicio: 16/04/2014 - Fecha finalizacion: 30/07/2014
Ajustar el módulo de verificación de requisitos para convocatorias para evaluar las convocatorias de eventos, escuela internacional, libros y artículos. (LILIANA OLARTE) Fecha inicio: 01/07/2014 - Fecha finalizacion: 31/09/2014
Ajustes el módulo de convocatorias para adecuarse a los terminos de referencia y adendas, adicionalmente las solicitudes de mejora. (GUILLERMO CARVAJAL) Fecha inicio: 20/01/2014 - Fecha finalizacion: 31/12/2014
Desarrollar módulo para la generación de alertas relacionadas con los procesos de registro, evaluación y seguimiento de proyectos pertenecientes a las convocatorias internas.   Fecha inicio: 01/09/2014 - Fecha finalización: 31/12/2014
Realizar el soporte (telefónico, correo, chat, personalmente)  de los procesos relacionados con las convocatorias internas y apoyos brindados a la formación de investigadores (semilleros, becas, jóvenes investigadores).  Fecha inicio: 20/01/2014 - Fecha finalizacion: 31/12/2014</t>
  </si>
  <si>
    <t>Desarrollar formularios para el registro de los informes de seguimiento de las solicitudes aprobadas en el marco de la convocatoria de internacionalización.Fecha inicio: 01/06/2014 - Fecha finalizacion: 30/07/2014
Ajustar el módulo de verificación de requisitos y aprobación de solicitudes en las facultades y sede correspondiente para la convocatoria de internacionalización. Fecha inicio: 01/06/2014 - Fecha finalizacion: 30/07/2014
Desarrollar funcionalidad para revisar y aprobar los informes de seguimiento diligenciados por los docentes ganadores en el marco de la convocatoria de internacionalización.  Fecha inicio: 01/06/2014 - Fecha finalizacion: 30/10/2014
Diseñar y desarrollar modulo de consulta de solicitudes de la convocatoria internacionalización a nivel de nacional, sede y de facultad.  Fecha inicio: 01/07/2014 - Fecha finalizacion: 30/11/2014</t>
  </si>
  <si>
    <t>Definición del esquema de soporte de solicitudes de sistema hermes Fecha inicio: 01/03/2014 - Fecha finalizacion: 15/04/2014
Desarrollar funcionalidad que permita que los usuarios del sistema puedan realizar solicitudes de soporte o mejora a las cuales se les realizará seguimiento y control por parte de los coordinadores responsables. Fecha inicio: 16/03/2014 - Fecha finalización: 15/05/2014
Desarrollar funcionalidad que permita al equipo de soporte de Hermes registrar las solicitudes de mejora que los usuarios del sistema puedan realizar a través de los diferentes canales de soporte (correo, telefónico, personalmente).  Fecha inicio: 15/05/2014 - Fecha finalizacion: 15/10/2014
Desarrollar módulo para generación de reportes por demanda de las convocatorias internas  Fecha inicio: 01/08/2014 - Fecha finalización: 31/12/2014
Desarrollar módulo de reclamaciones y retroalimentación de las convocatorias. ( Fecha inicio: 01/09/2014 - Fecha finalización: 31/12/2014</t>
  </si>
  <si>
    <t>Mejoramiento de esquema de soporte para las solicitudes de los usuarios en el Sistema Hermes</t>
  </si>
  <si>
    <t>Realizar funcionalidad para consultar el portafolio de educación continua de la Universidad Nacional . Fecha inicio: 01/04/2014 - Fecha finalizacion: 30/07/2014
Formular las estrategias para la implementación de los módulos (formalización, ejecución y liquidación) de actividades de educación continua con los diferentes usuarios (docentes, asisntente administrativos y personal ). Fecha inicio: 01/02/2014 - Fecha finalizacion: 15/03/2014 
Identificar y documentar las diferencias de procesos y procedimientos identificados en las sedes y apoyarse en la dirección de investigación y extensión para la  elaboración de la normativa que estandariza  las actividades de educación continua y servicios academicos a nivel nacional. Fecha inicio: 01/03/2014 - Fecha finalizacion: 30/03/2014
Realizar los requerimientos funcionales  de los ajustes y mejoras que se requieran para los desarrollos de educación continua y servicios academicos.  Fecha inicio: 01/04/2014 - Fecha finalizacion: 30/05/2014
Realizar los ajustes y mejoras que se requieran para los módulos de formalización, ejecución y liquidación. Fecha inicio: 06/04/2014 - Fecha finalizacion: 05/06/2014
Realizar las pruebas de los ajustes y mejoras que se requieran para los módulos de formalización, ejecución y liquidación. Fecha inicio: 10/04/2014 - Fecha finalizacion: 10/06/2014
Realizar los ajustes en la documentación manuales e instructivos conforme a los cambios que se hagan en las aplicaciones Fecha inicio: 15/04/2014 - Fecha finalizacion: 15/06/2014</t>
  </si>
  <si>
    <t xml:space="preserve">Creación del módulo de seguimiento a proyectos de investigación con financiación externa que incluye las fases de (legalización, formalización, ejecución y finalización) </t>
  </si>
  <si>
    <r>
      <t xml:space="preserve">Creación del </t>
    </r>
    <r>
      <rPr>
        <b/>
        <sz val="10"/>
        <rFont val="Arial"/>
        <family val="2"/>
      </rPr>
      <t>módulo de seguimiento a proyectos de investigación con financiación externa</t>
    </r>
    <r>
      <rPr>
        <sz val="10"/>
        <rFont val="Arial"/>
        <family val="2"/>
      </rPr>
      <t xml:space="preserve"> que incluye las fases de (legalización, formalización, ejecución y finalización) </t>
    </r>
  </si>
  <si>
    <t>Implementación del módulo módulo de seguimiento a proyectos de investigación con financiación externa</t>
  </si>
  <si>
    <r>
      <t xml:space="preserve">Generación del </t>
    </r>
    <r>
      <rPr>
        <b/>
        <sz val="10"/>
        <rFont val="Arial"/>
        <family val="2"/>
      </rPr>
      <t>módulo de registro del proyecto</t>
    </r>
    <r>
      <rPr>
        <sz val="10"/>
        <rFont val="Arial"/>
        <family val="2"/>
      </rPr>
      <t xml:space="preserve"> para las tipologías (proyecto de investigación, servicios académicos, educación continua, extensión solidaria, fortalecimiento a laboratorios y regalias), como punto inicial del proceso en el Sistema Hermes,</t>
    </r>
  </si>
  <si>
    <r>
      <t xml:space="preserve">Creación e implementación del </t>
    </r>
    <r>
      <rPr>
        <b/>
        <sz val="10"/>
        <rFont val="Arial"/>
        <family val="2"/>
      </rPr>
      <t>módulo para la gestión de las transferencias asociadas a los proyectos de extensión</t>
    </r>
    <r>
      <rPr>
        <sz val="10"/>
        <rFont val="Arial"/>
        <family val="2"/>
      </rPr>
      <t>, vinculado al módulo de servicios académicos y educación continua</t>
    </r>
  </si>
  <si>
    <t xml:space="preserve">
Desarrollar módulo para registrar información de la formalización y aprobación de los proyectos de investigación de convocatorias externas, adicionalmente se permitirá realizar los ajustes solictados a los proyectos formulados.  Fecha inicio: 01/04/2014 - Fecha finalizacion: 30/06/2014 
Realizar los requerimientos funcionales para el modulo de formalizacion de proyectos de investigacion convocatorias externas   Fecha inicio: 01/07/2014 - Fecha finalizacion: 15/04/2014
Desarrollar el modulo de formalizacion de proyectos de investigacion convocatorias externas   Fecha inicio: 06/06/2014 - Fecha finalizacion: 06/08/2014
Realizar las pruebas e instructivos del modulo de formalizacion de proyectos de investigacion convocatorias externas. Fecha inicio: 06/06/2014 - Fecha finalizacion: 06/09/2014
Realizar los requerimientos funcionales para el modulo de solicitudes contractuales de proyectos de investigacion convocatorias externas   Fecha inicio: 06/09/2014 - Fecha finalizacion: 06/10/2014
Desarrollar el modulo de soliicitudes contractuales de proyectos de investigacion convocatorias externas Fecha inicio: 06/09/2014 - Fecha finalizacion: 06/10/2014
Realizar los requerimientos funcionales para el modulo de resoluciones modificatorias de proyectos de investigacion convocatorias externas Fecha inicio: 06/09/2014 - Fecha finalizacion: 06/10/2014
Desarrollar el modulo de resoluciones modificatorias  de proyectos de investigacion convocatorias externas  Fecha inicio: 06/09/2014 - Fecha finalizacion: 06/10/2014
Realizar las pruebas e instructivos del modulo de resoluciones modificatorias  de proyectos de investigacion convocatorias externs. Fecha inicio: 06/09/2014 - Fecha finalizacion: 06/10/2014
Realizar los requerimientos funcionales para el modulo de liquidación de proyectos de investigacion convocatorias externas Fecha inicio: 06/09/2014 - Fecha finalizacion: 06/10/2014
Desarrollar el modulo de liquidación de proyectos de investigacion convocatorias externas  Fecha inicio: 06/09/2014 - Fecha finalizacion: 06/10/2014
Realizar las pruebas e instructivos del modulo de liquidación de proyectos de investigacion convocatorias externas Fecha inicio: 06/09/2014 - Fecha finalizacion: 06/10/2014
Desarrollar el metodo para adjuntar documentos solicitudes contractuales de los proyectos de investigacion Fecha inicio: 0Fecha inicio: 06/09/2014 - Fecha finalizacion: 06/10/2014
</t>
  </si>
  <si>
    <t xml:space="preserve">Realizar los requerimientos funcionales para el modulo de gestion de tranferencias de proyectos de extension  Fecha inicio: 20/05/2014 - Fecha finalizacion: 10/06/2014
Desarrollar el modulo de gestion de tranferencias de proyectos de extension Fecha inicio: 25/05/2014 - Fecha finalizacion: 15/06/2014
Realizar las pruebas del modulo de gestion de tranferencias de proyectos de extension (Fecha inicio: 30/05/2014 - Fecha finalizacion: 20/06/2014
Realizar la documentación (instructivos) del modulo de gestion de tranferencias de proyectos de extension  Fecha inicio: 05/06/2014 - Fecha finalizacion: 25/06/2014
Realizar los requerimientos funcionales de los reportes que requiere la gerencia adminsitrativa de tranferencias de proyectos de extension  Fecha inicio: 30/05/2014 - Fecha finalizacion: 20/06/2014
Desarrollar los reportes de gestion de transferencias a nivel central, sede y facultad de proyectos de extensión   Fecha inicio: 05/06/2014 - Fecha finalizacion: 25/06/2014
Realizar las pruebas de los reportes de gestion de transferencias a nivel central, sede y facultad de proyectos de extensión  Fecha inicio: 10/06/2014 - Fecha finalizacion: 30/06/2014
Realizar la documentación (instructivos) del modulo de los reportes de gestion de transferencias a nivel central, sede y facultad de proyectos de extensión   Fecha inicio: 15/06/2014 - Fecha finalizacion: 05/06/2014
Realizar los requerimientos funcionales del desarrollo para adjuntar documentos solicitudes contractuales de los proyectos de extension Fecha inicio: 10/06/2014 - Fecha finalizacion: 30/06/2014
Desarrollar el metodo para adjuntar documentos solicitudes contractuales de los proyectos de extension  Fecha inicio: 15/06/2014 - Fecha finalizacion: 05/07/2014
Realizar las pruebas del desarrollo para adjuntar documentos solicitudes contractuales de los proyectos de extension  Fecha inicio: 20/06/2014 - Fecha finalizacion: 10/07/2014
Realizar los requerimientos funcionales del ajuste módulo de inscripción y pago en línea de participantes de actividades ECP ( Fecha inicio: 10/06/2014 - Fecha finalizacion: 30/06/2014
Desarrollar el módulo de gestión de proveedores (cargue de informacion) y adjuntar documentos comunicación con proveedores para actualización de documentos Fecha inicio: 25/06/2014 - Fecha finalizacion: 15/07/2014
Realizar las pruebas del módulo de gestión de proveedores (cargue de informacion) y adjuntar documentos comunicación con proveedores para actualización de documentos  Fecha inicio: 30/06/2014 - Fecha finalizacion: 20/07/2014
</t>
  </si>
  <si>
    <t>Ajustar el funcionamiento del módulo del Censo de Laboratorios (Información general, recurso humano, riesgos, gestión, equipos, investigación, docencia y servicios).Fecha inicio: 20/01/2014 - Fecha finalizacion: 31/12/2014
Ajustar el funcionamiento del módulo de Reportes del Censo de Laboratorios (Nivel nacional, nivel sede y por laboratorio).  Fecha inicio: 20/01/2014 - Fecha finalizacion: 31/08/2014</t>
  </si>
  <si>
    <r>
      <t>Diseño y definición de requerimientos del m</t>
    </r>
    <r>
      <rPr>
        <b/>
        <sz val="10"/>
        <rFont val="Arial"/>
        <family val="2"/>
      </rPr>
      <t>ódulo censo de laboratorios</t>
    </r>
    <r>
      <rPr>
        <sz val="10"/>
        <rFont val="Arial"/>
        <family val="2"/>
      </rPr>
      <t xml:space="preserve"> para el registro de capacidades e inventario de equipos del Sistema Nacional de Laboratorios de la Universidad.</t>
    </r>
  </si>
  <si>
    <r>
      <t xml:space="preserve">Implementación del </t>
    </r>
    <r>
      <rPr>
        <b/>
        <sz val="10"/>
        <rFont val="Arial"/>
        <family val="2"/>
      </rPr>
      <t>módulo censo de laboratorios</t>
    </r>
    <r>
      <rPr>
        <sz val="10"/>
        <rFont val="Arial"/>
        <family val="2"/>
      </rPr>
      <t xml:space="preserve"> para el registro de capacidades e inventario de equipos del Sistema Nacional de Laboratorios de la Universidad.</t>
    </r>
  </si>
  <si>
    <r>
      <t xml:space="preserve">Diseño y definición de requerimientos del </t>
    </r>
    <r>
      <rPr>
        <b/>
        <sz val="10"/>
        <rFont val="Arial"/>
        <family val="2"/>
      </rPr>
      <t>módulo para la gestión del mantenimiento de los equipos</t>
    </r>
    <r>
      <rPr>
        <sz val="10"/>
        <rFont val="Arial"/>
        <family val="2"/>
      </rPr>
      <t xml:space="preserve"> del Sistema Nacional de Laboratorios de la Universidad</t>
    </r>
  </si>
  <si>
    <r>
      <t xml:space="preserve">Implementación de un </t>
    </r>
    <r>
      <rPr>
        <b/>
        <sz val="10"/>
        <rFont val="Arial"/>
        <family val="2"/>
      </rPr>
      <t>módulo para la gestión del mantenimiento de los equipos</t>
    </r>
    <r>
      <rPr>
        <sz val="10"/>
        <rFont val="Arial"/>
        <family val="2"/>
      </rPr>
      <t xml:space="preserve"> del Sistema Nacional de Laboratorios de la Universidad</t>
    </r>
  </si>
  <si>
    <t xml:space="preserve">
Generar funcionalidad para administrar los servicios de laboratorio, así como la consulta, solicitud y generación del portafolio se servicios. Fecha inicio:01/06/2014 - Fecha finalizacion: 31/12/2014
Generar funcionalidad financiera para administrar los costos de ensayos y servicios de Laboratorios. Fecha inicio:01/03/2014 - Fecha finalizacion: 31/08/2014
Realizar el mantenimiento del módulo de Administración de Equipos (hoja de ntenimiento y aseguramiento metrológico).Fecha inicio:01/20/2014 - Fecha finalizacion: 31/12/2014</t>
  </si>
  <si>
    <t>Articulación del Sistema de Información de la Investigación Hermes, para generación de capacidades e indicadores de investigación</t>
  </si>
  <si>
    <t xml:space="preserve">Analizar y seleccionar las herramientas que se utilizarán para la consulta en línea y la generación de informes de los indicadores de las capacidades de investigación alojados en la bodega de datos.   01/09/2014 - Fecha finalizacion: 30/11/2014
Configurar y asociar la herramienta que se utilizará para la consulta en línea por parte de los usuarios, con la bodega de datos que contiene las información de los indicadores de las capacidades de investigación.   01/10/2014 - Fecha finalizacion: 15/12/2014
Realizar la capacitación de los usuarios encargados de gestionar la información de las capacidades de investigación. 01/12/2014 - Fecha finalizacion: 31/12/2014
Desarrollar funcionalidad para administrar la hoja de vida de los docentes y grupos de investigación. Fecha inicio:01/08/2014 - Fecha finalizacion: 31/12/2014
Desarrollar funcionalidad para generar portafolio via web de los investigadores, grupos, proyectos. Fecha inicio:01/08/2014 - Fecha finalizacion: 31/12/2014
Implementar y documentar las políticas de almacenamiento y seguridad que deben tener los sitios web del sistema de investigación de la Universidad Nacional Fecha inicio:20/01/2014 - Fecha finalizacion: 31/03/2014
</t>
  </si>
  <si>
    <t>Definir, documentar el plan de proyecto y requerimientos generales que será utilizado para la construcción de la solución Inteligencia de negocios (BI) que soportará las capacidades de investigación. Adicionalmente, se realizará un análisis de las herramientas actuales de Integración y Análisis de proyectos de Inteligencia de Negocios; además de motores de bases de datos para elegir que herramientas utilizar considerando que existen licencias previamente adquiridas sobre algunas herramientas.  Fecha inicio:20/01/2014 - Fecha finalizacion: 28/02/2014
Realizar y documentar el análisis de los procesos de negocio de la solución (BI)  que soportará las capacidades de investigación en cada uno de sus capitales, con lo cual se establece el modelo de negocio asociado con los indicadores que soportan las capacidades de investigación.   Fecha inicio:20/01/2014 - Fecha finalizacion: 30/03/2014
Diseñar el modelo arquitectónico de Inteligencia de negocio que será utilizado para definir los procesos y herramientas de extracción, procesamiento y  almacenamiento de la solución de bodega de datos. Fecha inicio:01/03/2014 - Fecha finalizacion: 30/04/2014
Diseñar el modelo dimensional de capital humano por cada hecho identificado,  la matriz bus con todas las dimensiones de los modelos diseñados en esta etapa; y el mapeo de las fuentes versus cada uno de las dimensiones y el hecho de cada modelo dimensional. Fecha inicio:01/03/2014 - Fecha finalizacion: 30/04/2014
Realizar los procesos de extracción, depuración  y  carga de información de la información histórica y periódica, necesarios para registrar la información  que utiliza la bodega de datos que soportará los indicadores del capital humano de las capacidades de investigación. Fecha inicio:01/04/2014 - Fecha finalizacion: 30/06/2014
Diseñar el modelo dimensional de capital relacional por cada hecho identificado, la matriz bus con todas las dimensiones de los modelos diseñados en esta etapa y los anteriores;  y el mapeo de las fuentes versus cada uno de las dimensiones y el hecho de cada modelo dimensional.  Fecha inicio:01/07/2014 - Fecha finalizacion: 30/09/2014
Realizar los procesos de extracción, depuración  y  carga de información de la información histórica y periódica, necesarios para registrar la información  que utiliza la bodega de datos que soportará los indicadores del capital relacional de las capacidades de investigación. Fecha inicio:01/08/2014 - Fecha finalizacion: 30/10/2014
Diseñar el modelo dimensional de capital estructural por cada hecho identificado, la matriz bus con todas las dimensiones de los modelos diseñados en esta etapa y los anteriores; y el mapeo de las fuentes versus cada uno de las dimensiones y el hecho de cada modelo dimensional.  Fecha inicio:01/09/2014 - Fecha finalizacion: 30/11/2014
Realizar los procesos de extracción, depuración  y  carga de información de la información histórica y periódica, necesarios para registrar la información  que utiliza la bodega de datos que soportará los indicadores del capital estructural de las capacidades de investigación.  01/10/2014 - Fecha finalizacion: 30/11/2014</t>
  </si>
  <si>
    <t xml:space="preserve">1 capacitación en cada una de las Sedes  (dos personas) Medellín, Manizalez y Palmira,  Bogotá                                             Capacitación en Bogotá para personal de Sedes de Frontera por cada semestre para informar sobre los módulos nuevos que se van generando en el Sistema Hermes.  Seminario taller programado de manera semestral en Bogotá  con los enlaces de soporte HERMES de cada sede durante 3 días.            </t>
  </si>
  <si>
    <r>
      <t xml:space="preserve">Implementación del </t>
    </r>
    <r>
      <rPr>
        <b/>
        <sz val="10"/>
        <rFont val="Arial"/>
        <family val="2"/>
      </rPr>
      <t>módulo de registro del proyecto</t>
    </r>
    <r>
      <rPr>
        <sz val="10"/>
        <rFont val="Arial"/>
        <family val="2"/>
      </rPr>
      <t xml:space="preserve"> para las tipologías (proyecto de investigación, servicios académicos, educación continua, extensión solidaria, fortalecimiento a laboratorios y regalias), como punto inicial del proceso en el Sistema Hermes</t>
    </r>
  </si>
  <si>
    <t>Revisión de requerimientos para implementación del módulo</t>
  </si>
  <si>
    <r>
      <t xml:space="preserve">Implementación del </t>
    </r>
    <r>
      <rPr>
        <b/>
        <sz val="10"/>
        <rFont val="Arial"/>
        <family val="2"/>
      </rPr>
      <t xml:space="preserve">módulo de registro de propiedad intelectual </t>
    </r>
    <r>
      <rPr>
        <sz val="10"/>
        <rFont val="Arial"/>
        <family val="2"/>
      </rPr>
      <t>que incluye aval, tramites y seguimiento</t>
    </r>
  </si>
  <si>
    <r>
      <t xml:space="preserve">Implementación del registro de solicitudes en el </t>
    </r>
    <r>
      <rPr>
        <b/>
        <sz val="10"/>
        <rFont val="Arial"/>
        <family val="2"/>
      </rPr>
      <t>módulo de registro de propiedad intelectual</t>
    </r>
  </si>
  <si>
    <r>
      <t xml:space="preserve">Creación del </t>
    </r>
    <r>
      <rPr>
        <b/>
        <sz val="10"/>
        <rFont val="Arial"/>
        <family val="2"/>
      </rPr>
      <t>módulo de proyecto marco de recolección</t>
    </r>
  </si>
  <si>
    <t>Comunicación directa para la creación de la Ficha Administrativa financiera y tramites de solicitudes precontractuales en Sistema Hermes  directamente con el Sistema Financiero QUIPU</t>
  </si>
  <si>
    <r>
      <t xml:space="preserve">Generación e implementación del </t>
    </r>
    <r>
      <rPr>
        <b/>
        <sz val="10"/>
        <rFont val="Arial"/>
        <family val="2"/>
      </rPr>
      <t>módulo de jovenes investigadores y Semilleros de Colciencias</t>
    </r>
    <r>
      <rPr>
        <sz val="10"/>
        <rFont val="Arial"/>
        <family val="2"/>
      </rPr>
      <t xml:space="preserve"> (Convocatoria 617), que incluye el registro, revisión de requisitos, activación y seguimiento a entrega de informes parciales de cada uno de los Jóvenes y proyectos</t>
    </r>
  </si>
  <si>
    <r>
      <t xml:space="preserve">Actualización del </t>
    </r>
    <r>
      <rPr>
        <b/>
        <sz val="10"/>
        <rFont val="Arial"/>
        <family val="2"/>
      </rPr>
      <t xml:space="preserve">módulo para la gestión del programa de internacionalización </t>
    </r>
    <r>
      <rPr>
        <sz val="10"/>
        <rFont val="Arial"/>
        <family val="2"/>
      </rPr>
      <t>para la investigación</t>
    </r>
  </si>
  <si>
    <r>
      <t xml:space="preserve">Ajuste del </t>
    </r>
    <r>
      <rPr>
        <b/>
        <sz val="10"/>
        <rFont val="Arial"/>
        <family val="2"/>
      </rPr>
      <t xml:space="preserve">módulo para la gestión del programa de internacionalización </t>
    </r>
    <r>
      <rPr>
        <sz val="10"/>
        <rFont val="Arial"/>
        <family val="2"/>
      </rPr>
      <t>(incorporar modalidad nacional y gestión del cierre administrativo de los apoyos brindados)</t>
    </r>
  </si>
  <si>
    <t>Capacitaciones realizadas a Nivel Nacional sobre los módulos implementados en el Sistema Hermes                        http://www.investigacion.unal.edu.co/index.php/boletininvestigaun/nota/2392-20140522-hermes</t>
  </si>
  <si>
    <r>
      <t xml:space="preserve">Se realizó el ajuste de la </t>
    </r>
    <r>
      <rPr>
        <b/>
        <sz val="10"/>
        <rFont val="Arial"/>
        <family val="2"/>
      </rPr>
      <t>bodega de datos</t>
    </r>
    <r>
      <rPr>
        <sz val="10"/>
        <rFont val="Arial"/>
        <family val="2"/>
      </rPr>
      <t xml:space="preserve"> para la generación de los informes e indicadores de gestión de la investigación, la extensión y el desempeño de los laboratorios en la Universidad</t>
    </r>
  </si>
  <si>
    <r>
      <t xml:space="preserve">Generación e implementación del </t>
    </r>
    <r>
      <rPr>
        <b/>
        <sz val="10"/>
        <rFont val="Arial"/>
        <family val="2"/>
      </rPr>
      <t xml:space="preserve">módulo de avales </t>
    </r>
    <r>
      <rPr>
        <sz val="10"/>
        <rFont val="Arial"/>
        <family val="2"/>
      </rPr>
      <t>de proyectos externos para proyectos de investigación, movilidades / eventos, jornada docente, extensión y regalias</t>
    </r>
  </si>
  <si>
    <r>
      <t xml:space="preserve">Implementación del </t>
    </r>
    <r>
      <rPr>
        <b/>
        <sz val="10"/>
        <rFont val="Arial"/>
        <family val="2"/>
      </rPr>
      <t xml:space="preserve">módulo de proyecto marco de recolección </t>
    </r>
    <r>
      <rPr>
        <sz val="10"/>
        <rFont val="Arial"/>
        <family val="2"/>
      </rPr>
      <t>que incluye el registro de colecciones biologicas y la inclusión del permiso marco de recolección ante la ANLA y Ministerio de Ambiente</t>
    </r>
  </si>
  <si>
    <r>
      <t xml:space="preserve">Fortalecimiento del </t>
    </r>
    <r>
      <rPr>
        <b/>
        <sz val="10"/>
        <rFont val="Arial"/>
        <family val="2"/>
      </rPr>
      <t xml:space="preserve">módulo de Convocatorias nternas del trienio (2013 - 2015) </t>
    </r>
    <r>
      <rPr>
        <sz val="10"/>
        <rFont val="Arial"/>
        <family val="2"/>
      </rPr>
      <t xml:space="preserve">con la generación los formularios de postulación </t>
    </r>
  </si>
  <si>
    <r>
      <t xml:space="preserve">Mejoramiento del </t>
    </r>
    <r>
      <rPr>
        <b/>
        <sz val="10"/>
        <rFont val="Arial"/>
        <family val="2"/>
      </rPr>
      <t>módulo de Convocatorias</t>
    </r>
    <r>
      <rPr>
        <sz val="10"/>
        <rFont val="Arial"/>
        <family val="2"/>
      </rPr>
      <t xml:space="preserve"> para fortalecer el proceso de seguimiento de proyectos de las Convocatorias internas (revisión de requisitos, proceso de evaluación, activación y seguimiento a solicitudes en la ejecución de los proyectos)</t>
    </r>
  </si>
  <si>
    <r>
      <t xml:space="preserve">Generación del registro para el </t>
    </r>
    <r>
      <rPr>
        <b/>
        <sz val="10"/>
        <rFont val="Arial"/>
        <family val="2"/>
      </rPr>
      <t>módulo de mejoras o requerimientos y administración de roles en e</t>
    </r>
    <r>
      <rPr>
        <sz val="10"/>
        <rFont val="Arial"/>
        <family val="2"/>
      </rPr>
      <t>l Sistema Hermes</t>
    </r>
  </si>
  <si>
    <r>
      <t xml:space="preserve">Realización del seguimiento a requerimientos directamente en el Sistema Hermes, en el </t>
    </r>
    <r>
      <rPr>
        <b/>
        <sz val="10"/>
        <rFont val="Arial"/>
        <family val="2"/>
      </rPr>
      <t>módulo de mejoras o requerimientos y administración de roles</t>
    </r>
  </si>
  <si>
    <t>Generación de esquema de solicitudes, esquema de atención y procolos del Sistema Hermes (lineamientos de roles, seguridad de la información y contingencias, protocolos de atención y uso)</t>
  </si>
  <si>
    <r>
      <t xml:space="preserve">Implementación del </t>
    </r>
    <r>
      <rPr>
        <b/>
        <sz val="10"/>
        <rFont val="Arial"/>
        <family val="2"/>
      </rPr>
      <t>módulo para la gestión de las labores de educación continua,</t>
    </r>
    <r>
      <rPr>
        <sz val="10"/>
        <rFont val="Arial"/>
        <family val="2"/>
      </rPr>
      <t xml:space="preserve"> en las fases de formulación, formalización, ejecución y finalización, que incluye registro y visualización de consulta de cursos en el Sistema Hermes</t>
    </r>
  </si>
  <si>
    <r>
      <t xml:space="preserve">Creación y requerimientos del </t>
    </r>
    <r>
      <rPr>
        <b/>
        <sz val="10"/>
        <rFont val="Arial"/>
        <family val="2"/>
      </rPr>
      <t>módulo para la gestión de las labores de educación continua</t>
    </r>
    <r>
      <rPr>
        <sz val="10"/>
        <rFont val="Arial"/>
        <family val="2"/>
      </rPr>
      <t xml:space="preserve"> desarrolladas por la Universidad</t>
    </r>
  </si>
  <si>
    <r>
      <t xml:space="preserve">Creación y requerimientos del </t>
    </r>
    <r>
      <rPr>
        <b/>
        <sz val="10"/>
        <rFont val="Arial"/>
        <family val="2"/>
      </rPr>
      <t>módulo para la gestión de Servicios Académicos de extensión</t>
    </r>
    <r>
      <rPr>
        <sz val="10"/>
        <rFont val="Arial"/>
        <family val="2"/>
      </rPr>
      <t xml:space="preserve"> desarrollados por la Universidad</t>
    </r>
  </si>
  <si>
    <r>
      <t xml:space="preserve">Implementación del </t>
    </r>
    <r>
      <rPr>
        <b/>
        <sz val="10"/>
        <rFont val="Arial"/>
        <family val="2"/>
      </rPr>
      <t xml:space="preserve">módulo para la gestión de servicios académicos de extensión, </t>
    </r>
    <r>
      <rPr>
        <sz val="10"/>
        <rFont val="Arial"/>
        <family val="2"/>
      </rPr>
      <t>en las fases de formulación, formalización, ejecución y finalización</t>
    </r>
  </si>
  <si>
    <t>Meta 1.2.4 Creación y operación de un módulo para la generación automática de indicadores de la gestión de Investigación, Extensión y Laboratorios de la Universidad a través del Sistema de Información HERMES, durante el trienio 2013 -2015.</t>
  </si>
  <si>
    <t>Se está validando la información generada con el equipo de indicadores para la generación de los informes e indicadores de gestión de la investigación, la extensión y el desempeño de los laboratorios en la Universidad</t>
  </si>
  <si>
    <t>Implementación de la bodega de datos para la generación de indicadores de gestión de la investigación, la extensión y el desempeño de los laboratorios en la Universidad</t>
  </si>
  <si>
    <t>Implementación de la interfaz de consulta especializada de la información asociada con las capacidades de investigación de la Universidad</t>
  </si>
  <si>
    <t>Construcción de portafolios en linea y de acuerdo a las necesidades, de las capacidades de investigación</t>
  </si>
  <si>
    <r>
      <t>Diseño de la</t>
    </r>
    <r>
      <rPr>
        <b/>
        <sz val="10"/>
        <rFont val="Arial"/>
        <family val="2"/>
      </rPr>
      <t xml:space="preserve"> interfaz para la consulta</t>
    </r>
    <r>
      <rPr>
        <sz val="10"/>
        <rFont val="Arial"/>
        <family val="2"/>
      </rPr>
      <t xml:space="preserve"> a traves del Sistema Hermes de capacidades  (investigadores, proyectos, laboratorios, cursos)</t>
    </r>
  </si>
  <si>
    <r>
      <t xml:space="preserve">Generación del registro para las </t>
    </r>
    <r>
      <rPr>
        <b/>
        <sz val="10"/>
        <rFont val="Arial"/>
        <family val="2"/>
      </rPr>
      <t>convocatorias de la editorial</t>
    </r>
    <r>
      <rPr>
        <sz val="10"/>
        <rFont val="Arial"/>
        <family val="2"/>
      </rPr>
      <t xml:space="preserve"> (solicitud de ISBN, apoyo a libros y articulos)</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</si>
</sst>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 #,##0_);[Red]\(&quot;$&quot;\ #,##0\)"/>
    <numFmt numFmtId="164" formatCode="_ &quot;$&quot;\ * #,##0.00_ ;_ &quot;$&quot;\ * \-#,##0.00_ ;_ &quot;$&quot;\ * &quot;-&quot;??_ ;_ @_ "/>
    <numFmt numFmtId="165" formatCode="#,##0.0"/>
  </numFmts>
  <fonts count="23">
    <font>
      <sz val="10"/>
      <name val="Arial"/>
    </font>
    <font>
      <sz val="10"/>
      <name val="Arial"/>
      <family val="2"/>
    </font>
    <font>
      <sz val="8"/>
      <name val="Arial"/>
      <family val="2"/>
    </font>
    <font>
      <b/>
      <sz val="9"/>
      <name val="Arial"/>
      <family val="2"/>
    </font>
    <font>
      <sz val="9"/>
      <name val="Arial"/>
      <family val="2"/>
    </font>
    <font>
      <sz val="10"/>
      <name val="Arial"/>
      <family val="2"/>
    </font>
    <font>
      <b/>
      <sz val="8"/>
      <color indexed="81"/>
      <name val="Tahoma"/>
      <family val="2"/>
    </font>
    <font>
      <sz val="8"/>
      <color indexed="81"/>
      <name val="Tahoma"/>
      <family val="2"/>
    </font>
    <font>
      <sz val="10"/>
      <name val="Arial"/>
      <family val="2"/>
    </font>
    <font>
      <sz val="9"/>
      <color indexed="8"/>
      <name val="Arial"/>
      <family val="2"/>
    </font>
    <font>
      <sz val="10"/>
      <name val="Arial"/>
      <family val="2"/>
    </font>
    <font>
      <sz val="9"/>
      <color indexed="10"/>
      <name val="Arial"/>
      <family val="2"/>
    </font>
    <font>
      <sz val="10"/>
      <name val="Times New Roman"/>
      <family val="1"/>
    </font>
    <font>
      <sz val="10"/>
      <name val="Arial"/>
      <family val="2"/>
    </font>
    <font>
      <sz val="12"/>
      <name val="Arial"/>
      <family val="2"/>
    </font>
    <font>
      <sz val="11"/>
      <color theme="1"/>
      <name val="Calibri"/>
      <family val="2"/>
      <scheme val="minor"/>
    </font>
    <font>
      <u/>
      <sz val="11"/>
      <color theme="10"/>
      <name val="Calibri"/>
      <family val="2"/>
    </font>
    <font>
      <sz val="9"/>
      <color rgb="FF000000"/>
      <name val="Arial"/>
      <family val="2"/>
    </font>
    <font>
      <sz val="12"/>
      <color theme="1"/>
      <name val="Calibri"/>
      <family val="2"/>
      <charset val="129"/>
      <scheme val="minor"/>
    </font>
    <font>
      <b/>
      <sz val="12"/>
      <color theme="1"/>
      <name val="Calibri"/>
      <family val="2"/>
      <charset val="129"/>
      <scheme val="minor"/>
    </font>
    <font>
      <u/>
      <sz val="12"/>
      <color theme="10"/>
      <name val="Calibri"/>
      <family val="2"/>
    </font>
    <font>
      <sz val="9"/>
      <color theme="1"/>
      <name val="Arial"/>
      <family val="2"/>
    </font>
    <font>
      <b/>
      <sz val="10"/>
      <name val="Arial"/>
      <family val="2"/>
    </font>
  </fonts>
  <fills count="17">
    <fill>
      <patternFill patternType="none"/>
    </fill>
    <fill>
      <patternFill patternType="gray125"/>
    </fill>
    <fill>
      <patternFill patternType="solid">
        <fgColor indexed="44"/>
        <bgColor indexed="64"/>
      </patternFill>
    </fill>
    <fill>
      <patternFill patternType="solid">
        <fgColor indexed="40"/>
        <bgColor indexed="64"/>
      </patternFill>
    </fill>
    <fill>
      <patternFill patternType="solid">
        <fgColor theme="0"/>
        <bgColor indexed="64"/>
      </patternFill>
    </fill>
    <fill>
      <patternFill patternType="solid">
        <fgColor rgb="FFFFC00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FFFF"/>
        <bgColor indexed="64"/>
      </patternFill>
    </fill>
    <fill>
      <patternFill patternType="solid">
        <fgColor rgb="FF92D050"/>
        <bgColor indexed="64"/>
      </patternFill>
    </fill>
    <fill>
      <patternFill patternType="solid">
        <fgColor theme="5" tint="0.59999389629810485"/>
        <bgColor indexed="64"/>
      </patternFill>
    </fill>
    <fill>
      <patternFill patternType="solid">
        <fgColor rgb="FFD09E00"/>
        <bgColor indexed="64"/>
      </patternFill>
    </fill>
    <fill>
      <patternFill patternType="solid">
        <fgColor theme="3" tint="0.59999389629810485"/>
        <bgColor indexed="64"/>
      </patternFill>
    </fill>
    <fill>
      <patternFill patternType="solid">
        <fgColor rgb="FFFFFF0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rgb="FFCCFFCC"/>
        <bgColor indexed="64"/>
      </patternFill>
    </fill>
  </fills>
  <borders count="17">
    <border>
      <left/>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style="thin">
        <color indexed="64"/>
      </right>
      <top/>
      <bottom/>
      <diagonal/>
    </border>
  </borders>
  <cellStyleXfs count="28">
    <xf numFmtId="0" fontId="0" fillId="0" borderId="0"/>
    <xf numFmtId="3" fontId="4" fillId="0" borderId="1">
      <alignment horizontal="center" vertical="center" wrapText="1"/>
    </xf>
    <xf numFmtId="0" fontId="4" fillId="0" borderId="2" applyNumberFormat="0" applyFont="0" applyFill="0" applyAlignment="0" applyProtection="0">
      <alignment horizontal="center" vertical="center" wrapText="1"/>
    </xf>
    <xf numFmtId="0" fontId="4" fillId="0" borderId="3" applyNumberFormat="0" applyFont="0" applyFill="0" applyAlignment="0" applyProtection="0">
      <alignment horizontal="center" vertical="center" wrapText="1"/>
    </xf>
    <xf numFmtId="0" fontId="16" fillId="0" borderId="0" applyNumberFormat="0" applyFill="0" applyBorder="0" applyAlignment="0" applyProtection="0">
      <alignment vertical="top"/>
      <protection locked="0"/>
    </xf>
    <xf numFmtId="164" fontId="1" fillId="0" borderId="0" applyFont="0" applyFill="0" applyBorder="0" applyAlignment="0" applyProtection="0"/>
    <xf numFmtId="164" fontId="8" fillId="0" borderId="0" applyFont="0" applyFill="0" applyBorder="0" applyAlignment="0" applyProtection="0"/>
    <xf numFmtId="164" fontId="10"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10" fillId="0" borderId="0" applyFont="0" applyFill="0" applyBorder="0" applyAlignment="0" applyProtection="0"/>
    <xf numFmtId="164" fontId="5" fillId="0" borderId="0" applyFont="0" applyFill="0" applyBorder="0" applyAlignment="0" applyProtection="0"/>
    <xf numFmtId="164" fontId="13" fillId="0" borderId="0" applyFont="0" applyFill="0" applyBorder="0" applyAlignment="0" applyProtection="0"/>
    <xf numFmtId="0" fontId="8" fillId="0" borderId="0"/>
    <xf numFmtId="0" fontId="10" fillId="0" borderId="0"/>
    <xf numFmtId="0" fontId="5" fillId="0" borderId="0"/>
    <xf numFmtId="0" fontId="5" fillId="0" borderId="0"/>
    <xf numFmtId="0" fontId="10" fillId="0" borderId="0"/>
    <xf numFmtId="0" fontId="5" fillId="0" borderId="0"/>
    <xf numFmtId="0" fontId="15" fillId="0" borderId="0"/>
    <xf numFmtId="9" fontId="1" fillId="0" borderId="0" applyFont="0" applyFill="0" applyBorder="0" applyAlignment="0" applyProtection="0"/>
    <xf numFmtId="9" fontId="8" fillId="0" borderId="0" applyFont="0" applyFill="0" applyBorder="0" applyAlignment="0" applyProtection="0"/>
    <xf numFmtId="9" fontId="1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0" fillId="0" borderId="0" applyFont="0" applyFill="0" applyBorder="0" applyAlignment="0" applyProtection="0"/>
    <xf numFmtId="9" fontId="5" fillId="0" borderId="0" applyFont="0" applyFill="0" applyBorder="0" applyAlignment="0" applyProtection="0"/>
    <xf numFmtId="9" fontId="13" fillId="0" borderId="0" applyFont="0" applyFill="0" applyBorder="0" applyAlignment="0" applyProtection="0"/>
  </cellStyleXfs>
  <cellXfs count="690">
    <xf numFmtId="0" fontId="0" fillId="0" borderId="0" xfId="0"/>
    <xf numFmtId="0" fontId="4" fillId="0" borderId="0" xfId="0" applyFont="1" applyAlignment="1">
      <alignment vertical="center"/>
    </xf>
    <xf numFmtId="0" fontId="4" fillId="0" borderId="0" xfId="0" applyFont="1" applyAlignment="1">
      <alignment horizontal="left" vertical="center"/>
    </xf>
    <xf numFmtId="0" fontId="3" fillId="2" borderId="3" xfId="0" applyFont="1" applyFill="1" applyBorder="1" applyAlignment="1">
      <alignment horizontal="center" vertical="center" wrapText="1"/>
    </xf>
    <xf numFmtId="0" fontId="4" fillId="0" borderId="0" xfId="0" applyFont="1" applyAlignment="1">
      <alignment horizontal="left" vertical="center" wrapText="1"/>
    </xf>
    <xf numFmtId="0" fontId="4" fillId="0" borderId="3" xfId="0" applyFont="1" applyBorder="1" applyAlignment="1">
      <alignment horizontal="left" vertical="center" wrapText="1"/>
    </xf>
    <xf numFmtId="0" fontId="3" fillId="0" borderId="0" xfId="0" applyFont="1" applyAlignment="1">
      <alignment horizontal="left" vertical="center"/>
    </xf>
    <xf numFmtId="0" fontId="4" fillId="0" borderId="0" xfId="0" applyFont="1" applyAlignment="1">
      <alignment horizontal="center" vertical="center"/>
    </xf>
    <xf numFmtId="0" fontId="4" fillId="0" borderId="0" xfId="0" applyFont="1" applyFill="1" applyAlignment="1">
      <alignment horizontal="left" vertical="center" wrapText="1"/>
    </xf>
    <xf numFmtId="3" fontId="4" fillId="0" borderId="0" xfId="0" applyNumberFormat="1" applyFont="1" applyAlignment="1">
      <alignment vertical="center"/>
    </xf>
    <xf numFmtId="3" fontId="4" fillId="0" borderId="3" xfId="5" applyNumberFormat="1" applyFont="1" applyBorder="1" applyAlignment="1">
      <alignment vertical="center" wrapText="1"/>
    </xf>
    <xf numFmtId="3" fontId="3" fillId="0" borderId="0" xfId="0" applyNumberFormat="1" applyFont="1" applyFill="1" applyBorder="1" applyAlignment="1">
      <alignment vertical="center" wrapText="1"/>
    </xf>
    <xf numFmtId="3" fontId="4" fillId="0" borderId="0" xfId="0" applyNumberFormat="1" applyFont="1" applyBorder="1" applyAlignment="1">
      <alignment vertical="center"/>
    </xf>
    <xf numFmtId="0" fontId="4" fillId="0" borderId="3" xfId="14" applyFont="1" applyFill="1" applyBorder="1" applyAlignment="1">
      <alignment horizontal="left" vertical="center" wrapText="1"/>
    </xf>
    <xf numFmtId="3" fontId="3" fillId="0" borderId="3" xfId="0" applyNumberFormat="1" applyFont="1" applyFill="1" applyBorder="1" applyAlignment="1">
      <alignment vertical="center" wrapText="1"/>
    </xf>
    <xf numFmtId="3" fontId="4" fillId="0" borderId="3" xfId="0" applyNumberFormat="1" applyFont="1" applyBorder="1" applyAlignment="1">
      <alignment horizontal="left" vertical="center" wrapText="1"/>
    </xf>
    <xf numFmtId="3" fontId="4" fillId="0" borderId="3" xfId="7" applyNumberFormat="1" applyFont="1" applyBorder="1" applyAlignment="1">
      <alignment horizontal="center" vertical="center" wrapText="1"/>
    </xf>
    <xf numFmtId="3" fontId="4" fillId="0" borderId="3" xfId="14" applyNumberFormat="1" applyFont="1" applyFill="1" applyBorder="1" applyAlignment="1">
      <alignment horizontal="center" vertical="center" wrapText="1"/>
    </xf>
    <xf numFmtId="3" fontId="4" fillId="0" borderId="3" xfId="14" applyNumberFormat="1" applyFont="1" applyFill="1" applyBorder="1" applyAlignment="1">
      <alignment vertical="center" wrapText="1"/>
    </xf>
    <xf numFmtId="3" fontId="4" fillId="0" borderId="0" xfId="0" applyNumberFormat="1" applyFont="1" applyBorder="1" applyAlignment="1">
      <alignment horizontal="left" vertical="center"/>
    </xf>
    <xf numFmtId="3" fontId="3" fillId="3" borderId="3" xfId="0" applyNumberFormat="1" applyFont="1" applyFill="1" applyBorder="1" applyAlignment="1">
      <alignment horizontal="center" vertical="center" wrapText="1"/>
    </xf>
    <xf numFmtId="3" fontId="4" fillId="0" borderId="0" xfId="0" applyNumberFormat="1" applyFont="1" applyAlignment="1">
      <alignment horizontal="right" vertical="center"/>
    </xf>
    <xf numFmtId="3" fontId="4" fillId="0" borderId="3" xfId="0" applyNumberFormat="1" applyFont="1" applyBorder="1" applyAlignment="1">
      <alignment horizontal="right" vertical="center" wrapText="1"/>
    </xf>
    <xf numFmtId="3" fontId="4" fillId="0" borderId="3" xfId="5" applyNumberFormat="1" applyFont="1" applyBorder="1" applyAlignment="1">
      <alignment horizontal="right" vertical="center" wrapText="1"/>
    </xf>
    <xf numFmtId="3" fontId="4" fillId="4" borderId="3" xfId="5" applyNumberFormat="1" applyFont="1" applyFill="1" applyBorder="1" applyAlignment="1">
      <alignment horizontal="right" vertical="center"/>
    </xf>
    <xf numFmtId="3" fontId="4" fillId="0" borderId="0" xfId="0" applyNumberFormat="1" applyFont="1" applyBorder="1" applyAlignment="1">
      <alignment horizontal="right" vertical="center"/>
    </xf>
    <xf numFmtId="3" fontId="4" fillId="0" borderId="3" xfId="0" applyNumberFormat="1" applyFont="1" applyBorder="1" applyAlignment="1">
      <alignment horizontal="center" vertical="center" wrapText="1"/>
    </xf>
    <xf numFmtId="3" fontId="3" fillId="5" borderId="3" xfId="0" applyNumberFormat="1" applyFont="1" applyFill="1" applyBorder="1" applyAlignment="1">
      <alignment horizontal="right" vertical="center" wrapText="1"/>
    </xf>
    <xf numFmtId="3" fontId="3" fillId="5" borderId="3" xfId="0" applyNumberFormat="1" applyFont="1" applyFill="1" applyBorder="1" applyAlignment="1">
      <alignment horizontal="center" vertical="center" wrapText="1"/>
    </xf>
    <xf numFmtId="3" fontId="4" fillId="0" borderId="3" xfId="5" applyNumberFormat="1" applyFont="1" applyBorder="1" applyAlignment="1">
      <alignment horizontal="center" vertical="center" wrapText="1"/>
    </xf>
    <xf numFmtId="3" fontId="3" fillId="5" borderId="3" xfId="0" applyNumberFormat="1" applyFont="1" applyFill="1" applyBorder="1" applyAlignment="1">
      <alignment vertical="center" wrapText="1"/>
    </xf>
    <xf numFmtId="9" fontId="3" fillId="5" borderId="3" xfId="20" applyFont="1" applyFill="1" applyBorder="1" applyAlignment="1">
      <alignment horizontal="center" vertical="center" wrapText="1"/>
    </xf>
    <xf numFmtId="0" fontId="3" fillId="5" borderId="3" xfId="0" applyFont="1" applyFill="1" applyBorder="1" applyAlignment="1">
      <alignment horizontal="left" vertical="center" wrapText="1"/>
    </xf>
    <xf numFmtId="3" fontId="3" fillId="5" borderId="3" xfId="5" applyNumberFormat="1" applyFont="1" applyFill="1" applyBorder="1" applyAlignment="1">
      <alignment vertical="center"/>
    </xf>
    <xf numFmtId="0" fontId="3" fillId="0" borderId="0" xfId="0" applyFont="1" applyAlignment="1">
      <alignment horizontal="left" vertical="center" wrapText="1"/>
    </xf>
    <xf numFmtId="0" fontId="3" fillId="5" borderId="3" xfId="0" applyFont="1" applyFill="1" applyBorder="1" applyAlignment="1">
      <alignment horizontal="center" vertical="center" wrapText="1"/>
    </xf>
    <xf numFmtId="3" fontId="4" fillId="0" borderId="0" xfId="0" applyNumberFormat="1" applyFont="1" applyAlignment="1">
      <alignment horizontal="center" vertical="center"/>
    </xf>
    <xf numFmtId="3" fontId="4" fillId="4" borderId="3" xfId="5" applyNumberFormat="1" applyFont="1" applyFill="1" applyBorder="1" applyAlignment="1">
      <alignment horizontal="center" vertical="center"/>
    </xf>
    <xf numFmtId="3" fontId="3" fillId="6" borderId="3" xfId="0" applyNumberFormat="1" applyFont="1" applyFill="1" applyBorder="1" applyAlignment="1">
      <alignment horizontal="center" vertical="center" wrapText="1"/>
    </xf>
    <xf numFmtId="3" fontId="4" fillId="4" borderId="3" xfId="5" applyNumberFormat="1" applyFont="1" applyFill="1" applyBorder="1" applyAlignment="1">
      <alignment horizontal="center" vertical="center"/>
    </xf>
    <xf numFmtId="3" fontId="3" fillId="6" borderId="3" xfId="0" applyNumberFormat="1" applyFont="1" applyFill="1" applyBorder="1" applyAlignment="1">
      <alignment horizontal="center" vertical="center" wrapText="1"/>
    </xf>
    <xf numFmtId="9" fontId="3" fillId="5" borderId="3" xfId="0" applyNumberFormat="1" applyFont="1" applyFill="1" applyBorder="1" applyAlignment="1">
      <alignment horizontal="center" vertical="center" wrapText="1"/>
    </xf>
    <xf numFmtId="1" fontId="3" fillId="5" borderId="3" xfId="0" applyNumberFormat="1" applyFont="1" applyFill="1" applyBorder="1" applyAlignment="1">
      <alignment horizontal="center" vertical="center" wrapText="1"/>
    </xf>
    <xf numFmtId="3" fontId="3" fillId="5" borderId="3" xfId="5" applyNumberFormat="1" applyFont="1" applyFill="1" applyBorder="1" applyAlignment="1">
      <alignment vertical="center" wrapText="1"/>
    </xf>
    <xf numFmtId="3" fontId="4" fillId="7" borderId="3" xfId="5" applyNumberFormat="1" applyFont="1" applyFill="1" applyBorder="1" applyAlignment="1">
      <alignment horizontal="center" vertical="center" wrapText="1"/>
    </xf>
    <xf numFmtId="3" fontId="3" fillId="5" borderId="3" xfId="5" applyNumberFormat="1" applyFont="1" applyFill="1" applyBorder="1" applyAlignment="1">
      <alignment horizontal="center" vertical="center" wrapText="1"/>
    </xf>
    <xf numFmtId="3" fontId="3" fillId="5" borderId="3" xfId="5" applyNumberFormat="1" applyFont="1" applyFill="1" applyBorder="1" applyAlignment="1">
      <alignment horizontal="center" vertical="center"/>
    </xf>
    <xf numFmtId="3" fontId="4" fillId="0" borderId="0" xfId="0" applyNumberFormat="1" applyFont="1" applyBorder="1" applyAlignment="1">
      <alignment horizontal="center" vertical="center"/>
    </xf>
    <xf numFmtId="0" fontId="3" fillId="5" borderId="3" xfId="3" applyFont="1" applyFill="1" applyBorder="1" applyAlignment="1">
      <alignment horizontal="left" vertical="center" wrapText="1"/>
    </xf>
    <xf numFmtId="3" fontId="3" fillId="5" borderId="3"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4" fillId="0" borderId="3" xfId="0" applyFont="1" applyBorder="1" applyAlignment="1">
      <alignment horizontal="center" vertical="center"/>
    </xf>
    <xf numFmtId="3" fontId="3" fillId="2" borderId="3" xfId="0" applyNumberFormat="1" applyFont="1" applyFill="1" applyBorder="1" applyAlignment="1">
      <alignment horizontal="center" vertical="center" wrapText="1"/>
    </xf>
    <xf numFmtId="0" fontId="3" fillId="5" borderId="3" xfId="14" applyFont="1" applyFill="1" applyBorder="1" applyAlignment="1">
      <alignment horizontal="center" vertical="center" wrapText="1"/>
    </xf>
    <xf numFmtId="0" fontId="3" fillId="6" borderId="3" xfId="0" applyFont="1" applyFill="1" applyBorder="1" applyAlignment="1">
      <alignment horizontal="center" vertical="center"/>
    </xf>
    <xf numFmtId="0" fontId="3" fillId="6" borderId="3" xfId="0" applyFont="1" applyFill="1" applyBorder="1" applyAlignment="1">
      <alignment horizontal="left" vertical="center"/>
    </xf>
    <xf numFmtId="3" fontId="3" fillId="6" borderId="3" xfId="0" applyNumberFormat="1" applyFont="1" applyFill="1" applyBorder="1" applyAlignment="1">
      <alignment vertical="center" wrapText="1"/>
    </xf>
    <xf numFmtId="3" fontId="3" fillId="6" borderId="3" xfId="0" applyNumberFormat="1" applyFont="1" applyFill="1" applyBorder="1" applyAlignment="1">
      <alignment horizontal="center" vertical="center"/>
    </xf>
    <xf numFmtId="3" fontId="4" fillId="4" borderId="3" xfId="5" applyNumberFormat="1" applyFont="1" applyFill="1" applyBorder="1" applyAlignment="1">
      <alignment horizontal="center" vertical="center"/>
    </xf>
    <xf numFmtId="3" fontId="4" fillId="7" borderId="3" xfId="0" applyNumberFormat="1" applyFont="1" applyFill="1" applyBorder="1" applyAlignment="1">
      <alignment horizontal="center" vertical="center" wrapText="1"/>
    </xf>
    <xf numFmtId="3" fontId="3" fillId="6" borderId="3" xfId="0" applyNumberFormat="1" applyFont="1" applyFill="1" applyBorder="1" applyAlignment="1">
      <alignment horizontal="center" vertical="center" wrapText="1"/>
    </xf>
    <xf numFmtId="3" fontId="4" fillId="7" borderId="3" xfId="5" applyNumberFormat="1" applyFont="1" applyFill="1" applyBorder="1" applyAlignment="1">
      <alignment horizontal="center" vertical="center" wrapText="1"/>
    </xf>
    <xf numFmtId="3" fontId="3" fillId="5" borderId="3" xfId="0" applyNumberFormat="1" applyFont="1" applyFill="1" applyBorder="1" applyAlignment="1">
      <alignment horizontal="center" vertical="center" wrapText="1"/>
    </xf>
    <xf numFmtId="0" fontId="4" fillId="6" borderId="4" xfId="0" applyFont="1" applyFill="1" applyBorder="1" applyAlignment="1">
      <alignment horizontal="center" vertical="center"/>
    </xf>
    <xf numFmtId="0" fontId="3" fillId="6" borderId="1" xfId="0" applyFont="1" applyFill="1" applyBorder="1" applyAlignment="1">
      <alignment horizontal="center" vertical="center"/>
    </xf>
    <xf numFmtId="3" fontId="4" fillId="0" borderId="4" xfId="0" applyNumberFormat="1" applyFont="1" applyBorder="1" applyAlignment="1">
      <alignment horizontal="center" vertical="center" wrapText="1"/>
    </xf>
    <xf numFmtId="3" fontId="4" fillId="4" borderId="3" xfId="5" applyNumberFormat="1" applyFont="1" applyFill="1" applyBorder="1" applyAlignment="1">
      <alignment horizontal="center" vertical="center"/>
    </xf>
    <xf numFmtId="3" fontId="3" fillId="6" borderId="3" xfId="0" applyNumberFormat="1" applyFont="1" applyFill="1" applyBorder="1" applyAlignment="1">
      <alignment horizontal="center" vertical="center" wrapText="1"/>
    </xf>
    <xf numFmtId="0" fontId="3" fillId="5" borderId="3" xfId="0" applyFont="1" applyFill="1" applyBorder="1" applyAlignment="1">
      <alignment horizontal="center" vertical="center" wrapText="1"/>
    </xf>
    <xf numFmtId="3" fontId="3" fillId="5" borderId="3" xfId="0" applyNumberFormat="1" applyFont="1" applyFill="1" applyBorder="1" applyAlignment="1">
      <alignment horizontal="center" vertical="center" wrapText="1"/>
    </xf>
    <xf numFmtId="3" fontId="4" fillId="4" borderId="3" xfId="5" applyNumberFormat="1" applyFont="1" applyFill="1" applyBorder="1" applyAlignment="1">
      <alignment horizontal="center" vertical="center"/>
    </xf>
    <xf numFmtId="3" fontId="4" fillId="0" borderId="3" xfId="5" applyNumberFormat="1" applyFont="1" applyFill="1" applyBorder="1" applyAlignment="1">
      <alignment horizontal="center" vertical="center" wrapText="1"/>
    </xf>
    <xf numFmtId="3" fontId="3" fillId="6" borderId="3" xfId="0" applyNumberFormat="1" applyFont="1" applyFill="1" applyBorder="1" applyAlignment="1">
      <alignment horizontal="center" vertical="center" wrapText="1"/>
    </xf>
    <xf numFmtId="0" fontId="4" fillId="0" borderId="3" xfId="0" applyFont="1" applyFill="1" applyBorder="1" applyAlignment="1">
      <alignment vertical="center" wrapText="1"/>
    </xf>
    <xf numFmtId="3" fontId="4" fillId="0" borderId="3" xfId="5" applyNumberFormat="1" applyFont="1" applyFill="1" applyBorder="1" applyAlignment="1">
      <alignment vertical="center" wrapText="1"/>
    </xf>
    <xf numFmtId="3" fontId="4" fillId="8" borderId="3" xfId="0" applyNumberFormat="1" applyFont="1" applyFill="1" applyBorder="1" applyAlignment="1">
      <alignment horizontal="center" vertical="center"/>
    </xf>
    <xf numFmtId="3" fontId="4" fillId="0" borderId="3" xfId="0" applyNumberFormat="1" applyFont="1" applyFill="1" applyBorder="1" applyAlignment="1">
      <alignment horizontal="center" vertical="center"/>
    </xf>
    <xf numFmtId="3" fontId="4" fillId="8" borderId="3" xfId="0" applyNumberFormat="1" applyFont="1" applyFill="1" applyBorder="1" applyAlignment="1">
      <alignment horizontal="center" vertical="center" wrapText="1"/>
    </xf>
    <xf numFmtId="3" fontId="4" fillId="4" borderId="3" xfId="0" applyNumberFormat="1" applyFont="1" applyFill="1" applyBorder="1" applyAlignment="1">
      <alignment horizontal="center" vertical="center" wrapText="1"/>
    </xf>
    <xf numFmtId="3" fontId="4" fillId="4" borderId="3" xfId="5" applyNumberFormat="1" applyFont="1" applyFill="1" applyBorder="1" applyAlignment="1">
      <alignment horizontal="center" vertical="center" wrapText="1"/>
    </xf>
    <xf numFmtId="3" fontId="4" fillId="0" borderId="3" xfId="0" applyNumberFormat="1" applyFont="1" applyFill="1" applyBorder="1" applyAlignment="1">
      <alignment horizontal="center" vertical="center" wrapText="1"/>
    </xf>
    <xf numFmtId="0" fontId="12" fillId="0" borderId="3" xfId="0" applyFont="1" applyBorder="1" applyAlignment="1">
      <alignment horizontal="center" vertical="center" wrapText="1"/>
    </xf>
    <xf numFmtId="0" fontId="4" fillId="8" borderId="3" xfId="0" applyFont="1" applyFill="1" applyBorder="1" applyAlignment="1">
      <alignment horizontal="center" vertical="center"/>
    </xf>
    <xf numFmtId="3" fontId="17" fillId="8" borderId="3" xfId="0" applyNumberFormat="1" applyFont="1" applyFill="1" applyBorder="1" applyAlignment="1">
      <alignment horizontal="center" vertical="center"/>
    </xf>
    <xf numFmtId="3" fontId="4" fillId="4" borderId="3" xfId="9" applyNumberFormat="1" applyFont="1" applyFill="1" applyBorder="1" applyAlignment="1">
      <alignment horizontal="center" vertical="center" wrapText="1"/>
    </xf>
    <xf numFmtId="3" fontId="4" fillId="0" borderId="3" xfId="9" applyNumberFormat="1" applyFont="1" applyFill="1" applyBorder="1" applyAlignment="1">
      <alignment horizontal="center" vertical="center" wrapText="1"/>
    </xf>
    <xf numFmtId="0" fontId="17" fillId="8" borderId="3" xfId="0" applyFont="1" applyFill="1" applyBorder="1" applyAlignment="1">
      <alignment horizontal="center" vertical="center"/>
    </xf>
    <xf numFmtId="3" fontId="17" fillId="8" borderId="3" xfId="0" applyNumberFormat="1" applyFont="1" applyFill="1" applyBorder="1" applyAlignment="1">
      <alignment horizontal="center" vertical="center" wrapText="1"/>
    </xf>
    <xf numFmtId="3" fontId="3" fillId="0" borderId="0" xfId="0" applyNumberFormat="1" applyFont="1" applyFill="1" applyBorder="1" applyAlignment="1">
      <alignment horizontal="center" vertical="center" wrapText="1"/>
    </xf>
    <xf numFmtId="3" fontId="3" fillId="0" borderId="0" xfId="0" applyNumberFormat="1" applyFont="1" applyBorder="1" applyAlignment="1">
      <alignment horizontal="center" vertical="center"/>
    </xf>
    <xf numFmtId="3" fontId="3" fillId="0" borderId="0" xfId="0" applyNumberFormat="1" applyFont="1" applyAlignment="1">
      <alignment horizontal="left" vertical="center" wrapText="1"/>
    </xf>
    <xf numFmtId="3" fontId="3" fillId="9" borderId="3" xfId="0" applyNumberFormat="1" applyFont="1" applyFill="1" applyBorder="1" applyAlignment="1">
      <alignment horizontal="center" vertical="center" wrapText="1"/>
    </xf>
    <xf numFmtId="3" fontId="4" fillId="4" borderId="3" xfId="5" applyNumberFormat="1" applyFont="1" applyFill="1" applyBorder="1" applyAlignment="1">
      <alignment horizontal="center" vertical="center"/>
    </xf>
    <xf numFmtId="0" fontId="4" fillId="4" borderId="1" xfId="0" applyFont="1" applyFill="1" applyBorder="1" applyAlignment="1">
      <alignment horizontal="justify" vertical="justify" wrapText="1"/>
    </xf>
    <xf numFmtId="0" fontId="4" fillId="0" borderId="3" xfId="15" applyFont="1" applyFill="1" applyBorder="1" applyAlignment="1">
      <alignment horizontal="left" vertical="center" wrapText="1"/>
    </xf>
    <xf numFmtId="3" fontId="4" fillId="4" borderId="3" xfId="5" applyNumberFormat="1" applyFont="1" applyFill="1" applyBorder="1" applyAlignment="1">
      <alignment horizontal="center" vertical="center"/>
    </xf>
    <xf numFmtId="0" fontId="4" fillId="0" borderId="3" xfId="0" applyFont="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3" applyFont="1" applyBorder="1" applyAlignment="1">
      <alignment horizontal="center" vertical="center" wrapText="1"/>
    </xf>
    <xf numFmtId="3" fontId="3" fillId="6" borderId="3" xfId="0" applyNumberFormat="1"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3" fontId="4" fillId="7" borderId="3" xfId="5" applyNumberFormat="1" applyFont="1" applyFill="1" applyBorder="1" applyAlignment="1">
      <alignment horizontal="center" vertical="center" wrapText="1"/>
    </xf>
    <xf numFmtId="0" fontId="3" fillId="6" borderId="3" xfId="0" applyFont="1" applyFill="1" applyBorder="1" applyAlignment="1">
      <alignment horizontal="center" vertical="center"/>
    </xf>
    <xf numFmtId="9" fontId="3" fillId="5" borderId="3" xfId="20" applyFont="1" applyFill="1" applyBorder="1" applyAlignment="1">
      <alignment horizontal="center" vertical="center" wrapText="1"/>
    </xf>
    <xf numFmtId="0" fontId="4" fillId="0" borderId="4" xfId="0" applyFont="1" applyFill="1" applyBorder="1" applyAlignment="1">
      <alignment horizontal="center" vertical="center" wrapText="1"/>
    </xf>
    <xf numFmtId="3" fontId="3" fillId="5" borderId="3" xfId="0" applyNumberFormat="1" applyFont="1" applyFill="1" applyBorder="1" applyAlignment="1">
      <alignment horizontal="center" vertical="center" wrapText="1"/>
    </xf>
    <xf numFmtId="0" fontId="3" fillId="5" borderId="3" xfId="0" applyFont="1" applyFill="1" applyBorder="1" applyAlignment="1">
      <alignment horizontal="center" vertical="center" wrapText="1"/>
    </xf>
    <xf numFmtId="0" fontId="4" fillId="0" borderId="0" xfId="0" applyFont="1" applyFill="1" applyAlignment="1">
      <alignment horizontal="center" vertical="center"/>
    </xf>
    <xf numFmtId="0" fontId="4" fillId="0" borderId="5"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3" fontId="4" fillId="4" borderId="7" xfId="5" applyNumberFormat="1" applyFont="1" applyFill="1" applyBorder="1" applyAlignment="1">
      <alignment vertical="center"/>
    </xf>
    <xf numFmtId="3" fontId="3" fillId="5" borderId="3" xfId="0" applyNumberFormat="1" applyFont="1" applyFill="1" applyBorder="1" applyAlignment="1">
      <alignment horizontal="center" vertical="center" wrapText="1"/>
    </xf>
    <xf numFmtId="3" fontId="4" fillId="4" borderId="7" xfId="5" applyNumberFormat="1" applyFont="1" applyFill="1" applyBorder="1" applyAlignment="1">
      <alignment horizontal="center" vertical="center"/>
    </xf>
    <xf numFmtId="3" fontId="4" fillId="4" borderId="1" xfId="5" applyNumberFormat="1" applyFont="1" applyFill="1" applyBorder="1" applyAlignment="1">
      <alignment horizontal="center" vertical="center"/>
    </xf>
    <xf numFmtId="3" fontId="4" fillId="0" borderId="4" xfId="5" applyNumberFormat="1" applyFont="1" applyBorder="1" applyAlignment="1">
      <alignment horizontal="center" vertical="center" wrapText="1"/>
    </xf>
    <xf numFmtId="3" fontId="4" fillId="0" borderId="7" xfId="5" applyNumberFormat="1" applyFont="1" applyBorder="1" applyAlignment="1">
      <alignment horizontal="center" vertical="center" wrapText="1"/>
    </xf>
    <xf numFmtId="3" fontId="4" fillId="0" borderId="1" xfId="5" applyNumberFormat="1" applyFont="1" applyBorder="1" applyAlignment="1">
      <alignment horizontal="center" vertical="center" wrapText="1"/>
    </xf>
    <xf numFmtId="3" fontId="4" fillId="4" borderId="3" xfId="5" applyNumberFormat="1" applyFont="1" applyFill="1" applyBorder="1" applyAlignment="1">
      <alignment horizontal="center" vertical="center"/>
    </xf>
    <xf numFmtId="165" fontId="4" fillId="0" borderId="3" xfId="5" applyNumberFormat="1" applyFont="1" applyBorder="1" applyAlignment="1">
      <alignment horizontal="center" vertical="center" wrapText="1"/>
    </xf>
    <xf numFmtId="0" fontId="12" fillId="0" borderId="4" xfId="0" applyFont="1" applyBorder="1" applyAlignment="1">
      <alignment horizontal="center" vertical="center" wrapText="1"/>
    </xf>
    <xf numFmtId="3" fontId="4" fillId="0" borderId="4" xfId="5" applyNumberFormat="1"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1" xfId="0" applyFont="1" applyBorder="1" applyAlignment="1">
      <alignment horizontal="center" vertical="center" wrapText="1"/>
    </xf>
    <xf numFmtId="3" fontId="4" fillId="0" borderId="7" xfId="0" applyNumberFormat="1" applyFont="1" applyFill="1" applyBorder="1" applyAlignment="1">
      <alignment horizontal="center" vertical="center" wrapText="1"/>
    </xf>
    <xf numFmtId="0" fontId="4" fillId="0" borderId="7" xfId="0" applyFont="1" applyBorder="1" applyAlignment="1">
      <alignment horizontal="center" vertical="center" wrapText="1"/>
    </xf>
    <xf numFmtId="0" fontId="4" fillId="0" borderId="3"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0" borderId="3" xfId="3" applyFont="1" applyFill="1" applyBorder="1" applyAlignment="1">
      <alignment horizontal="left" vertical="center" wrapText="1"/>
    </xf>
    <xf numFmtId="3" fontId="17" fillId="8" borderId="3" xfId="0" applyNumberFormat="1" applyFont="1" applyFill="1" applyBorder="1" applyAlignment="1">
      <alignment horizontal="center" vertical="center"/>
    </xf>
    <xf numFmtId="3" fontId="4" fillId="0" borderId="7" xfId="0" applyNumberFormat="1" applyFont="1" applyBorder="1" applyAlignment="1">
      <alignment horizontal="center" vertical="center" wrapText="1"/>
    </xf>
    <xf numFmtId="3" fontId="4" fillId="0" borderId="1" xfId="14" applyNumberFormat="1" applyFont="1" applyFill="1" applyBorder="1" applyAlignment="1">
      <alignment horizontal="center" vertical="center" wrapText="1"/>
    </xf>
    <xf numFmtId="3" fontId="4" fillId="7" borderId="3" xfId="0" applyNumberFormat="1" applyFont="1" applyFill="1" applyBorder="1" applyAlignment="1">
      <alignment horizontal="center" vertical="center" wrapText="1"/>
    </xf>
    <xf numFmtId="3" fontId="4" fillId="7" borderId="3" xfId="5" applyNumberFormat="1" applyFont="1" applyFill="1" applyBorder="1" applyAlignment="1">
      <alignment horizontal="center" vertical="center" wrapText="1"/>
    </xf>
    <xf numFmtId="3" fontId="4" fillId="0" borderId="7" xfId="5" applyNumberFormat="1" applyFont="1" applyFill="1" applyBorder="1" applyAlignment="1">
      <alignment horizontal="center" vertical="center" wrapText="1"/>
    </xf>
    <xf numFmtId="3" fontId="4" fillId="7" borderId="3" xfId="5" applyNumberFormat="1" applyFont="1" applyFill="1" applyBorder="1" applyAlignment="1">
      <alignment horizontal="center" vertical="center" wrapText="1"/>
    </xf>
    <xf numFmtId="3" fontId="4" fillId="0" borderId="1" xfId="0" applyNumberFormat="1" applyFont="1" applyBorder="1" applyAlignment="1">
      <alignment horizontal="center" vertical="center" wrapText="1"/>
    </xf>
    <xf numFmtId="3" fontId="0" fillId="0" borderId="0" xfId="0" applyNumberFormat="1"/>
    <xf numFmtId="3" fontId="3" fillId="10" borderId="3" xfId="5" applyNumberFormat="1" applyFont="1" applyFill="1" applyBorder="1" applyAlignment="1">
      <alignment horizontal="center" vertical="center" wrapText="1"/>
    </xf>
    <xf numFmtId="3" fontId="4" fillId="0" borderId="3" xfId="5" applyNumberFormat="1" applyFont="1" applyFill="1" applyBorder="1" applyAlignment="1">
      <alignment horizontal="center" vertical="center"/>
    </xf>
    <xf numFmtId="3" fontId="4" fillId="7" borderId="3" xfId="5" applyNumberFormat="1" applyFont="1" applyFill="1" applyBorder="1" applyAlignment="1">
      <alignment horizontal="center" vertical="center" wrapText="1"/>
    </xf>
    <xf numFmtId="3" fontId="3" fillId="5" borderId="3" xfId="14" applyNumberFormat="1" applyFont="1" applyFill="1" applyBorder="1" applyAlignment="1">
      <alignment horizontal="center" vertical="center" wrapText="1"/>
    </xf>
    <xf numFmtId="3" fontId="4" fillId="0" borderId="0" xfId="0" applyNumberFormat="1" applyFont="1" applyFill="1" applyAlignment="1">
      <alignment horizontal="center" vertical="center"/>
    </xf>
    <xf numFmtId="0" fontId="12" fillId="0" borderId="3" xfId="0" applyFont="1" applyFill="1" applyBorder="1" applyAlignment="1">
      <alignment horizontal="center" vertical="center" wrapText="1"/>
    </xf>
    <xf numFmtId="0" fontId="12" fillId="0" borderId="4" xfId="0" applyFont="1" applyFill="1" applyBorder="1" applyAlignment="1">
      <alignment horizontal="center" vertical="center" wrapText="1"/>
    </xf>
    <xf numFmtId="3" fontId="4" fillId="0" borderId="3" xfId="9" applyNumberFormat="1" applyFont="1" applyFill="1" applyBorder="1" applyAlignment="1">
      <alignment horizontal="center" vertical="center"/>
    </xf>
    <xf numFmtId="3" fontId="17" fillId="0" borderId="3" xfId="0" applyNumberFormat="1" applyFont="1" applyFill="1" applyBorder="1" applyAlignment="1">
      <alignment horizontal="center" vertical="center"/>
    </xf>
    <xf numFmtId="3" fontId="4" fillId="0" borderId="7" xfId="5" applyNumberFormat="1" applyFont="1" applyFill="1" applyBorder="1" applyAlignment="1">
      <alignment horizontal="center" vertical="center"/>
    </xf>
    <xf numFmtId="3" fontId="3" fillId="0" borderId="3" xfId="0" applyNumberFormat="1" applyFont="1" applyFill="1" applyBorder="1" applyAlignment="1">
      <alignment horizontal="center" vertical="center"/>
    </xf>
    <xf numFmtId="0" fontId="4" fillId="0" borderId="3" xfId="0" applyFont="1" applyBorder="1" applyAlignment="1">
      <alignment vertical="center" wrapText="1"/>
    </xf>
    <xf numFmtId="9" fontId="4" fillId="0" borderId="3" xfId="0" applyNumberFormat="1" applyFont="1" applyFill="1" applyBorder="1" applyAlignment="1">
      <alignment horizontal="center" vertical="center" wrapText="1"/>
    </xf>
    <xf numFmtId="3" fontId="3" fillId="5" borderId="3" xfId="0" applyNumberFormat="1"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7" xfId="0" applyFont="1" applyFill="1" applyBorder="1" applyAlignment="1">
      <alignment horizontal="center" vertical="center" wrapText="1"/>
    </xf>
    <xf numFmtId="3" fontId="3" fillId="5" borderId="3" xfId="0" applyNumberFormat="1" applyFont="1" applyFill="1" applyBorder="1" applyAlignment="1">
      <alignment horizontal="center" vertical="center" wrapText="1"/>
    </xf>
    <xf numFmtId="3" fontId="3" fillId="5" borderId="3" xfId="14" applyNumberFormat="1" applyFont="1" applyFill="1" applyBorder="1" applyAlignment="1">
      <alignment horizontal="center" vertical="center" wrapText="1"/>
    </xf>
    <xf numFmtId="0" fontId="3" fillId="5" borderId="3" xfId="3" applyFont="1" applyFill="1" applyBorder="1" applyAlignment="1">
      <alignment horizontal="center" vertical="center" wrapText="1"/>
    </xf>
    <xf numFmtId="0" fontId="3" fillId="5" borderId="3" xfId="0" applyFont="1" applyFill="1" applyBorder="1" applyAlignment="1">
      <alignment horizontal="center" vertical="center" wrapText="1"/>
    </xf>
    <xf numFmtId="0" fontId="4" fillId="0" borderId="3" xfId="14" applyFont="1" applyFill="1" applyBorder="1" applyAlignment="1">
      <alignment horizontal="center" vertical="center" wrapText="1"/>
    </xf>
    <xf numFmtId="0" fontId="3" fillId="5" borderId="5" xfId="0" applyFont="1" applyFill="1" applyBorder="1" applyAlignment="1">
      <alignment horizontal="center" vertical="center" wrapText="1"/>
    </xf>
    <xf numFmtId="0" fontId="4" fillId="0" borderId="0" xfId="0" applyFont="1" applyAlignment="1">
      <alignment horizontal="center" vertical="center" wrapText="1"/>
    </xf>
    <xf numFmtId="0" fontId="4" fillId="0" borderId="4" xfId="3" applyFont="1" applyFill="1" applyBorder="1" applyAlignment="1">
      <alignment horizontal="center" vertical="center" wrapText="1"/>
    </xf>
    <xf numFmtId="0" fontId="4" fillId="0" borderId="7" xfId="15" applyFont="1" applyFill="1" applyBorder="1" applyAlignment="1">
      <alignment horizontal="center" vertical="center" wrapText="1"/>
    </xf>
    <xf numFmtId="0" fontId="4" fillId="0" borderId="1" xfId="15" applyFont="1" applyFill="1" applyBorder="1" applyAlignment="1">
      <alignment horizontal="center" vertical="center" wrapText="1"/>
    </xf>
    <xf numFmtId="0" fontId="4" fillId="0" borderId="4" xfId="15" applyFont="1" applyFill="1" applyBorder="1" applyAlignment="1">
      <alignment horizontal="center" vertical="center" wrapText="1"/>
    </xf>
    <xf numFmtId="0" fontId="4" fillId="0" borderId="7" xfId="3" applyFont="1" applyFill="1" applyBorder="1" applyAlignment="1">
      <alignment horizontal="center" vertical="center" wrapText="1"/>
    </xf>
    <xf numFmtId="0" fontId="4" fillId="0" borderId="1" xfId="3" applyFont="1" applyFill="1" applyBorder="1" applyAlignment="1">
      <alignment horizontal="center" vertical="center" wrapText="1"/>
    </xf>
    <xf numFmtId="0" fontId="3" fillId="6" borderId="3" xfId="0" applyFont="1" applyFill="1" applyBorder="1" applyAlignment="1">
      <alignment horizontal="center" vertical="center" wrapText="1"/>
    </xf>
    <xf numFmtId="0" fontId="4" fillId="9" borderId="3" xfId="0" applyFont="1" applyFill="1" applyBorder="1" applyAlignment="1">
      <alignment horizontal="center" vertical="center" wrapText="1"/>
    </xf>
    <xf numFmtId="9" fontId="4" fillId="9" borderId="3" xfId="0" applyNumberFormat="1" applyFont="1" applyFill="1" applyBorder="1" applyAlignment="1">
      <alignment horizontal="center" vertical="center" wrapText="1"/>
    </xf>
    <xf numFmtId="0" fontId="4" fillId="0" borderId="5" xfId="0" applyFont="1" applyFill="1" applyBorder="1" applyAlignment="1">
      <alignment vertical="center" wrapText="1"/>
    </xf>
    <xf numFmtId="0" fontId="4" fillId="4" borderId="5" xfId="0" applyFont="1" applyFill="1" applyBorder="1" applyAlignment="1">
      <alignment horizontal="left" vertical="center" wrapText="1"/>
    </xf>
    <xf numFmtId="3" fontId="4" fillId="7" borderId="3" xfId="0" applyNumberFormat="1" applyFont="1" applyFill="1" applyBorder="1" applyAlignment="1">
      <alignment horizontal="center" vertical="center" wrapText="1"/>
    </xf>
    <xf numFmtId="3" fontId="4" fillId="7" borderId="3" xfId="5" applyNumberFormat="1" applyFont="1" applyFill="1" applyBorder="1" applyAlignment="1">
      <alignment horizontal="center" vertical="center" wrapText="1"/>
    </xf>
    <xf numFmtId="3" fontId="4" fillId="4" borderId="1" xfId="5" applyNumberFormat="1" applyFont="1" applyFill="1" applyBorder="1" applyAlignment="1">
      <alignment horizontal="center" vertical="center"/>
    </xf>
    <xf numFmtId="3" fontId="4" fillId="4" borderId="3" xfId="5" applyNumberFormat="1" applyFont="1" applyFill="1" applyBorder="1" applyAlignment="1">
      <alignment horizontal="center" vertical="center"/>
    </xf>
    <xf numFmtId="3" fontId="3" fillId="5" borderId="3" xfId="0" applyNumberFormat="1" applyFont="1" applyFill="1" applyBorder="1" applyAlignment="1">
      <alignment horizontal="center" vertical="center" wrapText="1"/>
    </xf>
    <xf numFmtId="3" fontId="3" fillId="6" borderId="3" xfId="0" applyNumberFormat="1" applyFont="1" applyFill="1" applyBorder="1" applyAlignment="1">
      <alignment horizontal="center" vertical="center" wrapText="1"/>
    </xf>
    <xf numFmtId="14" fontId="4" fillId="0" borderId="3" xfId="0" applyNumberFormat="1" applyFont="1" applyFill="1" applyBorder="1" applyAlignment="1">
      <alignment horizontal="center" vertical="center" wrapText="1"/>
    </xf>
    <xf numFmtId="3" fontId="4" fillId="4" borderId="3" xfId="5" applyNumberFormat="1" applyFont="1" applyFill="1" applyBorder="1" applyAlignment="1">
      <alignment horizontal="center" vertical="center"/>
    </xf>
    <xf numFmtId="3" fontId="4" fillId="4" borderId="7" xfId="5" applyNumberFormat="1" applyFont="1" applyFill="1" applyBorder="1" applyAlignment="1">
      <alignment horizontal="center" vertical="center"/>
    </xf>
    <xf numFmtId="3" fontId="4" fillId="7" borderId="3" xfId="0" applyNumberFormat="1" applyFont="1" applyFill="1" applyBorder="1" applyAlignment="1">
      <alignment horizontal="center" vertical="center" wrapText="1"/>
    </xf>
    <xf numFmtId="14" fontId="4" fillId="0" borderId="3" xfId="3" applyNumberFormat="1" applyFont="1" applyFill="1" applyBorder="1" applyAlignment="1">
      <alignment horizontal="center" vertical="center" wrapText="1"/>
    </xf>
    <xf numFmtId="14" fontId="4" fillId="0" borderId="3" xfId="15" applyNumberFormat="1" applyFont="1" applyFill="1" applyBorder="1" applyAlignment="1">
      <alignment horizontal="center" vertical="center" wrapText="1"/>
    </xf>
    <xf numFmtId="14" fontId="4" fillId="0" borderId="3" xfId="14" applyNumberFormat="1" applyFont="1" applyFill="1" applyBorder="1" applyAlignment="1">
      <alignment horizontal="center" vertical="center" wrapText="1"/>
    </xf>
    <xf numFmtId="0" fontId="4" fillId="0" borderId="5" xfId="14" applyFont="1" applyFill="1" applyBorder="1" applyAlignment="1">
      <alignment horizontal="left" vertical="center" wrapText="1"/>
    </xf>
    <xf numFmtId="14" fontId="4" fillId="0" borderId="4" xfId="14" applyNumberFormat="1" applyFont="1" applyFill="1" applyBorder="1" applyAlignment="1">
      <alignment horizontal="center" vertical="center" wrapText="1"/>
    </xf>
    <xf numFmtId="14" fontId="4" fillId="0" borderId="1" xfId="14" applyNumberFormat="1" applyFont="1" applyFill="1" applyBorder="1" applyAlignment="1">
      <alignment horizontal="center" vertical="center" wrapText="1"/>
    </xf>
    <xf numFmtId="0" fontId="5" fillId="0" borderId="0" xfId="0" applyFont="1" applyAlignment="1">
      <alignment wrapText="1"/>
    </xf>
    <xf numFmtId="6" fontId="5" fillId="0" borderId="0" xfId="0" applyNumberFormat="1" applyFont="1" applyAlignment="1">
      <alignment wrapText="1"/>
    </xf>
    <xf numFmtId="15" fontId="5" fillId="0" borderId="0" xfId="0" applyNumberFormat="1" applyFont="1" applyAlignment="1">
      <alignment wrapText="1"/>
    </xf>
    <xf numFmtId="0" fontId="5" fillId="0" borderId="0" xfId="0" applyFont="1" applyAlignment="1">
      <alignment horizontal="justify" wrapText="1"/>
    </xf>
    <xf numFmtId="0" fontId="5" fillId="0" borderId="0" xfId="0" applyFont="1"/>
    <xf numFmtId="6" fontId="5" fillId="0" borderId="0" xfId="0" applyNumberFormat="1" applyFont="1"/>
    <xf numFmtId="0" fontId="5" fillId="0" borderId="0" xfId="0" applyFont="1" applyAlignment="1">
      <alignment horizontal="center" wrapText="1"/>
    </xf>
    <xf numFmtId="6" fontId="5" fillId="0" borderId="0" xfId="0" applyNumberFormat="1" applyFont="1" applyAlignment="1">
      <alignment horizontal="right" wrapText="1"/>
    </xf>
    <xf numFmtId="3" fontId="3" fillId="5" borderId="3" xfId="3" applyNumberFormat="1" applyFont="1" applyFill="1" applyBorder="1" applyAlignment="1">
      <alignment horizontal="center" vertical="center" wrapText="1"/>
    </xf>
    <xf numFmtId="0" fontId="18" fillId="0" borderId="0" xfId="19" applyFont="1"/>
    <xf numFmtId="0" fontId="14" fillId="0" borderId="0" xfId="0" applyFont="1"/>
    <xf numFmtId="0" fontId="19" fillId="0" borderId="0" xfId="19" applyFont="1" applyAlignment="1">
      <alignment horizontal="center" vertical="center" wrapText="1"/>
    </xf>
    <xf numFmtId="0" fontId="18" fillId="0" borderId="0" xfId="19" applyFont="1" applyAlignment="1">
      <alignment vertical="center" wrapText="1"/>
    </xf>
    <xf numFmtId="6" fontId="18" fillId="0" borderId="0" xfId="19" applyNumberFormat="1" applyFont="1" applyAlignment="1">
      <alignment vertical="center" wrapText="1"/>
    </xf>
    <xf numFmtId="0" fontId="18" fillId="0" borderId="0" xfId="19" applyFont="1" applyAlignment="1">
      <alignment horizontal="justify" vertical="center" wrapText="1"/>
    </xf>
    <xf numFmtId="6" fontId="19" fillId="0" borderId="0" xfId="19" applyNumberFormat="1" applyFont="1" applyAlignment="1">
      <alignment horizontal="right" vertical="center" wrapText="1"/>
    </xf>
    <xf numFmtId="15" fontId="18" fillId="0" borderId="0" xfId="19" applyNumberFormat="1" applyFont="1" applyAlignment="1">
      <alignment vertical="center" wrapText="1"/>
    </xf>
    <xf numFmtId="0" fontId="18" fillId="0" borderId="0" xfId="19" applyFont="1" applyAlignment="1">
      <alignment vertical="center"/>
    </xf>
    <xf numFmtId="6" fontId="18" fillId="0" borderId="0" xfId="19" applyNumberFormat="1" applyFont="1" applyAlignment="1">
      <alignment vertical="center"/>
    </xf>
    <xf numFmtId="0" fontId="20" fillId="0" borderId="0" xfId="4" applyFont="1" applyAlignment="1" applyProtection="1">
      <alignment vertical="center"/>
    </xf>
    <xf numFmtId="3" fontId="4" fillId="0" borderId="0" xfId="0" applyNumberFormat="1" applyFont="1" applyAlignment="1">
      <alignment horizontal="center" vertical="center" wrapText="1"/>
    </xf>
    <xf numFmtId="3" fontId="4" fillId="9" borderId="3" xfId="0" applyNumberFormat="1" applyFont="1" applyFill="1" applyBorder="1" applyAlignment="1">
      <alignment horizontal="center" vertical="center" wrapText="1"/>
    </xf>
    <xf numFmtId="3" fontId="4" fillId="2" borderId="3" xfId="0" applyNumberFormat="1" applyFont="1" applyFill="1" applyBorder="1" applyAlignment="1">
      <alignment horizontal="center" vertical="center" wrapText="1"/>
    </xf>
    <xf numFmtId="3" fontId="4" fillId="5" borderId="3" xfId="0" applyNumberFormat="1" applyFont="1" applyFill="1" applyBorder="1" applyAlignment="1">
      <alignment horizontal="center" vertical="center" wrapText="1"/>
    </xf>
    <xf numFmtId="3" fontId="4" fillId="5" borderId="3" xfId="3" applyNumberFormat="1" applyFont="1" applyFill="1" applyBorder="1" applyAlignment="1">
      <alignment horizontal="center" vertical="center" wrapText="1"/>
    </xf>
    <xf numFmtId="3" fontId="4" fillId="6" borderId="3" xfId="0" applyNumberFormat="1" applyFont="1" applyFill="1" applyBorder="1" applyAlignment="1">
      <alignment horizontal="center" vertical="center"/>
    </xf>
    <xf numFmtId="0" fontId="18" fillId="0" borderId="0" xfId="19" applyFont="1"/>
    <xf numFmtId="6" fontId="14" fillId="0" borderId="0" xfId="0" applyNumberFormat="1" applyFont="1"/>
    <xf numFmtId="3" fontId="4" fillId="4" borderId="3" xfId="5" applyNumberFormat="1" applyFont="1" applyFill="1" applyBorder="1" applyAlignment="1">
      <alignment horizontal="center" vertical="center"/>
    </xf>
    <xf numFmtId="3" fontId="4" fillId="4" borderId="7" xfId="5" applyNumberFormat="1" applyFont="1" applyFill="1" applyBorder="1" applyAlignment="1">
      <alignment horizontal="center" vertical="center"/>
    </xf>
    <xf numFmtId="3" fontId="4" fillId="4" borderId="1" xfId="5" applyNumberFormat="1" applyFont="1" applyFill="1" applyBorder="1" applyAlignment="1">
      <alignment horizontal="center" vertical="center"/>
    </xf>
    <xf numFmtId="3" fontId="4" fillId="0" borderId="4" xfId="0" applyNumberFormat="1" applyFont="1" applyFill="1" applyBorder="1" applyAlignment="1">
      <alignment horizontal="center" vertical="center" wrapText="1"/>
    </xf>
    <xf numFmtId="3" fontId="4" fillId="0" borderId="1" xfId="0" applyNumberFormat="1" applyFont="1" applyFill="1" applyBorder="1" applyAlignment="1">
      <alignment horizontal="center" vertical="center" wrapText="1"/>
    </xf>
    <xf numFmtId="3" fontId="17" fillId="8" borderId="3" xfId="0" applyNumberFormat="1" applyFont="1" applyFill="1" applyBorder="1" applyAlignment="1">
      <alignment horizontal="center" vertical="center"/>
    </xf>
    <xf numFmtId="3" fontId="4" fillId="7" borderId="3" xfId="0" applyNumberFormat="1" applyFont="1" applyFill="1" applyBorder="1" applyAlignment="1">
      <alignment horizontal="center" vertical="center" wrapText="1"/>
    </xf>
    <xf numFmtId="3" fontId="4" fillId="4" borderId="4" xfId="0" applyNumberFormat="1" applyFont="1" applyFill="1" applyBorder="1" applyAlignment="1">
      <alignment horizontal="center" vertical="center" wrapText="1"/>
    </xf>
    <xf numFmtId="3" fontId="4" fillId="4" borderId="7" xfId="0" applyNumberFormat="1" applyFont="1" applyFill="1" applyBorder="1" applyAlignment="1">
      <alignment horizontal="center" vertical="center" wrapText="1"/>
    </xf>
    <xf numFmtId="3" fontId="4" fillId="8" borderId="3" xfId="0" applyNumberFormat="1" applyFont="1" applyFill="1" applyBorder="1" applyAlignment="1">
      <alignment horizontal="center" vertical="center"/>
    </xf>
    <xf numFmtId="3" fontId="3" fillId="5" borderId="5" xfId="0" applyNumberFormat="1" applyFont="1" applyFill="1" applyBorder="1" applyAlignment="1">
      <alignment horizontal="center" vertical="center" wrapText="1"/>
    </xf>
    <xf numFmtId="3" fontId="4" fillId="7" borderId="3" xfId="5" applyNumberFormat="1" applyFont="1" applyFill="1" applyBorder="1" applyAlignment="1">
      <alignment horizontal="center" vertical="center" wrapText="1"/>
    </xf>
    <xf numFmtId="3" fontId="3" fillId="5" borderId="3" xfId="0" applyNumberFormat="1" applyFont="1" applyFill="1" applyBorder="1" applyAlignment="1">
      <alignment horizontal="center" vertical="center" wrapText="1"/>
    </xf>
    <xf numFmtId="3" fontId="3" fillId="6" borderId="3" xfId="0" applyNumberFormat="1" applyFont="1" applyFill="1" applyBorder="1" applyAlignment="1">
      <alignment horizontal="center" vertical="center" wrapText="1"/>
    </xf>
    <xf numFmtId="3" fontId="3" fillId="5" borderId="3" xfId="14" applyNumberFormat="1" applyFont="1" applyFill="1" applyBorder="1" applyAlignment="1">
      <alignment horizontal="center" vertical="center" wrapText="1"/>
    </xf>
    <xf numFmtId="3" fontId="4" fillId="0" borderId="4" xfId="14" applyNumberFormat="1" applyFont="1" applyFill="1" applyBorder="1" applyAlignment="1">
      <alignment horizontal="center" vertical="center" wrapText="1"/>
    </xf>
    <xf numFmtId="3" fontId="4" fillId="0" borderId="4" xfId="15" applyNumberFormat="1" applyFont="1" applyFill="1" applyBorder="1" applyAlignment="1">
      <alignment horizontal="center" vertical="center" wrapText="1"/>
    </xf>
    <xf numFmtId="3" fontId="4" fillId="0" borderId="7" xfId="15" applyNumberFormat="1" applyFont="1" applyFill="1" applyBorder="1" applyAlignment="1">
      <alignment horizontal="center" vertical="center" wrapText="1"/>
    </xf>
    <xf numFmtId="3" fontId="4" fillId="0" borderId="1" xfId="15" applyNumberFormat="1" applyFont="1" applyFill="1" applyBorder="1" applyAlignment="1">
      <alignment horizontal="center" vertical="center" wrapText="1"/>
    </xf>
    <xf numFmtId="3" fontId="4" fillId="0" borderId="4" xfId="3" applyNumberFormat="1" applyFont="1" applyFill="1" applyBorder="1" applyAlignment="1">
      <alignment horizontal="center" vertical="center" wrapText="1"/>
    </xf>
    <xf numFmtId="3" fontId="4" fillId="0" borderId="7" xfId="3" applyNumberFormat="1" applyFont="1" applyFill="1" applyBorder="1" applyAlignment="1">
      <alignment horizontal="center" vertical="center" wrapText="1"/>
    </xf>
    <xf numFmtId="3" fontId="4" fillId="0" borderId="1" xfId="3" applyNumberFormat="1" applyFont="1" applyFill="1" applyBorder="1" applyAlignment="1">
      <alignment horizontal="center" vertical="center" wrapText="1"/>
    </xf>
    <xf numFmtId="3" fontId="4" fillId="4" borderId="3" xfId="0" applyNumberFormat="1" applyFont="1" applyFill="1" applyBorder="1" applyAlignment="1">
      <alignment horizontal="center" vertical="center" wrapText="1"/>
    </xf>
    <xf numFmtId="3" fontId="4" fillId="0" borderId="3" xfId="3" applyNumberFormat="1" applyFont="1" applyFill="1" applyBorder="1" applyAlignment="1">
      <alignment horizontal="center" vertical="center" wrapText="1"/>
    </xf>
    <xf numFmtId="3" fontId="3" fillId="0" borderId="0" xfId="0" applyNumberFormat="1" applyFont="1" applyAlignment="1">
      <alignment horizontal="left" vertical="center"/>
    </xf>
    <xf numFmtId="3" fontId="4" fillId="0" borderId="0" xfId="0" applyNumberFormat="1" applyFont="1" applyAlignment="1">
      <alignment horizontal="left" vertical="center"/>
    </xf>
    <xf numFmtId="3" fontId="4" fillId="0" borderId="3" xfId="0" applyNumberFormat="1" applyFont="1" applyFill="1" applyBorder="1" applyAlignment="1">
      <alignment horizontal="left" vertical="center" wrapText="1"/>
    </xf>
    <xf numFmtId="3" fontId="3" fillId="5" borderId="3" xfId="0" applyNumberFormat="1" applyFont="1" applyFill="1" applyBorder="1" applyAlignment="1">
      <alignment horizontal="left" vertical="center" wrapText="1"/>
    </xf>
    <xf numFmtId="3" fontId="4" fillId="0" borderId="3" xfId="0" applyNumberFormat="1" applyFont="1" applyFill="1" applyBorder="1" applyAlignment="1">
      <alignment vertical="center" wrapText="1"/>
    </xf>
    <xf numFmtId="3" fontId="4" fillId="0" borderId="8" xfId="0" applyNumberFormat="1" applyFont="1" applyFill="1" applyBorder="1" applyAlignment="1">
      <alignment horizontal="center" vertical="center" wrapText="1"/>
    </xf>
    <xf numFmtId="3" fontId="4" fillId="0" borderId="5" xfId="0" applyNumberFormat="1" applyFont="1" applyFill="1" applyBorder="1" applyAlignment="1">
      <alignment horizontal="center" vertical="center" wrapText="1"/>
    </xf>
    <xf numFmtId="3" fontId="4" fillId="0" borderId="8" xfId="0" applyNumberFormat="1" applyFont="1" applyFill="1" applyBorder="1" applyAlignment="1">
      <alignment vertical="center" wrapText="1"/>
    </xf>
    <xf numFmtId="3" fontId="4" fillId="0" borderId="9" xfId="0" applyNumberFormat="1" applyFont="1" applyFill="1" applyBorder="1" applyAlignment="1">
      <alignment horizontal="center" vertical="center" wrapText="1"/>
    </xf>
    <xf numFmtId="3" fontId="12" fillId="0" borderId="3" xfId="0" applyNumberFormat="1" applyFont="1" applyBorder="1" applyAlignment="1">
      <alignment horizontal="center" vertical="center" wrapText="1"/>
    </xf>
    <xf numFmtId="3" fontId="4" fillId="0" borderId="10" xfId="0" applyNumberFormat="1" applyFont="1" applyFill="1" applyBorder="1" applyAlignment="1">
      <alignment horizontal="center" vertical="center" wrapText="1"/>
    </xf>
    <xf numFmtId="3" fontId="12" fillId="0" borderId="3" xfId="0" applyNumberFormat="1" applyFont="1" applyFill="1" applyBorder="1" applyAlignment="1">
      <alignment horizontal="center" vertical="center" wrapText="1"/>
    </xf>
    <xf numFmtId="3" fontId="4" fillId="0" borderId="5" xfId="0" applyNumberFormat="1" applyFont="1" applyBorder="1" applyAlignment="1">
      <alignment horizontal="center" vertical="center" wrapText="1"/>
    </xf>
    <xf numFmtId="3" fontId="4" fillId="0" borderId="9" xfId="0" applyNumberFormat="1" applyFont="1" applyBorder="1" applyAlignment="1">
      <alignment horizontal="center" vertical="center" wrapText="1"/>
    </xf>
    <xf numFmtId="3" fontId="4" fillId="0" borderId="10" xfId="0" applyNumberFormat="1" applyFont="1" applyBorder="1" applyAlignment="1">
      <alignment horizontal="center" vertical="center" wrapText="1"/>
    </xf>
    <xf numFmtId="3" fontId="4" fillId="4" borderId="5" xfId="0" applyNumberFormat="1" applyFont="1" applyFill="1" applyBorder="1" applyAlignment="1">
      <alignment horizontal="center" vertical="center" wrapText="1"/>
    </xf>
    <xf numFmtId="3" fontId="12" fillId="0" borderId="4" xfId="0" applyNumberFormat="1" applyFont="1" applyFill="1" applyBorder="1" applyAlignment="1">
      <alignment horizontal="center" vertical="center" wrapText="1"/>
    </xf>
    <xf numFmtId="3" fontId="12" fillId="0" borderId="4" xfId="0" applyNumberFormat="1" applyFont="1" applyBorder="1" applyAlignment="1">
      <alignment horizontal="center" vertical="center" wrapText="1"/>
    </xf>
    <xf numFmtId="3" fontId="4" fillId="4" borderId="3" xfId="0" applyNumberFormat="1" applyFont="1" applyFill="1" applyBorder="1" applyAlignment="1">
      <alignment horizontal="left" vertical="center" wrapText="1"/>
    </xf>
    <xf numFmtId="3" fontId="4" fillId="4" borderId="8" xfId="0" applyNumberFormat="1" applyFont="1" applyFill="1" applyBorder="1" applyAlignment="1">
      <alignment horizontal="center" vertical="center" wrapText="1"/>
    </xf>
    <xf numFmtId="3" fontId="4" fillId="0" borderId="5" xfId="0" applyNumberFormat="1" applyFont="1" applyFill="1" applyBorder="1" applyAlignment="1">
      <alignment vertical="center" wrapText="1"/>
    </xf>
    <xf numFmtId="3" fontId="4" fillId="0" borderId="11" xfId="0" applyNumberFormat="1" applyFont="1" applyFill="1" applyBorder="1" applyAlignment="1">
      <alignment horizontal="center" vertical="center" wrapText="1"/>
    </xf>
    <xf numFmtId="3" fontId="4" fillId="4" borderId="11" xfId="0" applyNumberFormat="1" applyFont="1" applyFill="1" applyBorder="1" applyAlignment="1">
      <alignment horizontal="center" vertical="center" wrapText="1"/>
    </xf>
    <xf numFmtId="3" fontId="4" fillId="0" borderId="0" xfId="0" applyNumberFormat="1" applyFont="1" applyAlignment="1">
      <alignment horizontal="left" vertical="center" wrapText="1"/>
    </xf>
    <xf numFmtId="3" fontId="4" fillId="4" borderId="12" xfId="0" applyNumberFormat="1" applyFont="1" applyFill="1" applyBorder="1" applyAlignment="1">
      <alignment horizontal="center" vertical="center" wrapText="1"/>
    </xf>
    <xf numFmtId="3" fontId="4" fillId="4" borderId="0" xfId="0" applyNumberFormat="1" applyFont="1" applyFill="1" applyBorder="1" applyAlignment="1">
      <alignment horizontal="left" vertical="center" wrapText="1"/>
    </xf>
    <xf numFmtId="3" fontId="4" fillId="4" borderId="12" xfId="0" applyNumberFormat="1" applyFont="1" applyFill="1" applyBorder="1" applyAlignment="1">
      <alignment horizontal="left" vertical="center" wrapText="1"/>
    </xf>
    <xf numFmtId="3" fontId="4" fillId="4" borderId="13" xfId="0" applyNumberFormat="1" applyFont="1" applyFill="1" applyBorder="1" applyAlignment="1">
      <alignment horizontal="center" vertical="center" wrapText="1"/>
    </xf>
    <xf numFmtId="3" fontId="4" fillId="4" borderId="14" xfId="0" applyNumberFormat="1" applyFont="1" applyFill="1" applyBorder="1" applyAlignment="1">
      <alignment horizontal="left" vertical="center" wrapText="1"/>
    </xf>
    <xf numFmtId="3" fontId="4" fillId="4" borderId="13" xfId="0" applyNumberFormat="1" applyFont="1" applyFill="1" applyBorder="1" applyAlignment="1">
      <alignment horizontal="left" vertical="center" wrapText="1"/>
    </xf>
    <xf numFmtId="3" fontId="4" fillId="0" borderId="3" xfId="0" applyNumberFormat="1" applyFont="1" applyBorder="1" applyAlignment="1">
      <alignment horizontal="center" vertical="center"/>
    </xf>
    <xf numFmtId="3" fontId="4" fillId="4" borderId="6" xfId="0" applyNumberFormat="1" applyFont="1" applyFill="1" applyBorder="1" applyAlignment="1">
      <alignment horizontal="center" vertical="center" wrapText="1"/>
    </xf>
    <xf numFmtId="3" fontId="3" fillId="5" borderId="3" xfId="20" applyNumberFormat="1" applyFont="1" applyFill="1" applyBorder="1" applyAlignment="1">
      <alignment horizontal="center" vertical="center" wrapText="1"/>
    </xf>
    <xf numFmtId="3" fontId="4" fillId="4" borderId="1" xfId="0" applyNumberFormat="1" applyFont="1" applyFill="1" applyBorder="1" applyAlignment="1">
      <alignment horizontal="center" vertical="justify" wrapText="1"/>
    </xf>
    <xf numFmtId="3" fontId="4" fillId="0" borderId="3" xfId="3" applyNumberFormat="1" applyFont="1" applyFill="1" applyBorder="1" applyAlignment="1">
      <alignment horizontal="left" vertical="center" wrapText="1"/>
    </xf>
    <xf numFmtId="3" fontId="4" fillId="0" borderId="3" xfId="0" applyNumberFormat="1" applyFont="1" applyBorder="1" applyAlignment="1">
      <alignment vertical="center" wrapText="1"/>
    </xf>
    <xf numFmtId="3" fontId="4" fillId="0" borderId="7" xfId="0" applyNumberFormat="1" applyFont="1" applyFill="1" applyBorder="1" applyAlignment="1">
      <alignment horizontal="left" vertical="center" wrapText="1"/>
    </xf>
    <xf numFmtId="3" fontId="4" fillId="0" borderId="4" xfId="0" applyNumberFormat="1" applyFont="1" applyFill="1" applyBorder="1" applyAlignment="1">
      <alignment horizontal="left" vertical="center" wrapText="1"/>
    </xf>
    <xf numFmtId="3" fontId="4" fillId="0" borderId="1" xfId="0" applyNumberFormat="1" applyFont="1" applyFill="1" applyBorder="1" applyAlignment="1">
      <alignment horizontal="left" vertical="center" wrapText="1"/>
    </xf>
    <xf numFmtId="3" fontId="4" fillId="0" borderId="3" xfId="3" applyNumberFormat="1" applyFont="1" applyBorder="1" applyAlignment="1">
      <alignment horizontal="center" vertical="center" wrapText="1"/>
    </xf>
    <xf numFmtId="3" fontId="3" fillId="5" borderId="3" xfId="3" applyNumberFormat="1" applyFont="1" applyFill="1" applyBorder="1" applyAlignment="1">
      <alignment horizontal="left" vertical="center" wrapText="1"/>
    </xf>
    <xf numFmtId="3" fontId="4" fillId="0" borderId="3" xfId="14" applyNumberFormat="1" applyFont="1" applyFill="1" applyBorder="1" applyAlignment="1">
      <alignment horizontal="left" vertical="center" wrapText="1"/>
    </xf>
    <xf numFmtId="3" fontId="4" fillId="0" borderId="8" xfId="0" applyNumberFormat="1" applyFont="1" applyBorder="1" applyAlignment="1">
      <alignment horizontal="center" vertical="center" wrapText="1"/>
    </xf>
    <xf numFmtId="3" fontId="3" fillId="6" borderId="3" xfId="0" applyNumberFormat="1" applyFont="1" applyFill="1" applyBorder="1" applyAlignment="1">
      <alignment horizontal="left" vertical="center"/>
    </xf>
    <xf numFmtId="0" fontId="4" fillId="0" borderId="1" xfId="0" applyFont="1" applyFill="1" applyBorder="1" applyAlignment="1">
      <alignment horizontal="justify" vertical="justify" wrapText="1"/>
    </xf>
    <xf numFmtId="14" fontId="4" fillId="0" borderId="3" xfId="0" applyNumberFormat="1" applyFont="1" applyFill="1" applyBorder="1" applyAlignment="1">
      <alignment horizontal="center" vertical="justify" wrapText="1"/>
    </xf>
    <xf numFmtId="0" fontId="4" fillId="0" borderId="3" xfId="0" applyFont="1" applyFill="1" applyBorder="1" applyAlignment="1">
      <alignment horizontal="justify" vertical="center" wrapText="1"/>
    </xf>
    <xf numFmtId="0" fontId="4" fillId="0" borderId="3" xfId="15" applyFont="1" applyFill="1" applyBorder="1" applyAlignment="1">
      <alignment horizontal="justify" vertical="center" wrapText="1"/>
    </xf>
    <xf numFmtId="3" fontId="3" fillId="5" borderId="5" xfId="0" applyNumberFormat="1" applyFont="1" applyFill="1" applyBorder="1" applyAlignment="1">
      <alignment horizontal="center" vertical="center" wrapText="1"/>
    </xf>
    <xf numFmtId="3" fontId="3" fillId="5" borderId="5" xfId="0" applyNumberFormat="1" applyFont="1" applyFill="1" applyBorder="1" applyAlignment="1">
      <alignment horizontal="center" vertical="center" wrapText="1"/>
    </xf>
    <xf numFmtId="3" fontId="3" fillId="5" borderId="3" xfId="0" applyNumberFormat="1" applyFont="1" applyFill="1" applyBorder="1" applyAlignment="1">
      <alignment horizontal="center" vertical="center" wrapText="1"/>
    </xf>
    <xf numFmtId="3" fontId="3" fillId="2" borderId="15" xfId="0" applyNumberFormat="1" applyFont="1" applyFill="1" applyBorder="1" applyAlignment="1">
      <alignment horizontal="center" vertical="center" wrapText="1"/>
    </xf>
    <xf numFmtId="3" fontId="3" fillId="2" borderId="14" xfId="0" applyNumberFormat="1" applyFont="1" applyFill="1" applyBorder="1" applyAlignment="1">
      <alignment horizontal="center" vertical="center" wrapText="1"/>
    </xf>
    <xf numFmtId="3" fontId="3" fillId="11" borderId="3" xfId="5" applyNumberFormat="1" applyFont="1" applyFill="1" applyBorder="1" applyAlignment="1">
      <alignment horizontal="center" vertical="center" wrapText="1"/>
    </xf>
    <xf numFmtId="3" fontId="3" fillId="11" borderId="3" xfId="5" applyNumberFormat="1" applyFont="1" applyFill="1" applyBorder="1" applyAlignment="1">
      <alignment vertical="center" wrapText="1"/>
    </xf>
    <xf numFmtId="3" fontId="3" fillId="11" borderId="3" xfId="14" applyNumberFormat="1" applyFont="1" applyFill="1" applyBorder="1" applyAlignment="1">
      <alignment horizontal="center" vertical="center" wrapText="1"/>
    </xf>
    <xf numFmtId="3" fontId="4" fillId="11" borderId="3" xfId="5" applyNumberFormat="1" applyFont="1" applyFill="1" applyBorder="1" applyAlignment="1">
      <alignment horizontal="center" vertical="center" wrapText="1"/>
    </xf>
    <xf numFmtId="3" fontId="2" fillId="0" borderId="0" xfId="0" applyNumberFormat="1" applyFont="1" applyAlignment="1">
      <alignment horizontal="center" vertical="center" wrapText="1"/>
    </xf>
    <xf numFmtId="0" fontId="2" fillId="0" borderId="0" xfId="0" applyFont="1" applyAlignment="1">
      <alignment vertical="center"/>
    </xf>
    <xf numFmtId="0" fontId="3" fillId="12" borderId="3" xfId="0" applyFont="1" applyFill="1" applyBorder="1" applyAlignment="1">
      <alignment horizontal="center" vertical="center" wrapText="1"/>
    </xf>
    <xf numFmtId="0" fontId="3" fillId="12" borderId="3" xfId="0" applyFont="1" applyFill="1" applyBorder="1" applyAlignment="1">
      <alignment horizontal="center" vertical="center" wrapText="1"/>
    </xf>
    <xf numFmtId="0" fontId="0" fillId="0" borderId="0" xfId="0" applyFill="1" applyAlignment="1">
      <alignment vertical="top" wrapText="1"/>
    </xf>
    <xf numFmtId="0" fontId="4" fillId="0" borderId="0" xfId="0" applyFont="1" applyAlignment="1">
      <alignment vertical="center" wrapText="1"/>
    </xf>
    <xf numFmtId="0" fontId="4" fillId="0" borderId="3" xfId="0" applyFont="1" applyFill="1" applyBorder="1" applyAlignment="1">
      <alignment horizontal="left" vertical="center" wrapText="1"/>
    </xf>
    <xf numFmtId="3" fontId="3" fillId="2" borderId="3" xfId="0" applyNumberFormat="1" applyFont="1" applyFill="1" applyBorder="1" applyAlignment="1">
      <alignment horizontal="center" vertical="center" wrapText="1"/>
    </xf>
    <xf numFmtId="3" fontId="4" fillId="4" borderId="3" xfId="0" applyNumberFormat="1" applyFont="1" applyFill="1" applyBorder="1" applyAlignment="1">
      <alignment horizontal="center" vertical="center" wrapText="1"/>
    </xf>
    <xf numFmtId="3" fontId="4" fillId="0" borderId="3" xfId="0" applyNumberFormat="1" applyFont="1" applyBorder="1" applyAlignment="1">
      <alignment horizontal="center" vertical="center" wrapText="1"/>
    </xf>
    <xf numFmtId="0" fontId="4" fillId="9" borderId="4" xfId="0" applyFont="1" applyFill="1" applyBorder="1" applyAlignment="1">
      <alignment horizontal="center" vertical="center" wrapText="1"/>
    </xf>
    <xf numFmtId="0" fontId="4" fillId="9" borderId="7"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9" fontId="4" fillId="4" borderId="4" xfId="20" applyFont="1" applyFill="1" applyBorder="1" applyAlignment="1">
      <alignment horizontal="center" vertical="center" wrapText="1"/>
    </xf>
    <xf numFmtId="9" fontId="4" fillId="4" borderId="7" xfId="20" applyFont="1" applyFill="1" applyBorder="1" applyAlignment="1">
      <alignment horizontal="center" vertical="center" wrapText="1"/>
    </xf>
    <xf numFmtId="9" fontId="4" fillId="4" borderId="1" xfId="20" applyFont="1" applyFill="1" applyBorder="1" applyAlignment="1">
      <alignment horizontal="center" vertical="center" wrapText="1"/>
    </xf>
    <xf numFmtId="3" fontId="4" fillId="0" borderId="3" xfId="0" applyNumberFormat="1" applyFont="1" applyFill="1" applyBorder="1" applyAlignment="1">
      <alignment horizontal="center" vertical="center" wrapText="1"/>
    </xf>
    <xf numFmtId="0" fontId="4" fillId="4" borderId="7" xfId="0" applyFont="1" applyFill="1" applyBorder="1" applyAlignment="1">
      <alignment horizontal="center" vertical="center" wrapText="1"/>
    </xf>
    <xf numFmtId="3" fontId="4" fillId="0" borderId="3" xfId="5" applyNumberFormat="1"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1" xfId="0" applyFont="1" applyFill="1" applyBorder="1" applyAlignment="1">
      <alignment horizontal="center" vertical="center" wrapText="1"/>
    </xf>
    <xf numFmtId="3" fontId="4" fillId="13" borderId="3" xfId="5" applyNumberFormat="1" applyFont="1" applyFill="1" applyBorder="1" applyAlignment="1">
      <alignment horizontal="center" vertical="center" wrapText="1"/>
    </xf>
    <xf numFmtId="9" fontId="4" fillId="0" borderId="4" xfId="0" applyNumberFormat="1" applyFont="1" applyBorder="1" applyAlignment="1">
      <alignment horizontal="center" vertical="center" wrapText="1"/>
    </xf>
    <xf numFmtId="9" fontId="4" fillId="0" borderId="7" xfId="0" applyNumberFormat="1" applyFont="1" applyBorder="1" applyAlignment="1">
      <alignment horizontal="center" vertical="center" wrapText="1"/>
    </xf>
    <xf numFmtId="9" fontId="4" fillId="0" borderId="1" xfId="0" applyNumberFormat="1" applyFont="1" applyBorder="1" applyAlignment="1">
      <alignment horizontal="center" vertical="center" wrapText="1"/>
    </xf>
    <xf numFmtId="0" fontId="4" fillId="0" borderId="4" xfId="0" applyFont="1" applyBorder="1" applyAlignment="1">
      <alignment horizontal="left" vertical="center" wrapText="1"/>
    </xf>
    <xf numFmtId="0" fontId="4" fillId="0" borderId="7" xfId="0" applyFont="1" applyBorder="1" applyAlignment="1">
      <alignment horizontal="left" vertical="center" wrapText="1"/>
    </xf>
    <xf numFmtId="0" fontId="4" fillId="0" borderId="1" xfId="0" applyFont="1" applyBorder="1" applyAlignment="1">
      <alignment horizontal="left" vertical="center" wrapText="1"/>
    </xf>
    <xf numFmtId="3" fontId="4" fillId="4" borderId="3" xfId="5" applyNumberFormat="1" applyFont="1" applyFill="1" applyBorder="1" applyAlignment="1">
      <alignment horizontal="center" vertical="center"/>
    </xf>
    <xf numFmtId="9" fontId="4" fillId="0" borderId="4" xfId="20" applyFont="1" applyFill="1" applyBorder="1" applyAlignment="1">
      <alignment horizontal="center" vertical="center" wrapText="1"/>
    </xf>
    <xf numFmtId="9" fontId="4" fillId="0" borderId="7" xfId="20" applyFont="1" applyFill="1" applyBorder="1" applyAlignment="1">
      <alignment horizontal="center" vertical="center" wrapText="1"/>
    </xf>
    <xf numFmtId="9" fontId="4" fillId="0" borderId="1" xfId="20" applyFont="1" applyFill="1" applyBorder="1" applyAlignment="1">
      <alignment horizontal="center" vertical="center" wrapText="1"/>
    </xf>
    <xf numFmtId="3" fontId="3" fillId="0" borderId="3" xfId="5" applyNumberFormat="1" applyFont="1" applyFill="1" applyBorder="1" applyAlignment="1">
      <alignment horizontal="center" vertical="center" wrapText="1"/>
    </xf>
    <xf numFmtId="3" fontId="4" fillId="4" borderId="3" xfId="6" applyNumberFormat="1" applyFont="1" applyFill="1" applyBorder="1" applyAlignment="1">
      <alignment horizontal="center" vertical="center"/>
    </xf>
    <xf numFmtId="3" fontId="4" fillId="0" borderId="3" xfId="5" applyNumberFormat="1" applyFont="1" applyBorder="1" applyAlignment="1">
      <alignment horizontal="center" vertical="center" wrapText="1"/>
    </xf>
    <xf numFmtId="9" fontId="4" fillId="0" borderId="3" xfId="0" applyNumberFormat="1" applyFont="1" applyFill="1" applyBorder="1" applyAlignment="1">
      <alignment horizontal="center" vertical="center" wrapText="1"/>
    </xf>
    <xf numFmtId="9" fontId="4" fillId="0" borderId="4" xfId="0" applyNumberFormat="1" applyFont="1" applyFill="1" applyBorder="1" applyAlignment="1">
      <alignment horizontal="center" vertical="center" wrapText="1"/>
    </xf>
    <xf numFmtId="9" fontId="4" fillId="0" borderId="1" xfId="0" applyNumberFormat="1" applyFont="1" applyFill="1" applyBorder="1" applyAlignment="1">
      <alignment horizontal="center" vertical="center" wrapText="1"/>
    </xf>
    <xf numFmtId="9" fontId="4" fillId="0" borderId="3" xfId="0" applyNumberFormat="1" applyFont="1" applyBorder="1" applyAlignment="1">
      <alignment horizontal="center" vertical="center" wrapText="1"/>
    </xf>
    <xf numFmtId="0" fontId="4" fillId="0" borderId="3" xfId="0" applyFont="1" applyBorder="1" applyAlignment="1">
      <alignment horizontal="center" vertical="center" wrapText="1"/>
    </xf>
    <xf numFmtId="3" fontId="3" fillId="13" borderId="3" xfId="5" applyNumberFormat="1" applyFont="1" applyFill="1" applyBorder="1" applyAlignment="1">
      <alignment horizontal="center" vertical="center" wrapText="1"/>
    </xf>
    <xf numFmtId="0" fontId="4" fillId="4" borderId="3" xfId="0" applyFont="1" applyFill="1" applyBorder="1" applyAlignment="1">
      <alignment horizontal="center" vertical="center" wrapText="1"/>
    </xf>
    <xf numFmtId="9" fontId="4" fillId="4" borderId="4" xfId="20" applyFont="1" applyFill="1" applyBorder="1" applyAlignment="1">
      <alignment horizontal="center" vertical="center"/>
    </xf>
    <xf numFmtId="9" fontId="4" fillId="4" borderId="7" xfId="20" applyFont="1" applyFill="1" applyBorder="1" applyAlignment="1">
      <alignment horizontal="center" vertical="center"/>
    </xf>
    <xf numFmtId="9" fontId="4" fillId="4" borderId="1" xfId="20" applyFont="1" applyFill="1" applyBorder="1" applyAlignment="1">
      <alignment horizontal="center" vertical="center"/>
    </xf>
    <xf numFmtId="0" fontId="4" fillId="0" borderId="3" xfId="0" applyFont="1" applyFill="1" applyBorder="1" applyAlignment="1">
      <alignment horizontal="center" vertical="center" wrapText="1"/>
    </xf>
    <xf numFmtId="3" fontId="4" fillId="0" borderId="4" xfId="1" applyFont="1" applyBorder="1" applyAlignment="1">
      <alignment horizontal="center" vertical="center" wrapText="1"/>
    </xf>
    <xf numFmtId="3" fontId="4" fillId="0" borderId="7" xfId="1" applyFont="1" applyBorder="1" applyAlignment="1">
      <alignment horizontal="center" vertical="center" wrapText="1"/>
    </xf>
    <xf numFmtId="3" fontId="4" fillId="0" borderId="1" xfId="1" applyFont="1" applyBorder="1" applyAlignment="1">
      <alignment horizontal="center" vertical="center" wrapText="1"/>
    </xf>
    <xf numFmtId="9" fontId="4" fillId="4" borderId="3" xfId="20" applyFont="1" applyFill="1" applyBorder="1" applyAlignment="1">
      <alignment horizontal="center" vertical="center" wrapText="1"/>
    </xf>
    <xf numFmtId="3" fontId="4" fillId="4" borderId="4" xfId="5" applyNumberFormat="1" applyFont="1" applyFill="1" applyBorder="1" applyAlignment="1">
      <alignment horizontal="center" vertical="center"/>
    </xf>
    <xf numFmtId="3" fontId="4" fillId="4" borderId="1" xfId="5" applyNumberFormat="1" applyFont="1" applyFill="1" applyBorder="1" applyAlignment="1">
      <alignment horizontal="center" vertical="center"/>
    </xf>
    <xf numFmtId="3" fontId="4" fillId="4" borderId="7" xfId="5" applyNumberFormat="1" applyFont="1" applyFill="1" applyBorder="1" applyAlignment="1">
      <alignment horizontal="center" vertical="center"/>
    </xf>
    <xf numFmtId="3" fontId="4" fillId="0" borderId="4" xfId="5" applyNumberFormat="1" applyFont="1" applyBorder="1" applyAlignment="1">
      <alignment horizontal="center" vertical="center" wrapText="1"/>
    </xf>
    <xf numFmtId="3" fontId="4" fillId="0" borderId="1" xfId="5" applyNumberFormat="1" applyFont="1" applyBorder="1" applyAlignment="1">
      <alignment horizontal="center" vertical="center" wrapText="1"/>
    </xf>
    <xf numFmtId="3" fontId="4" fillId="0" borderId="7" xfId="5" applyNumberFormat="1" applyFont="1" applyBorder="1" applyAlignment="1">
      <alignment horizontal="center" vertical="center" wrapText="1"/>
    </xf>
    <xf numFmtId="3" fontId="4" fillId="7" borderId="3" xfId="5" applyNumberFormat="1" applyFont="1" applyFill="1" applyBorder="1" applyAlignment="1">
      <alignment horizontal="center" vertical="center" wrapText="1"/>
    </xf>
    <xf numFmtId="3" fontId="4" fillId="0" borderId="4" xfId="0" applyNumberFormat="1" applyFont="1" applyBorder="1" applyAlignment="1">
      <alignment horizontal="center" vertical="center" wrapText="1"/>
    </xf>
    <xf numFmtId="3" fontId="4" fillId="0" borderId="7" xfId="0" applyNumberFormat="1" applyFont="1" applyBorder="1" applyAlignment="1">
      <alignment horizontal="center" vertical="center" wrapText="1"/>
    </xf>
    <xf numFmtId="3" fontId="4" fillId="0" borderId="1" xfId="0" applyNumberFormat="1" applyFont="1" applyBorder="1" applyAlignment="1">
      <alignment horizontal="center" vertical="center" wrapText="1"/>
    </xf>
    <xf numFmtId="3" fontId="4" fillId="0" borderId="4" xfId="5" applyNumberFormat="1" applyFont="1" applyFill="1" applyBorder="1" applyAlignment="1">
      <alignment horizontal="center" vertical="center"/>
    </xf>
    <xf numFmtId="3" fontId="4" fillId="0" borderId="7" xfId="5" applyNumberFormat="1" applyFont="1" applyFill="1" applyBorder="1" applyAlignment="1">
      <alignment horizontal="center" vertical="center"/>
    </xf>
    <xf numFmtId="3" fontId="4" fillId="0" borderId="1" xfId="5" applyNumberFormat="1" applyFont="1" applyFill="1" applyBorder="1" applyAlignment="1">
      <alignment horizontal="center" vertical="center"/>
    </xf>
    <xf numFmtId="9" fontId="4" fillId="0" borderId="4" xfId="0" applyNumberFormat="1" applyFont="1" applyFill="1" applyBorder="1" applyAlignment="1">
      <alignment horizontal="center" vertical="center"/>
    </xf>
    <xf numFmtId="0" fontId="4" fillId="0" borderId="1" xfId="0" applyFont="1" applyFill="1" applyBorder="1" applyAlignment="1">
      <alignment horizontal="center" vertical="center"/>
    </xf>
    <xf numFmtId="9" fontId="4" fillId="4" borderId="3" xfId="20" applyFont="1" applyFill="1" applyBorder="1" applyAlignment="1">
      <alignment horizontal="center" vertical="center"/>
    </xf>
    <xf numFmtId="9" fontId="4" fillId="4" borderId="4" xfId="0" applyNumberFormat="1" applyFont="1" applyFill="1" applyBorder="1" applyAlignment="1">
      <alignment horizontal="center" vertical="center" wrapText="1"/>
    </xf>
    <xf numFmtId="9" fontId="4" fillId="4" borderId="7" xfId="0" applyNumberFormat="1" applyFont="1" applyFill="1" applyBorder="1" applyAlignment="1">
      <alignment horizontal="center" vertical="center" wrapText="1"/>
    </xf>
    <xf numFmtId="9" fontId="4" fillId="4" borderId="1" xfId="0" applyNumberFormat="1" applyFont="1" applyFill="1" applyBorder="1" applyAlignment="1">
      <alignment horizontal="center" vertical="center" wrapText="1"/>
    </xf>
    <xf numFmtId="3" fontId="4" fillId="0" borderId="4" xfId="5" applyNumberFormat="1" applyFont="1" applyFill="1" applyBorder="1" applyAlignment="1">
      <alignment horizontal="right" vertical="center" wrapText="1"/>
    </xf>
    <xf numFmtId="3" fontId="4" fillId="0" borderId="1" xfId="5" applyNumberFormat="1" applyFont="1" applyFill="1" applyBorder="1" applyAlignment="1">
      <alignment horizontal="right" vertical="center" wrapText="1"/>
    </xf>
    <xf numFmtId="3" fontId="4" fillId="0" borderId="3" xfId="0" applyNumberFormat="1" applyFont="1" applyFill="1" applyBorder="1" applyAlignment="1">
      <alignment horizontal="center" vertical="center"/>
    </xf>
    <xf numFmtId="0" fontId="4" fillId="14" borderId="4" xfId="3" applyFont="1" applyFill="1" applyBorder="1" applyAlignment="1">
      <alignment horizontal="left" vertical="center" wrapText="1"/>
    </xf>
    <xf numFmtId="0" fontId="4" fillId="14" borderId="7" xfId="3" applyFont="1" applyFill="1" applyBorder="1" applyAlignment="1">
      <alignment horizontal="left" vertical="center" wrapText="1"/>
    </xf>
    <xf numFmtId="0" fontId="4" fillId="14" borderId="1" xfId="3" applyFont="1" applyFill="1" applyBorder="1" applyAlignment="1">
      <alignment horizontal="left" vertical="center" wrapText="1"/>
    </xf>
    <xf numFmtId="0" fontId="4" fillId="14" borderId="4" xfId="14" applyFont="1" applyFill="1" applyBorder="1" applyAlignment="1">
      <alignment horizontal="left" vertical="center" wrapText="1"/>
    </xf>
    <xf numFmtId="0" fontId="4" fillId="14" borderId="7" xfId="14" applyFont="1" applyFill="1" applyBorder="1" applyAlignment="1">
      <alignment horizontal="left" vertical="center" wrapText="1"/>
    </xf>
    <xf numFmtId="0" fontId="4" fillId="0" borderId="4" xfId="3" applyFont="1" applyFill="1" applyBorder="1" applyAlignment="1">
      <alignment horizontal="left" vertical="center" wrapText="1"/>
    </xf>
    <xf numFmtId="0" fontId="4" fillId="0" borderId="7" xfId="3" applyFont="1" applyFill="1" applyBorder="1" applyAlignment="1">
      <alignment horizontal="left" vertical="center" wrapText="1"/>
    </xf>
    <xf numFmtId="3" fontId="4" fillId="0" borderId="4" xfId="14" applyNumberFormat="1" applyFont="1" applyFill="1" applyBorder="1" applyAlignment="1">
      <alignment horizontal="center" vertical="center" wrapText="1"/>
    </xf>
    <xf numFmtId="3" fontId="4" fillId="0" borderId="1" xfId="14" applyNumberFormat="1" applyFont="1" applyFill="1" applyBorder="1" applyAlignment="1">
      <alignment horizontal="center" vertical="center" wrapText="1"/>
    </xf>
    <xf numFmtId="0" fontId="4" fillId="0" borderId="4" xfId="0" applyFont="1" applyFill="1" applyBorder="1" applyAlignment="1">
      <alignment horizontal="left" vertical="center" wrapText="1"/>
    </xf>
    <xf numFmtId="0" fontId="4" fillId="0" borderId="7" xfId="0" applyFont="1" applyFill="1" applyBorder="1" applyAlignment="1">
      <alignment horizontal="left" vertical="center" wrapText="1"/>
    </xf>
    <xf numFmtId="0" fontId="4" fillId="0" borderId="1" xfId="0" applyFont="1" applyFill="1" applyBorder="1" applyAlignment="1">
      <alignment horizontal="left" vertical="center" wrapText="1"/>
    </xf>
    <xf numFmtId="3" fontId="4" fillId="0" borderId="3" xfId="14" applyNumberFormat="1" applyFont="1" applyFill="1" applyBorder="1" applyAlignment="1">
      <alignment horizontal="center" vertical="center" wrapText="1"/>
    </xf>
    <xf numFmtId="3" fontId="4" fillId="7" borderId="3" xfId="0" applyNumberFormat="1" applyFont="1" applyFill="1" applyBorder="1" applyAlignment="1">
      <alignment horizontal="center" vertical="center" wrapText="1"/>
    </xf>
    <xf numFmtId="0" fontId="4" fillId="0" borderId="4" xfId="3" applyFont="1" applyBorder="1" applyAlignment="1">
      <alignment horizontal="left" vertical="center" wrapText="1"/>
    </xf>
    <xf numFmtId="0" fontId="4" fillId="0" borderId="7" xfId="3" applyFont="1" applyBorder="1" applyAlignment="1">
      <alignment horizontal="left" vertical="center" wrapText="1"/>
    </xf>
    <xf numFmtId="0" fontId="4" fillId="0" borderId="1" xfId="3" applyFont="1" applyBorder="1" applyAlignment="1">
      <alignment horizontal="left" vertical="center" wrapText="1"/>
    </xf>
    <xf numFmtId="0" fontId="4" fillId="14" borderId="1" xfId="14" applyFont="1" applyFill="1" applyBorder="1" applyAlignment="1">
      <alignment horizontal="left" vertical="center" wrapText="1"/>
    </xf>
    <xf numFmtId="0" fontId="4" fillId="0" borderId="4" xfId="14" applyFont="1" applyFill="1" applyBorder="1" applyAlignment="1">
      <alignment horizontal="center" vertical="center" wrapText="1"/>
    </xf>
    <xf numFmtId="0" fontId="4" fillId="0" borderId="1" xfId="14" applyFont="1" applyFill="1" applyBorder="1" applyAlignment="1">
      <alignment horizontal="center" vertical="center" wrapText="1"/>
    </xf>
    <xf numFmtId="0" fontId="4" fillId="0" borderId="3" xfId="14" applyFont="1" applyFill="1" applyBorder="1" applyAlignment="1">
      <alignment horizontal="center" vertical="center" wrapText="1"/>
    </xf>
    <xf numFmtId="0" fontId="4" fillId="0" borderId="7" xfId="14" applyFont="1" applyFill="1" applyBorder="1" applyAlignment="1">
      <alignment horizontal="center" vertical="center" wrapText="1"/>
    </xf>
    <xf numFmtId="3" fontId="4" fillId="7" borderId="4" xfId="5" applyNumberFormat="1" applyFont="1" applyFill="1" applyBorder="1" applyAlignment="1">
      <alignment horizontal="center" vertical="center" wrapText="1"/>
    </xf>
    <xf numFmtId="3" fontId="4" fillId="7" borderId="7" xfId="5" applyNumberFormat="1" applyFont="1" applyFill="1" applyBorder="1" applyAlignment="1">
      <alignment horizontal="center" vertical="center" wrapText="1"/>
    </xf>
    <xf numFmtId="3" fontId="4" fillId="7" borderId="1" xfId="5" applyNumberFormat="1" applyFont="1" applyFill="1" applyBorder="1" applyAlignment="1">
      <alignment horizontal="center" vertical="center" wrapText="1"/>
    </xf>
    <xf numFmtId="165" fontId="4" fillId="0" borderId="3" xfId="5" applyNumberFormat="1" applyFont="1" applyBorder="1" applyAlignment="1">
      <alignment horizontal="center" vertical="center" wrapText="1"/>
    </xf>
    <xf numFmtId="3" fontId="4" fillId="0" borderId="4" xfId="5" applyNumberFormat="1" applyFont="1" applyFill="1" applyBorder="1" applyAlignment="1">
      <alignment horizontal="center" vertical="center" wrapText="1"/>
    </xf>
    <xf numFmtId="3" fontId="4" fillId="0" borderId="1" xfId="5" applyNumberFormat="1" applyFont="1" applyFill="1" applyBorder="1" applyAlignment="1">
      <alignment horizontal="center" vertical="center" wrapText="1"/>
    </xf>
    <xf numFmtId="3" fontId="4" fillId="0" borderId="3" xfId="5" applyNumberFormat="1" applyFont="1" applyFill="1" applyBorder="1" applyAlignment="1">
      <alignment horizontal="center" vertical="center"/>
    </xf>
    <xf numFmtId="3" fontId="4" fillId="0" borderId="7" xfId="5" applyNumberFormat="1"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4" xfId="0" applyFont="1" applyBorder="1" applyAlignment="1">
      <alignment horizontal="center" vertical="center" wrapText="1"/>
    </xf>
    <xf numFmtId="0" fontId="12" fillId="0" borderId="1" xfId="0" applyFont="1" applyBorder="1" applyAlignment="1">
      <alignment horizontal="center" vertical="center" wrapText="1"/>
    </xf>
    <xf numFmtId="9" fontId="4" fillId="0" borderId="7" xfId="0" applyNumberFormat="1" applyFont="1" applyFill="1" applyBorder="1" applyAlignment="1">
      <alignment horizontal="center" vertical="center" wrapText="1"/>
    </xf>
    <xf numFmtId="0" fontId="4" fillId="0" borderId="4" xfId="0" applyNumberFormat="1" applyFont="1" applyFill="1" applyBorder="1" applyAlignment="1">
      <alignment horizontal="center" vertical="center" wrapText="1"/>
    </xf>
    <xf numFmtId="0" fontId="4" fillId="0" borderId="7"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3" fontId="17" fillId="8" borderId="3" xfId="0" applyNumberFormat="1" applyFont="1" applyFill="1" applyBorder="1" applyAlignment="1">
      <alignment horizontal="center" vertical="center"/>
    </xf>
    <xf numFmtId="3" fontId="4" fillId="0" borderId="4" xfId="0" applyNumberFormat="1" applyFont="1" applyFill="1" applyBorder="1" applyAlignment="1">
      <alignment horizontal="center" vertical="center" wrapText="1"/>
    </xf>
    <xf numFmtId="3" fontId="4" fillId="0" borderId="7" xfId="0" applyNumberFormat="1" applyFont="1" applyFill="1" applyBorder="1" applyAlignment="1">
      <alignment horizontal="center" vertical="center" wrapText="1"/>
    </xf>
    <xf numFmtId="3" fontId="4" fillId="0" borderId="1" xfId="0" applyNumberFormat="1" applyFont="1" applyFill="1" applyBorder="1" applyAlignment="1">
      <alignment horizontal="center" vertical="center" wrapText="1"/>
    </xf>
    <xf numFmtId="3" fontId="4" fillId="0" borderId="4" xfId="0" applyNumberFormat="1" applyFont="1" applyFill="1" applyBorder="1" applyAlignment="1">
      <alignment horizontal="center" vertical="center"/>
    </xf>
    <xf numFmtId="3" fontId="4" fillId="0" borderId="1" xfId="0" applyNumberFormat="1" applyFont="1" applyFill="1" applyBorder="1" applyAlignment="1">
      <alignment horizontal="center" vertical="center"/>
    </xf>
    <xf numFmtId="3" fontId="4" fillId="8" borderId="4" xfId="0" applyNumberFormat="1" applyFont="1" applyFill="1" applyBorder="1" applyAlignment="1">
      <alignment horizontal="center" vertical="center"/>
    </xf>
    <xf numFmtId="3" fontId="4" fillId="8" borderId="1" xfId="0" applyNumberFormat="1" applyFont="1" applyFill="1" applyBorder="1" applyAlignment="1">
      <alignment horizontal="center" vertical="center"/>
    </xf>
    <xf numFmtId="3" fontId="3" fillId="6" borderId="4" xfId="0" applyNumberFormat="1" applyFont="1" applyFill="1" applyBorder="1" applyAlignment="1">
      <alignment horizontal="center" vertical="center" wrapText="1"/>
    </xf>
    <xf numFmtId="3" fontId="3" fillId="6" borderId="1" xfId="0" applyNumberFormat="1" applyFont="1" applyFill="1" applyBorder="1" applyAlignment="1">
      <alignment horizontal="center" vertical="center" wrapText="1"/>
    </xf>
    <xf numFmtId="0" fontId="3" fillId="6" borderId="3" xfId="0" applyFont="1" applyFill="1" applyBorder="1" applyAlignment="1">
      <alignment horizontal="center" vertical="center"/>
    </xf>
    <xf numFmtId="3" fontId="3" fillId="3" borderId="3" xfId="0" applyNumberFormat="1" applyFont="1" applyFill="1" applyBorder="1" applyAlignment="1">
      <alignment horizontal="center" vertical="center" wrapText="1"/>
    </xf>
    <xf numFmtId="3" fontId="4" fillId="8" borderId="3" xfId="0" applyNumberFormat="1" applyFont="1" applyFill="1" applyBorder="1" applyAlignment="1">
      <alignment horizontal="center" vertical="center"/>
    </xf>
    <xf numFmtId="3" fontId="4" fillId="4" borderId="4" xfId="6" applyNumberFormat="1" applyFont="1" applyFill="1" applyBorder="1" applyAlignment="1">
      <alignment horizontal="center" vertical="center"/>
    </xf>
    <xf numFmtId="3" fontId="4" fillId="4" borderId="7" xfId="6" applyNumberFormat="1" applyFont="1" applyFill="1" applyBorder="1" applyAlignment="1">
      <alignment horizontal="center" vertical="center"/>
    </xf>
    <xf numFmtId="3" fontId="4" fillId="4" borderId="1" xfId="6" applyNumberFormat="1" applyFont="1" applyFill="1" applyBorder="1" applyAlignment="1">
      <alignment horizontal="center" vertical="center"/>
    </xf>
    <xf numFmtId="0" fontId="4" fillId="0" borderId="1" xfId="3" applyFont="1" applyFill="1" applyBorder="1" applyAlignment="1">
      <alignment horizontal="left" vertical="center" wrapText="1"/>
    </xf>
    <xf numFmtId="3" fontId="4" fillId="0" borderId="4" xfId="9" applyNumberFormat="1" applyFont="1" applyFill="1" applyBorder="1" applyAlignment="1">
      <alignment horizontal="center" vertical="center"/>
    </xf>
    <xf numFmtId="3" fontId="4" fillId="0" borderId="7" xfId="9" applyNumberFormat="1" applyFont="1" applyFill="1" applyBorder="1" applyAlignment="1">
      <alignment horizontal="center" vertical="center"/>
    </xf>
    <xf numFmtId="3" fontId="4" fillId="0" borderId="1" xfId="9" applyNumberFormat="1" applyFont="1" applyFill="1" applyBorder="1" applyAlignment="1">
      <alignment horizontal="center" vertical="center"/>
    </xf>
    <xf numFmtId="3" fontId="3" fillId="5" borderId="3" xfId="14" applyNumberFormat="1" applyFont="1" applyFill="1" applyBorder="1" applyAlignment="1">
      <alignment horizontal="center" vertical="center" wrapText="1"/>
    </xf>
    <xf numFmtId="0" fontId="4" fillId="4" borderId="3" xfId="3" applyFont="1" applyFill="1" applyBorder="1" applyAlignment="1">
      <alignment vertical="center" wrapText="1"/>
    </xf>
    <xf numFmtId="3" fontId="4" fillId="0" borderId="4" xfId="1" applyFont="1" applyBorder="1" applyAlignment="1">
      <alignment horizontal="left" vertical="center" wrapText="1"/>
    </xf>
    <xf numFmtId="3" fontId="4" fillId="0" borderId="7" xfId="1" applyFont="1" applyBorder="1" applyAlignment="1">
      <alignment horizontal="left" vertical="center" wrapText="1"/>
    </xf>
    <xf numFmtId="3" fontId="4" fillId="0" borderId="1" xfId="1" applyFont="1" applyBorder="1" applyAlignment="1">
      <alignment horizontal="left" vertical="center" wrapText="1"/>
    </xf>
    <xf numFmtId="0" fontId="4" fillId="0" borderId="4" xfId="3" applyFont="1" applyBorder="1" applyAlignment="1">
      <alignment horizontal="center" vertical="center" wrapText="1"/>
    </xf>
    <xf numFmtId="0" fontId="4" fillId="0" borderId="7" xfId="3" applyFont="1" applyBorder="1" applyAlignment="1">
      <alignment horizontal="center" vertical="center" wrapText="1"/>
    </xf>
    <xf numFmtId="0" fontId="4" fillId="0" borderId="1" xfId="3" applyFont="1" applyBorder="1" applyAlignment="1">
      <alignment horizontal="center" vertical="center" wrapText="1"/>
    </xf>
    <xf numFmtId="0" fontId="4" fillId="0" borderId="3" xfId="0" applyFont="1" applyBorder="1" applyAlignment="1">
      <alignment vertical="center" wrapText="1"/>
    </xf>
    <xf numFmtId="3" fontId="3" fillId="5" borderId="3" xfId="0" applyNumberFormat="1" applyFont="1" applyFill="1" applyBorder="1" applyAlignment="1">
      <alignment horizontal="center" vertical="center" wrapText="1"/>
    </xf>
    <xf numFmtId="3" fontId="4" fillId="0" borderId="6" xfId="5" applyNumberFormat="1" applyFont="1" applyBorder="1" applyAlignment="1">
      <alignment horizontal="center" vertical="center" wrapText="1"/>
    </xf>
    <xf numFmtId="3" fontId="4" fillId="0" borderId="9" xfId="5" applyNumberFormat="1" applyFont="1" applyBorder="1" applyAlignment="1">
      <alignment horizontal="center" vertical="center" wrapText="1"/>
    </xf>
    <xf numFmtId="3" fontId="4" fillId="0" borderId="12" xfId="5" applyNumberFormat="1" applyFont="1" applyBorder="1" applyAlignment="1">
      <alignment horizontal="center" vertical="center" wrapText="1"/>
    </xf>
    <xf numFmtId="3" fontId="4" fillId="0" borderId="16" xfId="5" applyNumberFormat="1" applyFont="1" applyBorder="1" applyAlignment="1">
      <alignment horizontal="center" vertical="center" wrapText="1"/>
    </xf>
    <xf numFmtId="3" fontId="4" fillId="0" borderId="13" xfId="5" applyNumberFormat="1" applyFont="1" applyBorder="1" applyAlignment="1">
      <alignment horizontal="center" vertical="center" wrapText="1"/>
    </xf>
    <xf numFmtId="3" fontId="4" fillId="0" borderId="10" xfId="5" applyNumberFormat="1" applyFont="1" applyBorder="1" applyAlignment="1">
      <alignment horizontal="center" vertical="center" wrapText="1"/>
    </xf>
    <xf numFmtId="3" fontId="4" fillId="0" borderId="6" xfId="5" applyNumberFormat="1" applyFont="1" applyFill="1" applyBorder="1" applyAlignment="1">
      <alignment horizontal="center" vertical="center" wrapText="1"/>
    </xf>
    <xf numFmtId="3" fontId="4" fillId="0" borderId="9" xfId="5" applyNumberFormat="1" applyFont="1" applyFill="1" applyBorder="1" applyAlignment="1">
      <alignment horizontal="center" vertical="center" wrapText="1"/>
    </xf>
    <xf numFmtId="3" fontId="4" fillId="0" borderId="12" xfId="5" applyNumberFormat="1" applyFont="1" applyFill="1" applyBorder="1" applyAlignment="1">
      <alignment horizontal="center" vertical="center" wrapText="1"/>
    </xf>
    <xf numFmtId="3" fontId="4" fillId="0" borderId="16" xfId="5" applyNumberFormat="1" applyFont="1" applyFill="1" applyBorder="1" applyAlignment="1">
      <alignment horizontal="center" vertical="center" wrapText="1"/>
    </xf>
    <xf numFmtId="3" fontId="4" fillId="0" borderId="13" xfId="5" applyNumberFormat="1" applyFont="1" applyFill="1" applyBorder="1" applyAlignment="1">
      <alignment horizontal="center" vertical="center" wrapText="1"/>
    </xf>
    <xf numFmtId="3" fontId="4" fillId="0" borderId="10" xfId="5" applyNumberFormat="1" applyFont="1" applyFill="1" applyBorder="1" applyAlignment="1">
      <alignment horizontal="center" vertical="center" wrapText="1"/>
    </xf>
    <xf numFmtId="0" fontId="3" fillId="5" borderId="3" xfId="0" applyFont="1" applyFill="1" applyBorder="1" applyAlignment="1">
      <alignment horizontal="center" vertical="center" wrapText="1"/>
    </xf>
    <xf numFmtId="0" fontId="4" fillId="0" borderId="3" xfId="3" applyFont="1" applyBorder="1" applyAlignment="1">
      <alignment vertical="center" wrapText="1"/>
    </xf>
    <xf numFmtId="0" fontId="4" fillId="14" borderId="4" xfId="0" applyFont="1" applyFill="1" applyBorder="1" applyAlignment="1">
      <alignment horizontal="left" vertical="center" wrapText="1"/>
    </xf>
    <xf numFmtId="0" fontId="4" fillId="14" borderId="7" xfId="0" applyFont="1" applyFill="1" applyBorder="1" applyAlignment="1">
      <alignment horizontal="left" vertical="center" wrapText="1"/>
    </xf>
    <xf numFmtId="0" fontId="4" fillId="14" borderId="1" xfId="0" applyFont="1" applyFill="1" applyBorder="1" applyAlignment="1">
      <alignment horizontal="left" vertical="center" wrapText="1"/>
    </xf>
    <xf numFmtId="9" fontId="4" fillId="0" borderId="4" xfId="0" applyNumberFormat="1" applyFont="1" applyBorder="1" applyAlignment="1">
      <alignment horizontal="left" vertical="center" wrapText="1"/>
    </xf>
    <xf numFmtId="9" fontId="4" fillId="0" borderId="7" xfId="0" applyNumberFormat="1" applyFont="1" applyBorder="1" applyAlignment="1">
      <alignment horizontal="left" vertical="center" wrapText="1"/>
    </xf>
    <xf numFmtId="9" fontId="4" fillId="0" borderId="1" xfId="0" applyNumberFormat="1" applyFont="1" applyBorder="1" applyAlignment="1">
      <alignment horizontal="left" vertical="center" wrapText="1"/>
    </xf>
    <xf numFmtId="3" fontId="3" fillId="0" borderId="4" xfId="5" applyNumberFormat="1" applyFont="1" applyFill="1" applyBorder="1" applyAlignment="1">
      <alignment horizontal="center" vertical="center" wrapText="1"/>
    </xf>
    <xf numFmtId="3" fontId="3" fillId="0" borderId="7" xfId="5" applyNumberFormat="1" applyFont="1" applyFill="1" applyBorder="1" applyAlignment="1">
      <alignment horizontal="center" vertical="center" wrapText="1"/>
    </xf>
    <xf numFmtId="3" fontId="3" fillId="0" borderId="1" xfId="5" applyNumberFormat="1" applyFont="1" applyFill="1" applyBorder="1" applyAlignment="1">
      <alignment horizontal="center" vertical="center" wrapText="1"/>
    </xf>
    <xf numFmtId="0" fontId="4" fillId="0" borderId="3" xfId="0" applyFont="1" applyFill="1" applyBorder="1" applyAlignment="1">
      <alignment horizontal="left" vertical="center" wrapText="1"/>
    </xf>
    <xf numFmtId="1" fontId="4" fillId="0" borderId="4" xfId="0" applyNumberFormat="1" applyFont="1" applyBorder="1" applyAlignment="1">
      <alignment horizontal="center" vertical="center" wrapText="1"/>
    </xf>
    <xf numFmtId="1" fontId="4" fillId="0" borderId="1" xfId="0" applyNumberFormat="1" applyFont="1" applyBorder="1" applyAlignment="1">
      <alignment horizontal="center" vertical="center" wrapText="1"/>
    </xf>
    <xf numFmtId="3" fontId="3" fillId="5" borderId="5" xfId="0" applyNumberFormat="1" applyFont="1" applyFill="1" applyBorder="1" applyAlignment="1">
      <alignment horizontal="center" vertical="center" wrapText="1"/>
    </xf>
    <xf numFmtId="3" fontId="3" fillId="5" borderId="8" xfId="0" applyNumberFormat="1" applyFont="1" applyFill="1" applyBorder="1" applyAlignment="1">
      <alignment horizontal="center" vertical="center" wrapText="1"/>
    </xf>
    <xf numFmtId="9" fontId="3" fillId="5" borderId="3" xfId="20" applyFont="1" applyFill="1" applyBorder="1" applyAlignment="1">
      <alignment horizontal="center" vertical="center" wrapText="1"/>
    </xf>
    <xf numFmtId="0" fontId="4" fillId="4" borderId="4" xfId="0" applyFont="1" applyFill="1" applyBorder="1" applyAlignment="1">
      <alignment vertical="center" wrapText="1"/>
    </xf>
    <xf numFmtId="0" fontId="4" fillId="4" borderId="7" xfId="0" applyFont="1" applyFill="1" applyBorder="1" applyAlignment="1">
      <alignment vertical="center" wrapText="1"/>
    </xf>
    <xf numFmtId="0" fontId="4" fillId="4" borderId="1" xfId="0" applyFont="1" applyFill="1" applyBorder="1" applyAlignment="1">
      <alignment vertical="center" wrapText="1"/>
    </xf>
    <xf numFmtId="0" fontId="4" fillId="4" borderId="4" xfId="3" applyFont="1" applyFill="1" applyBorder="1" applyAlignment="1">
      <alignment vertical="center" wrapText="1"/>
    </xf>
    <xf numFmtId="0" fontId="4" fillId="4" borderId="7" xfId="3" applyFont="1" applyFill="1" applyBorder="1" applyAlignment="1">
      <alignment vertical="center" wrapText="1"/>
    </xf>
    <xf numFmtId="0" fontId="4" fillId="4" borderId="1" xfId="3" applyFont="1" applyFill="1" applyBorder="1" applyAlignment="1">
      <alignment vertical="center" wrapText="1"/>
    </xf>
    <xf numFmtId="0" fontId="4" fillId="4" borderId="4" xfId="0" applyFont="1" applyFill="1" applyBorder="1" applyAlignment="1">
      <alignment horizontal="left" vertical="center" wrapText="1"/>
    </xf>
    <xf numFmtId="0" fontId="4" fillId="4" borderId="7"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4" borderId="3" xfId="0" applyFont="1" applyFill="1" applyBorder="1" applyAlignment="1">
      <alignment horizontal="left" vertical="center" wrapText="1"/>
    </xf>
    <xf numFmtId="0" fontId="3" fillId="5" borderId="3" xfId="3" applyFont="1" applyFill="1" applyBorder="1" applyAlignment="1">
      <alignment horizontal="center" vertical="center" wrapText="1"/>
    </xf>
    <xf numFmtId="9" fontId="4" fillId="4" borderId="3" xfId="20" applyFont="1" applyFill="1" applyBorder="1" applyAlignment="1">
      <alignment horizontal="left" vertical="center" wrapText="1"/>
    </xf>
    <xf numFmtId="0" fontId="4" fillId="14" borderId="3" xfId="0" applyFont="1" applyFill="1" applyBorder="1" applyAlignment="1">
      <alignment horizontal="left" vertical="center" wrapText="1"/>
    </xf>
    <xf numFmtId="0" fontId="4" fillId="15" borderId="4" xfId="3" applyFont="1" applyFill="1" applyBorder="1" applyAlignment="1">
      <alignment horizontal="left" vertical="center" wrapText="1"/>
    </xf>
    <xf numFmtId="0" fontId="4" fillId="15" borderId="7" xfId="3" applyFont="1" applyFill="1" applyBorder="1" applyAlignment="1">
      <alignment horizontal="left" vertical="center" wrapText="1"/>
    </xf>
    <xf numFmtId="0" fontId="4" fillId="15" borderId="1" xfId="3" applyFont="1" applyFill="1" applyBorder="1" applyAlignment="1">
      <alignment horizontal="left" vertical="center" wrapText="1"/>
    </xf>
    <xf numFmtId="0" fontId="3" fillId="0" borderId="0" xfId="0" applyFont="1" applyAlignment="1">
      <alignment horizontal="center" vertical="center"/>
    </xf>
    <xf numFmtId="3" fontId="3" fillId="6" borderId="3" xfId="0" applyNumberFormat="1" applyFont="1" applyFill="1" applyBorder="1" applyAlignment="1">
      <alignment horizontal="center" vertical="center" wrapText="1"/>
    </xf>
    <xf numFmtId="3" fontId="3" fillId="2" borderId="3" xfId="0" applyNumberFormat="1" applyFont="1" applyFill="1" applyBorder="1" applyAlignment="1">
      <alignment horizontal="center" vertical="center" wrapText="1"/>
    </xf>
    <xf numFmtId="0" fontId="3" fillId="12" borderId="3" xfId="0" applyFont="1" applyFill="1" applyBorder="1" applyAlignment="1">
      <alignment horizontal="center" vertical="center" wrapText="1"/>
    </xf>
    <xf numFmtId="3" fontId="3" fillId="6" borderId="6" xfId="0" applyNumberFormat="1" applyFont="1" applyFill="1" applyBorder="1" applyAlignment="1">
      <alignment horizontal="center" vertical="center" wrapText="1"/>
    </xf>
    <xf numFmtId="3" fontId="3" fillId="6" borderId="15" xfId="0" applyNumberFormat="1" applyFont="1" applyFill="1" applyBorder="1" applyAlignment="1">
      <alignment horizontal="center" vertical="center" wrapText="1"/>
    </xf>
    <xf numFmtId="3" fontId="3" fillId="6" borderId="9" xfId="0" applyNumberFormat="1" applyFont="1" applyFill="1" applyBorder="1" applyAlignment="1">
      <alignment horizontal="center" vertical="center" wrapText="1"/>
    </xf>
    <xf numFmtId="3" fontId="3" fillId="6" borderId="13" xfId="0" applyNumberFormat="1" applyFont="1" applyFill="1" applyBorder="1" applyAlignment="1">
      <alignment horizontal="center" vertical="center" wrapText="1"/>
    </xf>
    <xf numFmtId="3" fontId="3" fillId="6" borderId="14" xfId="0" applyNumberFormat="1" applyFont="1" applyFill="1" applyBorder="1" applyAlignment="1">
      <alignment horizontal="center" vertical="center" wrapText="1"/>
    </xf>
    <xf numFmtId="3" fontId="3" fillId="6" borderId="10" xfId="0" applyNumberFormat="1"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0" xfId="0" applyFont="1" applyFill="1" applyBorder="1" applyAlignment="1">
      <alignment horizontal="center" vertical="center" wrapText="1"/>
    </xf>
    <xf numFmtId="3" fontId="3" fillId="0" borderId="3" xfId="5" applyNumberFormat="1" applyFont="1" applyBorder="1" applyAlignment="1">
      <alignment horizontal="center" vertical="center" wrapText="1"/>
    </xf>
    <xf numFmtId="0" fontId="4" fillId="0" borderId="6" xfId="0" applyFont="1" applyFill="1" applyBorder="1" applyAlignment="1">
      <alignment horizontal="center" vertical="center" wrapText="1"/>
    </xf>
    <xf numFmtId="0" fontId="4" fillId="0" borderId="13" xfId="0" applyFont="1" applyFill="1" applyBorder="1" applyAlignment="1">
      <alignment horizontal="center" vertical="center" wrapText="1"/>
    </xf>
    <xf numFmtId="3" fontId="4" fillId="16" borderId="3" xfId="5" applyNumberFormat="1" applyFont="1" applyFill="1" applyBorder="1" applyAlignment="1">
      <alignment horizontal="center" vertical="center" wrapText="1"/>
    </xf>
    <xf numFmtId="0" fontId="17" fillId="8" borderId="3" xfId="0" applyFont="1" applyFill="1" applyBorder="1" applyAlignment="1">
      <alignment horizontal="center" vertical="center"/>
    </xf>
    <xf numFmtId="3" fontId="4" fillId="4" borderId="3" xfId="9" applyNumberFormat="1" applyFont="1" applyFill="1" applyBorder="1" applyAlignment="1">
      <alignment horizontal="center" vertical="center"/>
    </xf>
    <xf numFmtId="0" fontId="4" fillId="0" borderId="4" xfId="14" applyFont="1" applyFill="1" applyBorder="1" applyAlignment="1">
      <alignment horizontal="left" vertical="center" wrapText="1"/>
    </xf>
    <xf numFmtId="0" fontId="4" fillId="0" borderId="1" xfId="14" applyFont="1" applyFill="1" applyBorder="1" applyAlignment="1">
      <alignment horizontal="left" vertical="center" wrapText="1"/>
    </xf>
    <xf numFmtId="0" fontId="4" fillId="0" borderId="3" xfId="3" applyFont="1" applyBorder="1" applyAlignment="1">
      <alignment horizontal="center" vertical="center" wrapText="1"/>
    </xf>
    <xf numFmtId="0" fontId="4" fillId="0" borderId="7" xfId="14" applyFont="1" applyFill="1" applyBorder="1" applyAlignment="1">
      <alignment horizontal="left" vertical="center" wrapText="1"/>
    </xf>
    <xf numFmtId="0" fontId="4" fillId="0" borderId="4" xfId="3" applyFont="1" applyBorder="1" applyAlignment="1">
      <alignment vertical="center" wrapText="1"/>
    </xf>
    <xf numFmtId="0" fontId="4" fillId="0" borderId="7" xfId="3" applyFont="1" applyBorder="1" applyAlignment="1">
      <alignment vertical="center" wrapText="1"/>
    </xf>
    <xf numFmtId="0" fontId="4" fillId="0" borderId="1" xfId="3" applyFont="1" applyBorder="1" applyAlignment="1">
      <alignment vertical="center" wrapText="1"/>
    </xf>
    <xf numFmtId="0" fontId="4" fillId="4" borderId="4" xfId="14" applyFont="1" applyFill="1" applyBorder="1" applyAlignment="1">
      <alignment horizontal="center" vertical="center" wrapText="1"/>
    </xf>
    <xf numFmtId="0" fontId="4" fillId="4" borderId="7" xfId="14" applyFont="1" applyFill="1" applyBorder="1" applyAlignment="1">
      <alignment horizontal="center" vertical="center" wrapText="1"/>
    </xf>
    <xf numFmtId="0" fontId="4" fillId="4" borderId="1" xfId="14" applyFont="1" applyFill="1" applyBorder="1" applyAlignment="1">
      <alignment horizontal="center" vertical="center" wrapText="1"/>
    </xf>
    <xf numFmtId="3" fontId="4" fillId="4" borderId="4" xfId="9" applyNumberFormat="1" applyFont="1" applyFill="1" applyBorder="1" applyAlignment="1">
      <alignment horizontal="center" vertical="center" wrapText="1"/>
    </xf>
    <xf numFmtId="3" fontId="4" fillId="4" borderId="7" xfId="9" applyNumberFormat="1" applyFont="1" applyFill="1" applyBorder="1" applyAlignment="1">
      <alignment horizontal="center" vertical="center" wrapText="1"/>
    </xf>
    <xf numFmtId="3" fontId="4" fillId="4" borderId="1" xfId="9" applyNumberFormat="1" applyFont="1" applyFill="1" applyBorder="1" applyAlignment="1">
      <alignment horizontal="center" vertical="center" wrapText="1"/>
    </xf>
    <xf numFmtId="3" fontId="4" fillId="4" borderId="4" xfId="0" applyNumberFormat="1" applyFont="1" applyFill="1" applyBorder="1" applyAlignment="1">
      <alignment horizontal="center" vertical="center" wrapText="1"/>
    </xf>
    <xf numFmtId="3" fontId="4" fillId="4" borderId="7" xfId="0" applyNumberFormat="1" applyFont="1" applyFill="1" applyBorder="1" applyAlignment="1">
      <alignment horizontal="center" vertical="center" wrapText="1"/>
    </xf>
    <xf numFmtId="3" fontId="4" fillId="4" borderId="1" xfId="0" applyNumberFormat="1" applyFont="1" applyFill="1" applyBorder="1" applyAlignment="1">
      <alignment horizontal="center" vertical="center" wrapText="1"/>
    </xf>
    <xf numFmtId="3" fontId="3" fillId="0" borderId="6" xfId="5" applyNumberFormat="1" applyFont="1" applyBorder="1" applyAlignment="1">
      <alignment horizontal="center" vertical="center" wrapText="1"/>
    </xf>
    <xf numFmtId="3" fontId="3" fillId="0" borderId="9" xfId="5" applyNumberFormat="1" applyFont="1" applyBorder="1" applyAlignment="1">
      <alignment horizontal="center" vertical="center" wrapText="1"/>
    </xf>
    <xf numFmtId="3" fontId="3" fillId="0" borderId="12" xfId="5" applyNumberFormat="1" applyFont="1" applyBorder="1" applyAlignment="1">
      <alignment horizontal="center" vertical="center" wrapText="1"/>
    </xf>
    <xf numFmtId="3" fontId="3" fillId="0" borderId="16" xfId="5" applyNumberFormat="1" applyFont="1" applyBorder="1" applyAlignment="1">
      <alignment horizontal="center" vertical="center" wrapText="1"/>
    </xf>
    <xf numFmtId="3" fontId="3" fillId="0" borderId="13" xfId="5" applyNumberFormat="1" applyFont="1" applyBorder="1" applyAlignment="1">
      <alignment horizontal="center" vertical="center" wrapText="1"/>
    </xf>
    <xf numFmtId="3" fontId="3" fillId="0" borderId="10" xfId="5" applyNumberFormat="1" applyFont="1" applyBorder="1" applyAlignment="1">
      <alignment horizontal="center" vertical="center" wrapText="1"/>
    </xf>
    <xf numFmtId="3" fontId="3" fillId="0" borderId="6" xfId="5" applyNumberFormat="1" applyFont="1" applyFill="1" applyBorder="1" applyAlignment="1">
      <alignment horizontal="center" vertical="center" wrapText="1"/>
    </xf>
    <xf numFmtId="3" fontId="3" fillId="0" borderId="9" xfId="5" applyNumberFormat="1" applyFont="1" applyFill="1" applyBorder="1" applyAlignment="1">
      <alignment horizontal="center" vertical="center" wrapText="1"/>
    </xf>
    <xf numFmtId="3" fontId="3" fillId="0" borderId="12" xfId="5" applyNumberFormat="1" applyFont="1" applyFill="1" applyBorder="1" applyAlignment="1">
      <alignment horizontal="center" vertical="center" wrapText="1"/>
    </xf>
    <xf numFmtId="3" fontId="3" fillId="0" borderId="16" xfId="5" applyNumberFormat="1" applyFont="1" applyFill="1" applyBorder="1" applyAlignment="1">
      <alignment horizontal="center" vertical="center" wrapText="1"/>
    </xf>
    <xf numFmtId="3" fontId="3" fillId="0" borderId="13" xfId="5" applyNumberFormat="1" applyFont="1" applyFill="1" applyBorder="1" applyAlignment="1">
      <alignment horizontal="center" vertical="center" wrapText="1"/>
    </xf>
    <xf numFmtId="3" fontId="3" fillId="0" borderId="10" xfId="5" applyNumberFormat="1" applyFont="1" applyFill="1" applyBorder="1" applyAlignment="1">
      <alignment horizontal="center" vertical="center" wrapText="1"/>
    </xf>
    <xf numFmtId="3" fontId="4" fillId="0" borderId="3" xfId="15" applyNumberFormat="1" applyFont="1" applyFill="1" applyBorder="1" applyAlignment="1">
      <alignment horizontal="center" vertical="center" wrapText="1"/>
    </xf>
    <xf numFmtId="49" fontId="4" fillId="0" borderId="4" xfId="15" applyNumberFormat="1" applyFont="1" applyFill="1" applyBorder="1" applyAlignment="1">
      <alignment horizontal="center" vertical="center" wrapText="1"/>
    </xf>
    <xf numFmtId="49" fontId="4" fillId="0" borderId="7" xfId="15" applyNumberFormat="1" applyFont="1" applyFill="1" applyBorder="1" applyAlignment="1">
      <alignment horizontal="center" vertical="center" wrapText="1"/>
    </xf>
    <xf numFmtId="49" fontId="4" fillId="0" borderId="1" xfId="15" applyNumberFormat="1" applyFont="1" applyFill="1" applyBorder="1" applyAlignment="1">
      <alignment horizontal="center" vertical="center" wrapText="1"/>
    </xf>
    <xf numFmtId="49" fontId="4" fillId="0" borderId="3" xfId="15" applyNumberFormat="1" applyFont="1" applyFill="1" applyBorder="1" applyAlignment="1">
      <alignment horizontal="center" vertical="center" wrapText="1"/>
    </xf>
    <xf numFmtId="3" fontId="4" fillId="0" borderId="3" xfId="3" applyNumberFormat="1" applyFont="1" applyFill="1" applyBorder="1" applyAlignment="1">
      <alignment horizontal="center" vertical="center" wrapText="1"/>
    </xf>
    <xf numFmtId="3" fontId="4" fillId="0" borderId="4" xfId="3" applyNumberFormat="1" applyFont="1" applyFill="1" applyBorder="1" applyAlignment="1">
      <alignment horizontal="center" vertical="center" wrapText="1"/>
    </xf>
    <xf numFmtId="3" fontId="4" fillId="0" borderId="7" xfId="3" applyNumberFormat="1" applyFont="1" applyFill="1" applyBorder="1" applyAlignment="1">
      <alignment horizontal="center" vertical="center" wrapText="1"/>
    </xf>
    <xf numFmtId="3" fontId="4" fillId="0" borderId="1" xfId="3" applyNumberFormat="1" applyFont="1" applyFill="1" applyBorder="1" applyAlignment="1">
      <alignment horizontal="center" vertical="center" wrapText="1"/>
    </xf>
    <xf numFmtId="3" fontId="4" fillId="0" borderId="4" xfId="3" applyNumberFormat="1" applyFont="1" applyFill="1" applyBorder="1" applyAlignment="1">
      <alignment horizontal="justify" vertical="center" wrapText="1"/>
    </xf>
    <xf numFmtId="3" fontId="4" fillId="0" borderId="7" xfId="3" applyNumberFormat="1" applyFont="1" applyFill="1" applyBorder="1" applyAlignment="1">
      <alignment horizontal="justify" vertical="center" wrapText="1"/>
    </xf>
    <xf numFmtId="3" fontId="4" fillId="0" borderId="1" xfId="3" applyNumberFormat="1" applyFont="1" applyFill="1" applyBorder="1" applyAlignment="1">
      <alignment horizontal="justify" vertical="center" wrapText="1"/>
    </xf>
    <xf numFmtId="3" fontId="4" fillId="0" borderId="4" xfId="20" applyNumberFormat="1" applyFont="1" applyFill="1" applyBorder="1" applyAlignment="1">
      <alignment horizontal="center" vertical="center" wrapText="1"/>
    </xf>
    <xf numFmtId="3" fontId="4" fillId="0" borderId="7" xfId="20" applyNumberFormat="1" applyFont="1" applyFill="1" applyBorder="1" applyAlignment="1">
      <alignment horizontal="center" vertical="center" wrapText="1"/>
    </xf>
    <xf numFmtId="3" fontId="4" fillId="0" borderId="1" xfId="20" applyNumberFormat="1" applyFont="1" applyFill="1" applyBorder="1" applyAlignment="1">
      <alignment horizontal="center" vertical="center" wrapText="1"/>
    </xf>
    <xf numFmtId="3" fontId="4" fillId="0" borderId="3" xfId="20" applyNumberFormat="1" applyFont="1" applyFill="1" applyBorder="1" applyAlignment="1">
      <alignment horizontal="center" vertical="center" wrapText="1"/>
    </xf>
    <xf numFmtId="3" fontId="4" fillId="0" borderId="4" xfId="15" applyNumberFormat="1" applyFont="1" applyFill="1" applyBorder="1" applyAlignment="1">
      <alignment horizontal="center" vertical="center" wrapText="1"/>
    </xf>
    <xf numFmtId="3" fontId="4" fillId="0" borderId="7" xfId="15" applyNumberFormat="1" applyFont="1" applyFill="1" applyBorder="1" applyAlignment="1">
      <alignment horizontal="center" vertical="center" wrapText="1"/>
    </xf>
    <xf numFmtId="3" fontId="4" fillId="0" borderId="1" xfId="15" applyNumberFormat="1" applyFont="1" applyFill="1" applyBorder="1" applyAlignment="1">
      <alignment horizontal="center" vertical="center" wrapText="1"/>
    </xf>
    <xf numFmtId="3" fontId="4" fillId="4" borderId="6" xfId="0" applyNumberFormat="1" applyFont="1" applyFill="1" applyBorder="1" applyAlignment="1">
      <alignment horizontal="left" vertical="center" wrapText="1"/>
    </xf>
    <xf numFmtId="3" fontId="4" fillId="4" borderId="12" xfId="0" applyNumberFormat="1" applyFont="1" applyFill="1" applyBorder="1" applyAlignment="1">
      <alignment horizontal="left" vertical="center" wrapText="1"/>
    </xf>
    <xf numFmtId="3" fontId="4" fillId="4" borderId="13" xfId="0" applyNumberFormat="1" applyFont="1" applyFill="1" applyBorder="1" applyAlignment="1">
      <alignment horizontal="left" vertical="center" wrapText="1"/>
    </xf>
    <xf numFmtId="3" fontId="3" fillId="0" borderId="0" xfId="0" applyNumberFormat="1" applyFont="1" applyAlignment="1">
      <alignment horizontal="center" vertical="center"/>
    </xf>
    <xf numFmtId="3" fontId="3" fillId="2" borderId="4" xfId="0" applyNumberFormat="1" applyFont="1" applyFill="1" applyBorder="1" applyAlignment="1">
      <alignment horizontal="center" vertical="center" wrapText="1"/>
    </xf>
    <xf numFmtId="3" fontId="3" fillId="2" borderId="1" xfId="0" applyNumberFormat="1" applyFont="1" applyFill="1" applyBorder="1" applyAlignment="1">
      <alignment horizontal="center" vertical="center" wrapText="1"/>
    </xf>
    <xf numFmtId="3" fontId="3" fillId="0" borderId="4" xfId="0" applyNumberFormat="1" applyFont="1" applyFill="1" applyBorder="1" applyAlignment="1">
      <alignment horizontal="center" vertical="center" wrapText="1"/>
    </xf>
    <xf numFmtId="3" fontId="3" fillId="0" borderId="7" xfId="0" applyNumberFormat="1" applyFont="1" applyFill="1" applyBorder="1" applyAlignment="1">
      <alignment horizontal="center" vertical="center" wrapText="1"/>
    </xf>
    <xf numFmtId="3" fontId="3" fillId="0" borderId="1" xfId="0" applyNumberFormat="1" applyFont="1" applyFill="1" applyBorder="1" applyAlignment="1">
      <alignment horizontal="center" vertical="center" wrapText="1"/>
    </xf>
    <xf numFmtId="3" fontId="4" fillId="0" borderId="4" xfId="0" applyNumberFormat="1" applyFont="1" applyFill="1" applyBorder="1" applyAlignment="1">
      <alignment horizontal="left" vertical="center" wrapText="1"/>
    </xf>
    <xf numFmtId="3" fontId="4" fillId="0" borderId="1" xfId="0" applyNumberFormat="1" applyFont="1" applyFill="1" applyBorder="1" applyAlignment="1">
      <alignment horizontal="left" vertical="center" wrapText="1"/>
    </xf>
    <xf numFmtId="3" fontId="3" fillId="6" borderId="5" xfId="0" applyNumberFormat="1" applyFont="1" applyFill="1" applyBorder="1" applyAlignment="1">
      <alignment horizontal="center" vertical="center"/>
    </xf>
    <xf numFmtId="3" fontId="3" fillId="6" borderId="11"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11" borderId="5" xfId="14" applyNumberFormat="1" applyFont="1" applyFill="1" applyBorder="1" applyAlignment="1">
      <alignment horizontal="center" vertical="center" wrapText="1"/>
    </xf>
    <xf numFmtId="3" fontId="3" fillId="11" borderId="11" xfId="14" applyNumberFormat="1" applyFont="1" applyFill="1" applyBorder="1" applyAlignment="1">
      <alignment horizontal="center" vertical="center" wrapText="1"/>
    </xf>
    <xf numFmtId="3" fontId="3" fillId="11" borderId="8" xfId="14" applyNumberFormat="1" applyFont="1" applyFill="1" applyBorder="1" applyAlignment="1">
      <alignment horizontal="center" vertical="center" wrapText="1"/>
    </xf>
    <xf numFmtId="3" fontId="4" fillId="0" borderId="4" xfId="3" applyNumberFormat="1" applyFont="1" applyBorder="1" applyAlignment="1">
      <alignment horizontal="center" vertical="center" wrapText="1"/>
    </xf>
    <xf numFmtId="3" fontId="4" fillId="0" borderId="7" xfId="3" applyNumberFormat="1" applyFont="1" applyBorder="1" applyAlignment="1">
      <alignment horizontal="center" vertical="center" wrapText="1"/>
    </xf>
    <xf numFmtId="3" fontId="4" fillId="0" borderId="1" xfId="3" applyNumberFormat="1" applyFont="1" applyBorder="1" applyAlignment="1">
      <alignment horizontal="center" vertical="center" wrapText="1"/>
    </xf>
    <xf numFmtId="3" fontId="4" fillId="0" borderId="7" xfId="0" applyNumberFormat="1" applyFont="1" applyFill="1" applyBorder="1" applyAlignment="1">
      <alignment horizontal="left" vertical="center" wrapText="1"/>
    </xf>
    <xf numFmtId="3" fontId="4" fillId="0" borderId="4" xfId="3" applyNumberFormat="1" applyFont="1" applyFill="1" applyBorder="1" applyAlignment="1">
      <alignment vertical="center" wrapText="1"/>
    </xf>
    <xf numFmtId="3" fontId="4" fillId="0" borderId="7" xfId="3" applyNumberFormat="1" applyFont="1" applyFill="1" applyBorder="1" applyAlignment="1">
      <alignment vertical="center" wrapText="1"/>
    </xf>
    <xf numFmtId="3" fontId="4" fillId="0" borderId="1" xfId="3" applyNumberFormat="1" applyFont="1" applyFill="1" applyBorder="1" applyAlignment="1">
      <alignment vertical="center" wrapText="1"/>
    </xf>
    <xf numFmtId="3" fontId="4" fillId="0" borderId="4" xfId="3" applyNumberFormat="1" applyFont="1" applyFill="1" applyBorder="1" applyAlignment="1">
      <alignment horizontal="left" vertical="center" wrapText="1"/>
    </xf>
    <xf numFmtId="3" fontId="4" fillId="0" borderId="7" xfId="3" applyNumberFormat="1" applyFont="1" applyFill="1" applyBorder="1" applyAlignment="1">
      <alignment horizontal="left" vertical="center" wrapText="1"/>
    </xf>
    <xf numFmtId="3" fontId="4" fillId="0" borderId="1" xfId="3" applyNumberFormat="1" applyFont="1" applyFill="1" applyBorder="1" applyAlignment="1">
      <alignment horizontal="left" vertical="center" wrapText="1"/>
    </xf>
    <xf numFmtId="3" fontId="3" fillId="5" borderId="11" xfId="0" applyNumberFormat="1" applyFont="1" applyFill="1" applyBorder="1" applyAlignment="1">
      <alignment horizontal="center" vertical="center" wrapText="1"/>
    </xf>
    <xf numFmtId="3" fontId="4" fillId="0" borderId="4" xfId="0" applyNumberFormat="1" applyFont="1" applyBorder="1" applyAlignment="1">
      <alignment horizontal="left" vertical="center" wrapText="1"/>
    </xf>
    <xf numFmtId="3" fontId="4" fillId="0" borderId="7" xfId="0" applyNumberFormat="1" applyFont="1" applyBorder="1" applyAlignment="1">
      <alignment horizontal="left" vertical="center" wrapText="1"/>
    </xf>
    <xf numFmtId="3" fontId="4" fillId="0" borderId="1" xfId="0" applyNumberFormat="1" applyFont="1" applyBorder="1" applyAlignment="1">
      <alignment horizontal="left" vertical="center" wrapText="1"/>
    </xf>
    <xf numFmtId="3" fontId="4" fillId="0" borderId="4" xfId="14" applyNumberFormat="1" applyFont="1" applyFill="1" applyBorder="1" applyAlignment="1">
      <alignment horizontal="left" vertical="center" wrapText="1"/>
    </xf>
    <xf numFmtId="3" fontId="4" fillId="0" borderId="7" xfId="14" applyNumberFormat="1" applyFont="1" applyFill="1" applyBorder="1" applyAlignment="1">
      <alignment horizontal="left" vertical="center" wrapText="1"/>
    </xf>
    <xf numFmtId="3" fontId="4" fillId="0" borderId="1" xfId="14" applyNumberFormat="1" applyFont="1" applyFill="1" applyBorder="1" applyAlignment="1">
      <alignment horizontal="left" vertical="center" wrapText="1"/>
    </xf>
    <xf numFmtId="3" fontId="4" fillId="0" borderId="4" xfId="3" applyNumberFormat="1" applyFont="1" applyBorder="1" applyAlignment="1">
      <alignment horizontal="left" vertical="center" wrapText="1"/>
    </xf>
    <xf numFmtId="3" fontId="4" fillId="0" borderId="7" xfId="3" applyNumberFormat="1" applyFont="1" applyBorder="1" applyAlignment="1">
      <alignment horizontal="left" vertical="center" wrapText="1"/>
    </xf>
    <xf numFmtId="3" fontId="4" fillId="0" borderId="1" xfId="3" applyNumberFormat="1" applyFont="1" applyBorder="1" applyAlignment="1">
      <alignment horizontal="left" vertical="center" wrapText="1"/>
    </xf>
    <xf numFmtId="3" fontId="3" fillId="5" borderId="5" xfId="20" applyNumberFormat="1" applyFont="1" applyFill="1" applyBorder="1" applyAlignment="1">
      <alignment horizontal="center" vertical="center" wrapText="1"/>
    </xf>
    <xf numFmtId="3" fontId="3" fillId="5" borderId="11" xfId="20" applyNumberFormat="1" applyFont="1" applyFill="1" applyBorder="1" applyAlignment="1">
      <alignment horizontal="center" vertical="center" wrapText="1"/>
    </xf>
    <xf numFmtId="3" fontId="3" fillId="5" borderId="8" xfId="20" applyNumberFormat="1" applyFont="1" applyFill="1" applyBorder="1" applyAlignment="1">
      <alignment horizontal="center" vertical="center" wrapText="1"/>
    </xf>
    <xf numFmtId="3" fontId="4" fillId="0" borderId="4" xfId="1" applyNumberFormat="1" applyFont="1" applyBorder="1" applyAlignment="1">
      <alignment horizontal="left" vertical="center" wrapText="1"/>
    </xf>
    <xf numFmtId="3" fontId="4" fillId="0" borderId="7" xfId="1" applyNumberFormat="1" applyFont="1" applyBorder="1" applyAlignment="1">
      <alignment horizontal="left" vertical="center" wrapText="1"/>
    </xf>
    <xf numFmtId="3" fontId="4" fillId="0" borderId="1" xfId="1" applyNumberFormat="1" applyFont="1" applyBorder="1" applyAlignment="1">
      <alignment horizontal="left" vertical="center" wrapText="1"/>
    </xf>
    <xf numFmtId="3" fontId="4" fillId="0" borderId="4" xfId="0" applyNumberFormat="1" applyFont="1" applyBorder="1" applyAlignment="1">
      <alignment vertical="center" wrapText="1"/>
    </xf>
    <xf numFmtId="3" fontId="4" fillId="0" borderId="7" xfId="0" applyNumberFormat="1" applyFont="1" applyBorder="1" applyAlignment="1">
      <alignment vertical="center" wrapText="1"/>
    </xf>
    <xf numFmtId="3" fontId="4" fillId="0" borderId="1" xfId="0" applyNumberFormat="1" applyFont="1" applyBorder="1" applyAlignment="1">
      <alignment vertical="center" wrapText="1"/>
    </xf>
    <xf numFmtId="3" fontId="3" fillId="5" borderId="5" xfId="3" applyNumberFormat="1" applyFont="1" applyFill="1" applyBorder="1" applyAlignment="1">
      <alignment horizontal="center" vertical="center" wrapText="1"/>
    </xf>
    <xf numFmtId="3" fontId="3" fillId="5" borderId="11" xfId="3" applyNumberFormat="1" applyFont="1" applyFill="1" applyBorder="1" applyAlignment="1">
      <alignment horizontal="center" vertical="center" wrapText="1"/>
    </xf>
    <xf numFmtId="3" fontId="3" fillId="5" borderId="8" xfId="3" applyNumberFormat="1" applyFont="1" applyFill="1" applyBorder="1" applyAlignment="1">
      <alignment horizontal="center" vertical="center" wrapText="1"/>
    </xf>
    <xf numFmtId="3" fontId="4" fillId="4" borderId="4" xfId="0" applyNumberFormat="1" applyFont="1" applyFill="1" applyBorder="1" applyAlignment="1">
      <alignment vertical="center" wrapText="1"/>
    </xf>
    <xf numFmtId="3" fontId="4" fillId="4" borderId="7" xfId="0" applyNumberFormat="1" applyFont="1" applyFill="1" applyBorder="1" applyAlignment="1">
      <alignment vertical="center" wrapText="1"/>
    </xf>
    <xf numFmtId="3" fontId="4" fillId="4" borderId="1" xfId="0" applyNumberFormat="1" applyFont="1" applyFill="1" applyBorder="1" applyAlignment="1">
      <alignment vertical="center" wrapText="1"/>
    </xf>
    <xf numFmtId="3" fontId="4" fillId="4" borderId="4" xfId="0" applyNumberFormat="1" applyFont="1" applyFill="1" applyBorder="1" applyAlignment="1">
      <alignment horizontal="left" vertical="center" wrapText="1"/>
    </xf>
    <xf numFmtId="3" fontId="4" fillId="4" borderId="7" xfId="0" applyNumberFormat="1" applyFont="1" applyFill="1" applyBorder="1" applyAlignment="1">
      <alignment horizontal="left" vertical="center" wrapText="1"/>
    </xf>
    <xf numFmtId="3" fontId="4" fillId="4" borderId="1" xfId="0" applyNumberFormat="1" applyFont="1" applyFill="1" applyBorder="1" applyAlignment="1">
      <alignment horizontal="left" vertical="center" wrapText="1"/>
    </xf>
    <xf numFmtId="3" fontId="4" fillId="4" borderId="4" xfId="20" applyNumberFormat="1" applyFont="1" applyFill="1" applyBorder="1" applyAlignment="1">
      <alignment horizontal="center" vertical="center" wrapText="1"/>
    </xf>
    <xf numFmtId="3" fontId="4" fillId="4" borderId="7" xfId="20" applyNumberFormat="1" applyFont="1" applyFill="1" applyBorder="1" applyAlignment="1">
      <alignment horizontal="center" vertical="center" wrapText="1"/>
    </xf>
    <xf numFmtId="3" fontId="4" fillId="4" borderId="1" xfId="20" applyNumberFormat="1" applyFont="1" applyFill="1" applyBorder="1" applyAlignment="1">
      <alignment horizontal="center" vertical="center" wrapText="1"/>
    </xf>
    <xf numFmtId="3" fontId="4" fillId="4" borderId="4" xfId="3" applyNumberFormat="1" applyFont="1" applyFill="1" applyBorder="1" applyAlignment="1">
      <alignment vertical="center" wrapText="1"/>
    </xf>
    <xf numFmtId="3" fontId="4" fillId="4" borderId="7" xfId="3" applyNumberFormat="1" applyFont="1" applyFill="1" applyBorder="1" applyAlignment="1">
      <alignment vertical="center" wrapText="1"/>
    </xf>
    <xf numFmtId="3" fontId="4" fillId="4" borderId="1" xfId="3" applyNumberFormat="1" applyFont="1" applyFill="1" applyBorder="1" applyAlignment="1">
      <alignment vertical="center" wrapText="1"/>
    </xf>
    <xf numFmtId="3" fontId="4" fillId="0" borderId="4" xfId="20" applyNumberFormat="1" applyFont="1" applyFill="1" applyBorder="1" applyAlignment="1">
      <alignment horizontal="center" vertical="center"/>
    </xf>
    <xf numFmtId="3" fontId="4" fillId="0" borderId="1" xfId="20" applyNumberFormat="1" applyFont="1" applyFill="1" applyBorder="1" applyAlignment="1">
      <alignment horizontal="center" vertical="center"/>
    </xf>
    <xf numFmtId="3" fontId="4" fillId="4" borderId="4" xfId="20" applyNumberFormat="1" applyFont="1" applyFill="1" applyBorder="1" applyAlignment="1">
      <alignment horizontal="left" vertical="center" wrapText="1"/>
    </xf>
    <xf numFmtId="3" fontId="4" fillId="4" borderId="7" xfId="20" applyNumberFormat="1" applyFont="1" applyFill="1" applyBorder="1" applyAlignment="1">
      <alignment horizontal="left" vertical="center" wrapText="1"/>
    </xf>
    <xf numFmtId="3" fontId="4" fillId="4" borderId="1" xfId="20" applyNumberFormat="1" applyFont="1" applyFill="1" applyBorder="1" applyAlignment="1">
      <alignment horizontal="left" vertical="center" wrapText="1"/>
    </xf>
    <xf numFmtId="9" fontId="4" fillId="0" borderId="3" xfId="14" applyNumberFormat="1" applyFont="1" applyFill="1" applyBorder="1" applyAlignment="1">
      <alignment horizontal="center" vertical="center" wrapText="1"/>
    </xf>
    <xf numFmtId="3" fontId="4" fillId="9" borderId="4" xfId="0" applyNumberFormat="1" applyFont="1" applyFill="1" applyBorder="1" applyAlignment="1">
      <alignment horizontal="center" vertical="center" wrapText="1"/>
    </xf>
    <xf numFmtId="3" fontId="4" fillId="9" borderId="7" xfId="0" applyNumberFormat="1" applyFont="1" applyFill="1" applyBorder="1" applyAlignment="1">
      <alignment horizontal="center" vertical="center" wrapText="1"/>
    </xf>
    <xf numFmtId="3" fontId="4" fillId="0" borderId="7" xfId="14" applyNumberFormat="1" applyFont="1" applyFill="1" applyBorder="1" applyAlignment="1">
      <alignment horizontal="center" vertical="center" wrapText="1"/>
    </xf>
    <xf numFmtId="3" fontId="21" fillId="0" borderId="4" xfId="14" applyNumberFormat="1" applyFont="1" applyFill="1" applyBorder="1" applyAlignment="1">
      <alignment horizontal="center" vertical="center" wrapText="1"/>
    </xf>
    <xf numFmtId="3" fontId="21" fillId="0" borderId="7" xfId="14" applyNumberFormat="1" applyFont="1" applyFill="1" applyBorder="1" applyAlignment="1">
      <alignment horizontal="center" vertical="center" wrapText="1"/>
    </xf>
    <xf numFmtId="3" fontId="21" fillId="0" borderId="1" xfId="14" applyNumberFormat="1" applyFont="1" applyFill="1" applyBorder="1" applyAlignment="1">
      <alignment horizontal="center" vertical="center" wrapText="1"/>
    </xf>
    <xf numFmtId="3" fontId="4" fillId="0" borderId="8" xfId="5" applyNumberFormat="1" applyFont="1" applyFill="1" applyBorder="1" applyAlignment="1">
      <alignment horizontal="center" vertical="center" wrapText="1"/>
    </xf>
    <xf numFmtId="4" fontId="4" fillId="0" borderId="3" xfId="0" applyNumberFormat="1" applyFont="1" applyFill="1" applyBorder="1" applyAlignment="1">
      <alignment horizontal="center" vertical="center" wrapText="1"/>
    </xf>
    <xf numFmtId="3" fontId="4" fillId="0" borderId="4" xfId="1" applyFont="1" applyFill="1" applyBorder="1" applyAlignment="1">
      <alignment horizontal="center" vertical="center" wrapText="1"/>
    </xf>
    <xf numFmtId="3" fontId="4" fillId="0" borderId="7" xfId="1" applyFont="1" applyFill="1" applyBorder="1" applyAlignment="1">
      <alignment horizontal="center" vertical="center" wrapText="1"/>
    </xf>
    <xf numFmtId="3" fontId="4" fillId="0" borderId="1" xfId="1" applyFont="1" applyFill="1" applyBorder="1" applyAlignment="1">
      <alignment horizontal="center" vertical="center" wrapText="1"/>
    </xf>
    <xf numFmtId="4" fontId="4" fillId="0" borderId="4" xfId="0" applyNumberFormat="1" applyFont="1" applyFill="1" applyBorder="1" applyAlignment="1">
      <alignment horizontal="center" vertical="center" wrapText="1"/>
    </xf>
    <xf numFmtId="4" fontId="4" fillId="0" borderId="7" xfId="0" applyNumberFormat="1" applyFont="1" applyFill="1" applyBorder="1" applyAlignment="1">
      <alignment horizontal="center" vertical="center" wrapText="1"/>
    </xf>
    <xf numFmtId="4" fontId="4" fillId="0" borderId="1" xfId="0" applyNumberFormat="1" applyFont="1" applyFill="1" applyBorder="1" applyAlignment="1">
      <alignment horizontal="center" vertical="center" wrapText="1"/>
    </xf>
    <xf numFmtId="3" fontId="4" fillId="4" borderId="3" xfId="0" applyNumberFormat="1" applyFont="1" applyFill="1" applyBorder="1" applyAlignment="1">
      <alignment horizontal="center" vertical="center" wrapText="1"/>
    </xf>
    <xf numFmtId="3" fontId="4" fillId="4" borderId="3" xfId="20" applyNumberFormat="1" applyFont="1" applyFill="1" applyBorder="1" applyAlignment="1">
      <alignment horizontal="center" vertical="center" wrapText="1"/>
    </xf>
    <xf numFmtId="3" fontId="12" fillId="0" borderId="4" xfId="0" applyNumberFormat="1" applyFont="1" applyBorder="1" applyAlignment="1">
      <alignment horizontal="center" vertical="center" wrapText="1"/>
    </xf>
    <xf numFmtId="3" fontId="12" fillId="0" borderId="1" xfId="0" applyNumberFormat="1" applyFont="1" applyBorder="1" applyAlignment="1">
      <alignment horizontal="center" vertical="center" wrapText="1"/>
    </xf>
    <xf numFmtId="3" fontId="4" fillId="4" borderId="3" xfId="20" applyNumberFormat="1" applyFont="1" applyFill="1" applyBorder="1" applyAlignment="1">
      <alignment horizontal="center" vertical="center"/>
    </xf>
    <xf numFmtId="3" fontId="12" fillId="0" borderId="4" xfId="0" applyNumberFormat="1" applyFont="1" applyFill="1" applyBorder="1" applyAlignment="1">
      <alignment horizontal="center" vertical="center" wrapText="1"/>
    </xf>
    <xf numFmtId="3" fontId="12" fillId="0" borderId="1" xfId="0" applyNumberFormat="1" applyFont="1" applyFill="1" applyBorder="1" applyAlignment="1">
      <alignment horizontal="center" vertical="center" wrapText="1"/>
    </xf>
    <xf numFmtId="3" fontId="4" fillId="4" borderId="4" xfId="20" applyNumberFormat="1" applyFont="1" applyFill="1" applyBorder="1" applyAlignment="1">
      <alignment horizontal="center" vertical="center"/>
    </xf>
    <xf numFmtId="3" fontId="4" fillId="4" borderId="7" xfId="20" applyNumberFormat="1" applyFont="1" applyFill="1" applyBorder="1" applyAlignment="1">
      <alignment horizontal="center" vertical="center"/>
    </xf>
    <xf numFmtId="3" fontId="4" fillId="4" borderId="1" xfId="20" applyNumberFormat="1" applyFont="1" applyFill="1" applyBorder="1" applyAlignment="1">
      <alignment horizontal="center" vertical="center"/>
    </xf>
    <xf numFmtId="3" fontId="4" fillId="0" borderId="6" xfId="0" applyNumberFormat="1" applyFont="1" applyFill="1" applyBorder="1" applyAlignment="1">
      <alignment horizontal="center" vertical="center" wrapText="1"/>
    </xf>
    <xf numFmtId="3" fontId="4" fillId="0" borderId="13" xfId="0" applyNumberFormat="1" applyFont="1" applyFill="1" applyBorder="1" applyAlignment="1">
      <alignment horizontal="center" vertical="center" wrapText="1"/>
    </xf>
    <xf numFmtId="3" fontId="3" fillId="2" borderId="6" xfId="0" applyNumberFormat="1" applyFont="1" applyFill="1" applyBorder="1" applyAlignment="1">
      <alignment horizontal="center" vertical="center" wrapText="1"/>
    </xf>
    <xf numFmtId="3" fontId="3" fillId="2" borderId="15" xfId="0" applyNumberFormat="1" applyFont="1" applyFill="1" applyBorder="1" applyAlignment="1">
      <alignment horizontal="center" vertical="center" wrapText="1"/>
    </xf>
    <xf numFmtId="3" fontId="3" fillId="2" borderId="9" xfId="0" applyNumberFormat="1" applyFont="1" applyFill="1" applyBorder="1" applyAlignment="1">
      <alignment horizontal="center" vertical="center" wrapText="1"/>
    </xf>
    <xf numFmtId="3" fontId="3" fillId="2" borderId="13" xfId="0" applyNumberFormat="1" applyFont="1" applyFill="1" applyBorder="1" applyAlignment="1">
      <alignment horizontal="center" vertical="center" wrapText="1"/>
    </xf>
    <xf numFmtId="3" fontId="3" fillId="2" borderId="14" xfId="0" applyNumberFormat="1" applyFont="1" applyFill="1" applyBorder="1" applyAlignment="1">
      <alignment horizontal="center" vertical="center" wrapText="1"/>
    </xf>
    <xf numFmtId="3" fontId="3" fillId="2" borderId="10" xfId="0" applyNumberFormat="1" applyFont="1" applyFill="1" applyBorder="1" applyAlignment="1">
      <alignment horizontal="center" vertical="center" wrapText="1"/>
    </xf>
    <xf numFmtId="3" fontId="3" fillId="2" borderId="7" xfId="0" applyNumberFormat="1" applyFont="1" applyFill="1" applyBorder="1" applyAlignment="1">
      <alignment horizontal="center" vertical="center" wrapText="1"/>
    </xf>
    <xf numFmtId="0" fontId="19" fillId="0" borderId="0" xfId="19" applyFont="1" applyAlignment="1">
      <alignment horizontal="right" vertical="center" wrapText="1"/>
    </xf>
    <xf numFmtId="0" fontId="19" fillId="0" borderId="0" xfId="19" applyFont="1" applyAlignment="1">
      <alignment horizontal="center" vertical="center"/>
    </xf>
    <xf numFmtId="0" fontId="19" fillId="0" borderId="0" xfId="19" applyFont="1" applyAlignment="1">
      <alignment horizontal="center" vertical="center" wrapText="1"/>
    </xf>
    <xf numFmtId="0" fontId="5" fillId="0" borderId="0" xfId="0" applyFont="1" applyAlignment="1">
      <alignment horizontal="right" wrapText="1"/>
    </xf>
    <xf numFmtId="0" fontId="5" fillId="0" borderId="0" xfId="0" applyFont="1" applyAlignment="1">
      <alignment horizontal="center"/>
    </xf>
    <xf numFmtId="0" fontId="5" fillId="0" borderId="0" xfId="0" applyFont="1" applyAlignment="1">
      <alignment horizontal="center" wrapText="1"/>
    </xf>
    <xf numFmtId="0" fontId="3" fillId="12" borderId="15" xfId="0" applyFont="1" applyFill="1" applyBorder="1" applyAlignment="1">
      <alignment horizontal="center" vertical="center" wrapText="1"/>
    </xf>
    <xf numFmtId="0" fontId="3" fillId="12" borderId="9" xfId="0" applyFont="1" applyFill="1" applyBorder="1" applyAlignment="1">
      <alignment horizontal="center" vertical="center" wrapText="1"/>
    </xf>
    <xf numFmtId="0" fontId="3" fillId="12" borderId="14" xfId="0" applyFont="1" applyFill="1" applyBorder="1" applyAlignment="1">
      <alignment horizontal="center" vertical="center" wrapText="1"/>
    </xf>
    <xf numFmtId="0" fontId="3" fillId="12" borderId="10" xfId="0" applyFont="1" applyFill="1" applyBorder="1" applyAlignment="1">
      <alignment horizontal="center" vertical="center" wrapText="1"/>
    </xf>
    <xf numFmtId="3" fontId="3" fillId="0" borderId="14" xfId="0" applyNumberFormat="1" applyFont="1" applyBorder="1" applyAlignment="1">
      <alignment horizontal="center" vertical="center"/>
    </xf>
    <xf numFmtId="0" fontId="1" fillId="0" borderId="15" xfId="0" applyFont="1" applyBorder="1" applyAlignment="1">
      <alignment horizontal="center" vertical="center" wrapText="1"/>
    </xf>
    <xf numFmtId="3" fontId="2" fillId="4" borderId="0" xfId="0" applyNumberFormat="1" applyFont="1" applyFill="1" applyAlignment="1">
      <alignment horizontal="center" vertical="center" wrapText="1"/>
    </xf>
    <xf numFmtId="3" fontId="4" fillId="4" borderId="0" xfId="0" applyNumberFormat="1" applyFont="1" applyFill="1" applyAlignment="1">
      <alignment horizontal="center" vertical="center"/>
    </xf>
    <xf numFmtId="0" fontId="2" fillId="4" borderId="0" xfId="0" applyFont="1" applyFill="1" applyAlignment="1">
      <alignment vertical="center"/>
    </xf>
    <xf numFmtId="0" fontId="4" fillId="4" borderId="0" xfId="0" applyFont="1" applyFill="1" applyAlignment="1">
      <alignment vertical="center"/>
    </xf>
    <xf numFmtId="0" fontId="1" fillId="0" borderId="0" xfId="0"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vertical="center" wrapText="1"/>
    </xf>
    <xf numFmtId="0" fontId="0" fillId="0" borderId="3" xfId="0" applyBorder="1"/>
    <xf numFmtId="0" fontId="0" fillId="0" borderId="3" xfId="0" applyBorder="1" applyAlignment="1">
      <alignment horizontal="center" vertical="center" wrapText="1"/>
    </xf>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 xfId="0" applyFont="1" applyBorder="1" applyAlignment="1">
      <alignment horizontal="center" vertical="center" wrapText="1"/>
    </xf>
    <xf numFmtId="0" fontId="0" fillId="0" borderId="3" xfId="0" applyBorder="1" applyAlignment="1">
      <alignment vertical="center" wrapText="1"/>
    </xf>
    <xf numFmtId="0" fontId="1" fillId="0" borderId="3" xfId="0" applyFont="1" applyFill="1" applyBorder="1" applyAlignment="1">
      <alignment vertical="center" wrapText="1"/>
    </xf>
  </cellXfs>
  <cellStyles count="28">
    <cellStyle name="Estilo 1" xfId="1"/>
    <cellStyle name="Estilo 2" xfId="2"/>
    <cellStyle name="Estilo 3" xfId="3"/>
    <cellStyle name="Hipervínculo" xfId="4" builtinId="8"/>
    <cellStyle name="Moneda" xfId="5" builtinId="4"/>
    <cellStyle name="Moneda 2" xfId="6"/>
    <cellStyle name="Moneda 2 2" xfId="7"/>
    <cellStyle name="Moneda 2 2 2" xfId="8"/>
    <cellStyle name="Moneda 2 3" xfId="9"/>
    <cellStyle name="Moneda 3" xfId="10"/>
    <cellStyle name="Moneda 3 2" xfId="11"/>
    <cellStyle name="Moneda 4" xfId="12"/>
    <cellStyle name="Normal" xfId="0" builtinId="0"/>
    <cellStyle name="Normal 2" xfId="13"/>
    <cellStyle name="Normal 2 2" xfId="14"/>
    <cellStyle name="Normal 2 2 2" xfId="15"/>
    <cellStyle name="Normal 2 3" xfId="16"/>
    <cellStyle name="Normal 3" xfId="17"/>
    <cellStyle name="Normal 3 2" xfId="18"/>
    <cellStyle name="Normal 4" xfId="19"/>
    <cellStyle name="Porcentaje" xfId="20" builtinId="5"/>
    <cellStyle name="Porcentual 2" xfId="21"/>
    <cellStyle name="Porcentual 2 2" xfId="22"/>
    <cellStyle name="Porcentual 2 2 2" xfId="23"/>
    <cellStyle name="Porcentual 2 3" xfId="24"/>
    <cellStyle name="Porcentual 3" xfId="25"/>
    <cellStyle name="Porcentual 3 2" xfId="26"/>
    <cellStyle name="Porcentual 4" xfId="2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hyperlink" Target="mailto:webmaster@unal.edu.co"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272"/>
  <sheetViews>
    <sheetView showGridLines="0" topLeftCell="A4" zoomScaleSheetLayoutView="50" workbookViewId="0">
      <pane xSplit="4" ySplit="5" topLeftCell="AM9" activePane="bottomRight" state="frozen"/>
      <selection activeCell="A4" sqref="A4"/>
      <selection pane="topRight" activeCell="E4" sqref="E4"/>
      <selection pane="bottomLeft" activeCell="A9" sqref="A9"/>
      <selection pane="bottomRight" activeCell="A4" sqref="A1:IV65536"/>
    </sheetView>
  </sheetViews>
  <sheetFormatPr baseColWidth="10" defaultColWidth="10.85546875" defaultRowHeight="12"/>
  <cols>
    <col min="1" max="1" width="7.42578125" style="1" customWidth="1"/>
    <col min="2" max="2" width="9.42578125" style="1" customWidth="1"/>
    <col min="3" max="3" width="17.140625" style="1" customWidth="1"/>
    <col min="4" max="4" width="20.140625" style="1" customWidth="1"/>
    <col min="5" max="10" width="5.7109375" style="7" customWidth="1"/>
    <col min="11" max="12" width="6.85546875" style="9" hidden="1" customWidth="1"/>
    <col min="13" max="13" width="6.7109375" style="9" hidden="1" customWidth="1"/>
    <col min="14" max="14" width="8.140625" style="9" hidden="1" customWidth="1"/>
    <col min="15" max="16" width="6.85546875" style="9" hidden="1" customWidth="1"/>
    <col min="17" max="17" width="6.7109375" style="9" hidden="1" customWidth="1"/>
    <col min="18" max="18" width="8.140625" style="9" hidden="1" customWidth="1"/>
    <col min="19" max="20" width="6.85546875" style="9" hidden="1" customWidth="1"/>
    <col min="21" max="21" width="6.7109375" style="9" hidden="1" customWidth="1"/>
    <col min="22" max="22" width="8.140625" style="9" hidden="1" customWidth="1"/>
    <col min="23" max="24" width="6.85546875" style="9" hidden="1" customWidth="1"/>
    <col min="25" max="25" width="6.7109375" style="9" hidden="1" customWidth="1"/>
    <col min="26" max="26" width="8.140625" style="9" hidden="1" customWidth="1"/>
    <col min="27" max="28" width="6.85546875" style="9" hidden="1" customWidth="1"/>
    <col min="29" max="29" width="6.7109375" style="9" hidden="1" customWidth="1"/>
    <col min="30" max="30" width="8.140625" style="9" hidden="1" customWidth="1"/>
    <col min="31" max="32" width="6.85546875" style="9" hidden="1" customWidth="1"/>
    <col min="33" max="33" width="6.7109375" style="9" hidden="1" customWidth="1"/>
    <col min="34" max="34" width="8.140625" style="9" hidden="1" customWidth="1"/>
    <col min="35" max="36" width="6.85546875" style="9" hidden="1" customWidth="1"/>
    <col min="37" max="37" width="6.7109375" style="9" hidden="1" customWidth="1"/>
    <col min="38" max="38" width="8.140625" style="9" hidden="1" customWidth="1"/>
    <col min="39" max="39" width="20.85546875" style="7" customWidth="1"/>
    <col min="40" max="40" width="20.140625" style="108" customWidth="1"/>
    <col min="41" max="41" width="33.42578125" style="2" customWidth="1"/>
    <col min="42" max="44" width="12.28515625" style="164" bestFit="1" customWidth="1"/>
    <col min="45" max="45" width="15.28515625" style="143" bestFit="1" customWidth="1"/>
    <col min="46" max="46" width="12.42578125" style="143" bestFit="1" customWidth="1"/>
    <col min="47" max="47" width="15" style="36" bestFit="1" customWidth="1"/>
    <col min="48" max="48" width="12.42578125" style="36" bestFit="1" customWidth="1"/>
    <col min="49" max="49" width="15" style="36" bestFit="1" customWidth="1"/>
    <col min="50" max="50" width="12.42578125" style="36" bestFit="1" customWidth="1"/>
    <col min="51" max="51" width="15.7109375" style="9" customWidth="1"/>
    <col min="52" max="52" width="16.28515625" style="9" bestFit="1" customWidth="1"/>
    <col min="53" max="53" width="16.140625" style="36" bestFit="1" customWidth="1"/>
    <col min="54" max="54" width="16.42578125" style="36" bestFit="1" customWidth="1"/>
    <col min="55" max="58" width="5.85546875" style="21" customWidth="1"/>
    <col min="59" max="65" width="5.85546875" style="9" customWidth="1"/>
    <col min="66" max="66" width="16.85546875" style="36" customWidth="1"/>
    <col min="67" max="67" width="19.42578125" style="36" customWidth="1"/>
    <col min="68" max="68" width="18.42578125" style="36" customWidth="1"/>
    <col min="69" max="69" width="13.140625" style="21" customWidth="1"/>
    <col min="70" max="73" width="13.42578125" style="21" customWidth="1"/>
    <col min="74" max="74" width="16.85546875" style="36" customWidth="1"/>
    <col min="75" max="75" width="16.42578125" style="36" customWidth="1"/>
    <col min="76" max="76" width="18.42578125" style="36" customWidth="1"/>
    <col min="77" max="77" width="13.140625" style="21" customWidth="1"/>
    <col min="78" max="79" width="13.42578125" style="21" customWidth="1"/>
    <col min="80" max="80" width="16.85546875" style="36" customWidth="1"/>
    <col min="81" max="81" width="16.42578125" style="36" customWidth="1"/>
    <col min="82" max="82" width="16.42578125" style="36" bestFit="1" customWidth="1"/>
    <col min="83" max="83" width="17" style="21" hidden="1" customWidth="1"/>
    <col min="84" max="84" width="15" style="21" hidden="1" customWidth="1"/>
    <col min="85" max="85" width="16.85546875" style="36" hidden="1" customWidth="1"/>
    <col min="86" max="86" width="16.42578125" style="36" customWidth="1"/>
    <col min="87" max="87" width="13.140625" style="21" bestFit="1" customWidth="1"/>
    <col min="88" max="88" width="20.85546875" style="1" customWidth="1"/>
    <col min="89" max="89" width="24.42578125" style="1" customWidth="1"/>
    <col min="90" max="90" width="16.28515625" style="1" bestFit="1" customWidth="1"/>
    <col min="91" max="16384" width="10.85546875" style="1"/>
  </cols>
  <sheetData>
    <row r="1" spans="1:89" ht="12" customHeight="1">
      <c r="A1" s="492" t="s">
        <v>6</v>
      </c>
      <c r="B1" s="492"/>
      <c r="C1" s="492"/>
      <c r="D1" s="492"/>
      <c r="E1" s="492"/>
      <c r="F1" s="492"/>
      <c r="G1" s="492"/>
      <c r="H1" s="492"/>
      <c r="I1" s="492"/>
      <c r="J1" s="492"/>
      <c r="K1" s="492"/>
      <c r="L1" s="492"/>
      <c r="M1" s="492"/>
      <c r="N1" s="492"/>
      <c r="O1" s="492"/>
      <c r="P1" s="492"/>
      <c r="Q1" s="492"/>
      <c r="R1" s="492"/>
      <c r="S1" s="492"/>
      <c r="T1" s="492"/>
      <c r="U1" s="492"/>
      <c r="V1" s="492"/>
      <c r="W1" s="492"/>
      <c r="X1" s="492"/>
      <c r="Y1" s="492"/>
      <c r="Z1" s="492"/>
      <c r="AA1" s="492"/>
      <c r="AB1" s="492"/>
      <c r="AC1" s="492"/>
      <c r="AD1" s="492"/>
      <c r="AE1" s="492"/>
      <c r="AF1" s="492"/>
      <c r="AG1" s="492"/>
      <c r="AH1" s="492"/>
      <c r="AI1" s="492"/>
      <c r="AJ1" s="492"/>
      <c r="AK1" s="492"/>
      <c r="AL1" s="492"/>
      <c r="AM1" s="492"/>
      <c r="AN1" s="492"/>
      <c r="AO1" s="492"/>
      <c r="AP1" s="492"/>
      <c r="AQ1" s="492"/>
      <c r="AR1" s="492"/>
      <c r="AS1" s="492"/>
      <c r="AT1" s="492"/>
      <c r="AU1" s="492"/>
      <c r="AV1" s="492"/>
      <c r="AW1" s="492"/>
      <c r="AX1" s="492"/>
      <c r="AY1" s="492"/>
      <c r="AZ1" s="492"/>
      <c r="BA1" s="492"/>
      <c r="BB1" s="492"/>
      <c r="BC1" s="492"/>
      <c r="BD1" s="492"/>
      <c r="BE1" s="492"/>
      <c r="BF1" s="492"/>
      <c r="BG1" s="492"/>
      <c r="BH1" s="492"/>
      <c r="BI1" s="492"/>
      <c r="BJ1" s="492"/>
      <c r="BK1" s="492"/>
      <c r="BL1" s="492"/>
      <c r="BM1" s="492"/>
      <c r="BN1" s="492"/>
      <c r="BO1" s="492"/>
      <c r="BP1" s="7"/>
      <c r="BQ1" s="1"/>
      <c r="BR1" s="1"/>
      <c r="BS1" s="1"/>
      <c r="BT1" s="1"/>
      <c r="BU1" s="1"/>
      <c r="BV1" s="1"/>
      <c r="BW1" s="1"/>
      <c r="BX1" s="7"/>
      <c r="BY1" s="1"/>
      <c r="BZ1" s="1"/>
      <c r="CA1" s="1"/>
      <c r="CB1" s="1"/>
      <c r="CC1" s="1"/>
      <c r="CD1" s="7"/>
      <c r="CE1" s="1"/>
      <c r="CF1" s="1"/>
      <c r="CG1" s="1"/>
      <c r="CH1" s="1"/>
      <c r="CI1" s="1"/>
    </row>
    <row r="2" spans="1:89" ht="12" customHeight="1">
      <c r="A2" s="492" t="s">
        <v>21</v>
      </c>
      <c r="B2" s="492"/>
      <c r="C2" s="492"/>
      <c r="D2" s="492"/>
      <c r="E2" s="492"/>
      <c r="F2" s="492"/>
      <c r="G2" s="492"/>
      <c r="H2" s="492"/>
      <c r="I2" s="492"/>
      <c r="J2" s="492"/>
      <c r="K2" s="492"/>
      <c r="L2" s="492"/>
      <c r="M2" s="492"/>
      <c r="N2" s="492"/>
      <c r="O2" s="492"/>
      <c r="P2" s="492"/>
      <c r="Q2" s="492"/>
      <c r="R2" s="492"/>
      <c r="S2" s="492"/>
      <c r="T2" s="492"/>
      <c r="U2" s="492"/>
      <c r="V2" s="492"/>
      <c r="W2" s="492"/>
      <c r="X2" s="492"/>
      <c r="Y2" s="492"/>
      <c r="Z2" s="492"/>
      <c r="AA2" s="492"/>
      <c r="AB2" s="492"/>
      <c r="AC2" s="492"/>
      <c r="AD2" s="492"/>
      <c r="AE2" s="492"/>
      <c r="AF2" s="492"/>
      <c r="AG2" s="492"/>
      <c r="AH2" s="492"/>
      <c r="AI2" s="492"/>
      <c r="AJ2" s="492"/>
      <c r="AK2" s="492"/>
      <c r="AL2" s="492"/>
      <c r="AM2" s="492"/>
      <c r="AN2" s="492"/>
      <c r="AO2" s="492"/>
      <c r="AP2" s="492"/>
      <c r="AQ2" s="492"/>
      <c r="AR2" s="492"/>
      <c r="AS2" s="492"/>
      <c r="AT2" s="492"/>
      <c r="AU2" s="492"/>
      <c r="AV2" s="492"/>
      <c r="AW2" s="492"/>
      <c r="AX2" s="492"/>
      <c r="AY2" s="492"/>
      <c r="AZ2" s="492"/>
      <c r="BA2" s="492"/>
      <c r="BB2" s="492"/>
      <c r="BC2" s="492"/>
      <c r="BD2" s="492"/>
      <c r="BE2" s="492"/>
      <c r="BF2" s="492"/>
      <c r="BG2" s="492"/>
      <c r="BH2" s="492"/>
      <c r="BI2" s="492"/>
      <c r="BJ2" s="492"/>
      <c r="BK2" s="492"/>
      <c r="BL2" s="492"/>
      <c r="BM2" s="492"/>
      <c r="BN2" s="492"/>
      <c r="BO2" s="492"/>
      <c r="BP2" s="7"/>
      <c r="BQ2" s="1"/>
      <c r="BR2" s="1"/>
      <c r="BS2" s="1"/>
      <c r="BT2" s="1"/>
      <c r="BU2" s="1"/>
      <c r="BV2" s="1"/>
      <c r="BW2" s="1"/>
      <c r="BX2" s="7"/>
      <c r="BY2" s="1"/>
      <c r="BZ2" s="1"/>
      <c r="CA2" s="1"/>
      <c r="CB2" s="1"/>
      <c r="CC2" s="1"/>
      <c r="CD2" s="7"/>
      <c r="CE2" s="1"/>
      <c r="CF2" s="1"/>
      <c r="CG2" s="1"/>
      <c r="CH2" s="1"/>
      <c r="CI2" s="1"/>
    </row>
    <row r="3" spans="1:89" ht="12" customHeight="1">
      <c r="A3" s="492" t="s">
        <v>22</v>
      </c>
      <c r="B3" s="492"/>
      <c r="C3" s="492"/>
      <c r="D3" s="492"/>
      <c r="E3" s="492"/>
      <c r="F3" s="492"/>
      <c r="G3" s="492"/>
      <c r="H3" s="492"/>
      <c r="I3" s="492"/>
      <c r="J3" s="492"/>
      <c r="K3" s="492"/>
      <c r="L3" s="492"/>
      <c r="M3" s="492"/>
      <c r="N3" s="492"/>
      <c r="O3" s="492"/>
      <c r="P3" s="492"/>
      <c r="Q3" s="492"/>
      <c r="R3" s="492"/>
      <c r="S3" s="492"/>
      <c r="T3" s="492"/>
      <c r="U3" s="492"/>
      <c r="V3" s="492"/>
      <c r="W3" s="492"/>
      <c r="X3" s="492"/>
      <c r="Y3" s="492"/>
      <c r="Z3" s="492"/>
      <c r="AA3" s="492"/>
      <c r="AB3" s="492"/>
      <c r="AC3" s="492"/>
      <c r="AD3" s="492"/>
      <c r="AE3" s="492"/>
      <c r="AF3" s="492"/>
      <c r="AG3" s="492"/>
      <c r="AH3" s="492"/>
      <c r="AI3" s="492"/>
      <c r="AJ3" s="492"/>
      <c r="AK3" s="492"/>
      <c r="AL3" s="492"/>
      <c r="AM3" s="492"/>
      <c r="AN3" s="492"/>
      <c r="AO3" s="492"/>
      <c r="AP3" s="492"/>
      <c r="AQ3" s="492"/>
      <c r="AR3" s="492"/>
      <c r="AS3" s="492"/>
      <c r="AT3" s="492"/>
      <c r="AU3" s="492"/>
      <c r="AV3" s="492"/>
      <c r="AW3" s="492"/>
      <c r="AX3" s="492"/>
      <c r="AY3" s="492"/>
      <c r="AZ3" s="492"/>
      <c r="BA3" s="492"/>
      <c r="BB3" s="492"/>
      <c r="BC3" s="492"/>
      <c r="BD3" s="492"/>
      <c r="BE3" s="492"/>
      <c r="BF3" s="492"/>
      <c r="BG3" s="492"/>
      <c r="BH3" s="492"/>
      <c r="BI3" s="492"/>
      <c r="BJ3" s="492"/>
      <c r="BK3" s="492"/>
      <c r="BL3" s="492"/>
      <c r="BM3" s="492"/>
      <c r="BN3" s="492"/>
      <c r="BO3" s="492"/>
      <c r="BP3" s="7"/>
      <c r="BQ3" s="1"/>
      <c r="BR3" s="1"/>
      <c r="BS3" s="1"/>
      <c r="BT3" s="1"/>
      <c r="BU3" s="1"/>
      <c r="BV3" s="1"/>
      <c r="BW3" s="1"/>
      <c r="BX3" s="7"/>
      <c r="BY3" s="1"/>
      <c r="BZ3" s="1"/>
      <c r="CA3" s="1"/>
      <c r="CB3" s="1"/>
      <c r="CC3" s="1"/>
      <c r="CD3" s="7"/>
      <c r="CE3" s="1"/>
      <c r="CF3" s="1"/>
      <c r="CG3" s="1"/>
      <c r="CH3" s="1"/>
      <c r="CI3" s="1"/>
    </row>
    <row r="4" spans="1:89" ht="12" customHeight="1">
      <c r="A4" s="6" t="s">
        <v>77</v>
      </c>
      <c r="D4" s="2"/>
      <c r="AN4" s="7"/>
    </row>
    <row r="5" spans="1:89" ht="11.25" customHeight="1">
      <c r="A5" s="6" t="s">
        <v>78</v>
      </c>
    </row>
    <row r="6" spans="1:89" s="7" customFormat="1" ht="12.75" customHeight="1">
      <c r="A6" s="495" t="s">
        <v>0</v>
      </c>
      <c r="B6" s="495"/>
      <c r="C6" s="502" t="s">
        <v>8</v>
      </c>
      <c r="D6" s="495" t="s">
        <v>1</v>
      </c>
      <c r="E6" s="495"/>
      <c r="F6" s="495"/>
      <c r="G6" s="495"/>
      <c r="H6" s="495"/>
      <c r="I6" s="495"/>
      <c r="J6" s="495"/>
      <c r="K6" s="496" t="s">
        <v>495</v>
      </c>
      <c r="L6" s="497"/>
      <c r="M6" s="497"/>
      <c r="N6" s="498"/>
      <c r="O6" s="496" t="s">
        <v>496</v>
      </c>
      <c r="P6" s="497"/>
      <c r="Q6" s="497"/>
      <c r="R6" s="498"/>
      <c r="S6" s="496" t="s">
        <v>497</v>
      </c>
      <c r="T6" s="497"/>
      <c r="U6" s="497"/>
      <c r="V6" s="498"/>
      <c r="W6" s="496" t="s">
        <v>498</v>
      </c>
      <c r="X6" s="497"/>
      <c r="Y6" s="497"/>
      <c r="Z6" s="498"/>
      <c r="AA6" s="496" t="s">
        <v>499</v>
      </c>
      <c r="AB6" s="497"/>
      <c r="AC6" s="497"/>
      <c r="AD6" s="498"/>
      <c r="AE6" s="496" t="s">
        <v>500</v>
      </c>
      <c r="AF6" s="497"/>
      <c r="AG6" s="497"/>
      <c r="AH6" s="498"/>
      <c r="AI6" s="496" t="s">
        <v>501</v>
      </c>
      <c r="AJ6" s="497"/>
      <c r="AK6" s="497"/>
      <c r="AL6" s="498"/>
      <c r="AM6" s="495" t="s">
        <v>20</v>
      </c>
      <c r="AN6" s="495" t="s">
        <v>5</v>
      </c>
      <c r="AO6" s="495" t="s">
        <v>7</v>
      </c>
      <c r="AP6" s="505" t="s">
        <v>1</v>
      </c>
      <c r="AQ6" s="506"/>
      <c r="AR6" s="507"/>
      <c r="AS6" s="494" t="s">
        <v>23</v>
      </c>
      <c r="AT6" s="494"/>
      <c r="AU6" s="494"/>
      <c r="AV6" s="494"/>
      <c r="AW6" s="494"/>
      <c r="AX6" s="494"/>
      <c r="AY6" s="493" t="s">
        <v>9</v>
      </c>
      <c r="AZ6" s="493"/>
      <c r="BA6" s="493" t="s">
        <v>153</v>
      </c>
      <c r="BB6" s="493"/>
      <c r="BC6" s="493"/>
      <c r="BD6" s="493"/>
      <c r="BE6" s="493"/>
      <c r="BF6" s="493"/>
      <c r="BG6" s="493"/>
      <c r="BH6" s="493"/>
      <c r="BI6" s="493"/>
      <c r="BJ6" s="493"/>
      <c r="BK6" s="493"/>
      <c r="BL6" s="493"/>
      <c r="BM6" s="493"/>
      <c r="BN6" s="428" t="s">
        <v>141</v>
      </c>
      <c r="BO6" s="20"/>
      <c r="BP6" s="427" t="s">
        <v>153</v>
      </c>
      <c r="BQ6" s="427"/>
      <c r="BR6" s="427"/>
      <c r="BS6" s="427"/>
      <c r="BT6" s="427"/>
      <c r="BU6" s="427"/>
      <c r="BV6" s="428" t="s">
        <v>144</v>
      </c>
      <c r="BW6" s="20"/>
      <c r="BX6" s="51"/>
      <c r="BY6" s="51"/>
      <c r="BZ6" s="51"/>
      <c r="CA6" s="51"/>
      <c r="CB6" s="428" t="s">
        <v>147</v>
      </c>
      <c r="CC6" s="20"/>
      <c r="CD6" s="51"/>
      <c r="CE6" s="51"/>
      <c r="CF6" s="51"/>
      <c r="CG6" s="428" t="s">
        <v>150</v>
      </c>
      <c r="CH6" s="20"/>
      <c r="CI6" s="51"/>
      <c r="CJ6" s="51"/>
    </row>
    <row r="7" spans="1:89" s="7" customFormat="1" ht="12.75" customHeight="1">
      <c r="A7" s="495"/>
      <c r="B7" s="495"/>
      <c r="C7" s="503"/>
      <c r="D7" s="495"/>
      <c r="E7" s="495"/>
      <c r="F7" s="495"/>
      <c r="G7" s="495"/>
      <c r="H7" s="495"/>
      <c r="I7" s="495"/>
      <c r="J7" s="495"/>
      <c r="K7" s="499"/>
      <c r="L7" s="500"/>
      <c r="M7" s="500"/>
      <c r="N7" s="501"/>
      <c r="O7" s="499"/>
      <c r="P7" s="500"/>
      <c r="Q7" s="500"/>
      <c r="R7" s="501"/>
      <c r="S7" s="499"/>
      <c r="T7" s="500"/>
      <c r="U7" s="500"/>
      <c r="V7" s="501"/>
      <c r="W7" s="499"/>
      <c r="X7" s="500"/>
      <c r="Y7" s="500"/>
      <c r="Z7" s="501"/>
      <c r="AA7" s="499"/>
      <c r="AB7" s="500"/>
      <c r="AC7" s="500"/>
      <c r="AD7" s="501"/>
      <c r="AE7" s="499"/>
      <c r="AF7" s="500"/>
      <c r="AG7" s="500"/>
      <c r="AH7" s="501"/>
      <c r="AI7" s="499"/>
      <c r="AJ7" s="500"/>
      <c r="AK7" s="500"/>
      <c r="AL7" s="501"/>
      <c r="AM7" s="495"/>
      <c r="AN7" s="495"/>
      <c r="AO7" s="495"/>
      <c r="AP7" s="508"/>
      <c r="AQ7" s="509"/>
      <c r="AR7" s="510"/>
      <c r="AS7" s="494">
        <v>2013</v>
      </c>
      <c r="AT7" s="494"/>
      <c r="AU7" s="494">
        <v>2014</v>
      </c>
      <c r="AV7" s="494"/>
      <c r="AW7" s="494">
        <v>2015</v>
      </c>
      <c r="AX7" s="494"/>
      <c r="AY7" s="493"/>
      <c r="AZ7" s="493"/>
      <c r="BA7" s="493"/>
      <c r="BB7" s="493"/>
      <c r="BC7" s="493"/>
      <c r="BD7" s="493"/>
      <c r="BE7" s="493"/>
      <c r="BF7" s="493"/>
      <c r="BG7" s="493"/>
      <c r="BH7" s="493"/>
      <c r="BI7" s="493"/>
      <c r="BJ7" s="493"/>
      <c r="BK7" s="493"/>
      <c r="BL7" s="493"/>
      <c r="BM7" s="493"/>
      <c r="BN7" s="428"/>
      <c r="BO7" s="428" t="s">
        <v>142</v>
      </c>
      <c r="BP7" s="427"/>
      <c r="BQ7" s="427"/>
      <c r="BR7" s="427"/>
      <c r="BS7" s="427"/>
      <c r="BT7" s="427"/>
      <c r="BU7" s="427"/>
      <c r="BV7" s="428"/>
      <c r="BW7" s="428" t="s">
        <v>145</v>
      </c>
      <c r="BX7" s="427" t="s">
        <v>153</v>
      </c>
      <c r="BY7" s="427"/>
      <c r="BZ7" s="427"/>
      <c r="CA7" s="427"/>
      <c r="CB7" s="428"/>
      <c r="CC7" s="428" t="s">
        <v>148</v>
      </c>
      <c r="CD7" s="427" t="s">
        <v>153</v>
      </c>
      <c r="CE7" s="427"/>
      <c r="CF7" s="427"/>
      <c r="CG7" s="428"/>
      <c r="CH7" s="428" t="s">
        <v>151</v>
      </c>
      <c r="CI7" s="425" t="s">
        <v>215</v>
      </c>
      <c r="CJ7" s="428" t="s">
        <v>152</v>
      </c>
      <c r="CK7" s="63"/>
    </row>
    <row r="8" spans="1:89" s="7" customFormat="1" ht="27" customHeight="1">
      <c r="A8" s="3" t="s">
        <v>2</v>
      </c>
      <c r="B8" s="3" t="s">
        <v>3</v>
      </c>
      <c r="C8" s="504"/>
      <c r="D8" s="3" t="s">
        <v>4</v>
      </c>
      <c r="E8" s="3" t="s">
        <v>14</v>
      </c>
      <c r="F8" s="3" t="s">
        <v>15</v>
      </c>
      <c r="G8" s="3" t="s">
        <v>16</v>
      </c>
      <c r="H8" s="3" t="s">
        <v>17</v>
      </c>
      <c r="I8" s="3" t="s">
        <v>18</v>
      </c>
      <c r="J8" s="3" t="s">
        <v>19</v>
      </c>
      <c r="K8" s="91">
        <v>2013</v>
      </c>
      <c r="L8" s="91">
        <v>2014</v>
      </c>
      <c r="M8" s="91">
        <v>2015</v>
      </c>
      <c r="N8" s="91" t="s">
        <v>9</v>
      </c>
      <c r="O8" s="91">
        <v>2013</v>
      </c>
      <c r="P8" s="91">
        <v>2014</v>
      </c>
      <c r="Q8" s="91">
        <v>2015</v>
      </c>
      <c r="R8" s="91" t="s">
        <v>9</v>
      </c>
      <c r="S8" s="91">
        <v>2013</v>
      </c>
      <c r="T8" s="91">
        <v>2014</v>
      </c>
      <c r="U8" s="91">
        <v>2015</v>
      </c>
      <c r="V8" s="91" t="s">
        <v>9</v>
      </c>
      <c r="W8" s="91">
        <v>2013</v>
      </c>
      <c r="X8" s="91">
        <v>2014</v>
      </c>
      <c r="Y8" s="91">
        <v>2015</v>
      </c>
      <c r="Z8" s="91" t="s">
        <v>9</v>
      </c>
      <c r="AA8" s="91">
        <v>2013</v>
      </c>
      <c r="AB8" s="91">
        <v>2014</v>
      </c>
      <c r="AC8" s="91">
        <v>2015</v>
      </c>
      <c r="AD8" s="91" t="s">
        <v>9</v>
      </c>
      <c r="AE8" s="91">
        <v>2013</v>
      </c>
      <c r="AF8" s="91">
        <v>2014</v>
      </c>
      <c r="AG8" s="91">
        <v>2015</v>
      </c>
      <c r="AH8" s="91" t="s">
        <v>9</v>
      </c>
      <c r="AI8" s="91">
        <v>2013</v>
      </c>
      <c r="AJ8" s="91">
        <v>2014</v>
      </c>
      <c r="AK8" s="91">
        <v>2015</v>
      </c>
      <c r="AL8" s="91" t="s">
        <v>9</v>
      </c>
      <c r="AM8" s="495"/>
      <c r="AN8" s="495"/>
      <c r="AO8" s="495"/>
      <c r="AP8" s="3">
        <v>2013</v>
      </c>
      <c r="AQ8" s="3">
        <v>2014</v>
      </c>
      <c r="AR8" s="3">
        <v>2015</v>
      </c>
      <c r="AS8" s="52" t="s">
        <v>181</v>
      </c>
      <c r="AT8" s="91" t="s">
        <v>182</v>
      </c>
      <c r="AU8" s="52" t="s">
        <v>181</v>
      </c>
      <c r="AV8" s="91" t="s">
        <v>182</v>
      </c>
      <c r="AW8" s="52" t="s">
        <v>181</v>
      </c>
      <c r="AX8" s="91" t="s">
        <v>182</v>
      </c>
      <c r="AY8" s="52" t="s">
        <v>181</v>
      </c>
      <c r="AZ8" s="91" t="s">
        <v>182</v>
      </c>
      <c r="BA8" s="38" t="s">
        <v>133</v>
      </c>
      <c r="BB8" s="38" t="s">
        <v>121</v>
      </c>
      <c r="BC8" s="38" t="s">
        <v>122</v>
      </c>
      <c r="BD8" s="38" t="s">
        <v>123</v>
      </c>
      <c r="BE8" s="38" t="s">
        <v>124</v>
      </c>
      <c r="BF8" s="38" t="s">
        <v>125</v>
      </c>
      <c r="BG8" s="38" t="s">
        <v>126</v>
      </c>
      <c r="BH8" s="38" t="s">
        <v>127</v>
      </c>
      <c r="BI8" s="38" t="s">
        <v>128</v>
      </c>
      <c r="BJ8" s="38" t="s">
        <v>129</v>
      </c>
      <c r="BK8" s="38" t="s">
        <v>130</v>
      </c>
      <c r="BL8" s="38" t="s">
        <v>131</v>
      </c>
      <c r="BM8" s="38" t="s">
        <v>132</v>
      </c>
      <c r="BN8" s="428"/>
      <c r="BO8" s="428"/>
      <c r="BP8" s="40" t="s">
        <v>143</v>
      </c>
      <c r="BQ8" s="38" t="s">
        <v>122</v>
      </c>
      <c r="BR8" s="38" t="s">
        <v>123</v>
      </c>
      <c r="BS8" s="38" t="s">
        <v>124</v>
      </c>
      <c r="BT8" s="38" t="s">
        <v>125</v>
      </c>
      <c r="BU8" s="38" t="s">
        <v>126</v>
      </c>
      <c r="BV8" s="428"/>
      <c r="BW8" s="428"/>
      <c r="BX8" s="60" t="s">
        <v>146</v>
      </c>
      <c r="BY8" s="38" t="s">
        <v>122</v>
      </c>
      <c r="BZ8" s="38" t="s">
        <v>123</v>
      </c>
      <c r="CA8" s="38" t="s">
        <v>124</v>
      </c>
      <c r="CB8" s="428"/>
      <c r="CC8" s="428"/>
      <c r="CD8" s="67" t="s">
        <v>149</v>
      </c>
      <c r="CE8" s="99" t="s">
        <v>216</v>
      </c>
      <c r="CF8" s="99" t="s">
        <v>217</v>
      </c>
      <c r="CG8" s="428"/>
      <c r="CH8" s="428"/>
      <c r="CI8" s="426"/>
      <c r="CJ8" s="428"/>
      <c r="CK8" s="64" t="s">
        <v>155</v>
      </c>
    </row>
    <row r="9" spans="1:89" s="4" customFormat="1" ht="29.25" customHeight="1">
      <c r="A9" s="442" t="s">
        <v>25</v>
      </c>
      <c r="B9" s="332" t="s">
        <v>427</v>
      </c>
      <c r="C9" s="379" t="s">
        <v>26</v>
      </c>
      <c r="D9" s="388" t="s">
        <v>79</v>
      </c>
      <c r="E9" s="325"/>
      <c r="F9" s="325">
        <v>2</v>
      </c>
      <c r="G9" s="325"/>
      <c r="H9" s="325">
        <v>4</v>
      </c>
      <c r="I9" s="325"/>
      <c r="J9" s="325">
        <v>3</v>
      </c>
      <c r="K9" s="511">
        <v>1</v>
      </c>
      <c r="L9" s="511">
        <v>2</v>
      </c>
      <c r="M9" s="511">
        <v>1</v>
      </c>
      <c r="N9" s="511"/>
      <c r="O9" s="511">
        <v>1</v>
      </c>
      <c r="P9" s="511">
        <v>1</v>
      </c>
      <c r="Q9" s="511">
        <v>1</v>
      </c>
      <c r="R9" s="511">
        <f>SUM(O9:Q13)</f>
        <v>3</v>
      </c>
      <c r="S9" s="511"/>
      <c r="T9" s="511"/>
      <c r="U9" s="511"/>
      <c r="V9" s="511"/>
      <c r="W9" s="511"/>
      <c r="X9" s="511"/>
      <c r="Y9" s="511"/>
      <c r="Z9" s="511"/>
      <c r="AA9" s="511"/>
      <c r="AB9" s="511"/>
      <c r="AC9" s="511"/>
      <c r="AD9" s="511"/>
      <c r="AE9" s="511"/>
      <c r="AF9" s="511"/>
      <c r="AG9" s="511"/>
      <c r="AH9" s="511"/>
      <c r="AI9" s="511"/>
      <c r="AJ9" s="511"/>
      <c r="AK9" s="511"/>
      <c r="AL9" s="511"/>
      <c r="AM9" s="325" t="s">
        <v>475</v>
      </c>
      <c r="AN9" s="325" t="s">
        <v>107</v>
      </c>
      <c r="AO9" s="127" t="s">
        <v>80</v>
      </c>
      <c r="AP9" s="311">
        <v>2</v>
      </c>
      <c r="AQ9" s="311">
        <v>4</v>
      </c>
      <c r="AR9" s="311">
        <v>3</v>
      </c>
      <c r="AS9" s="453">
        <v>459352000</v>
      </c>
      <c r="AT9" s="454"/>
      <c r="AU9" s="447">
        <v>840052000</v>
      </c>
      <c r="AV9" s="448"/>
      <c r="AW9" s="447">
        <v>685856060</v>
      </c>
      <c r="AX9" s="448"/>
      <c r="AY9" s="533">
        <f>SUM(AS9:AX13)</f>
        <v>1985260060</v>
      </c>
      <c r="AZ9" s="534"/>
      <c r="BA9" s="341">
        <v>2000000000</v>
      </c>
      <c r="BB9" s="341">
        <v>295515000</v>
      </c>
      <c r="BC9" s="341"/>
      <c r="BD9" s="341"/>
      <c r="BE9" s="341"/>
      <c r="BF9" s="341"/>
      <c r="BG9" s="341"/>
      <c r="BH9" s="310"/>
      <c r="BI9" s="310"/>
      <c r="BJ9" s="310"/>
      <c r="BK9" s="310"/>
      <c r="BL9" s="310"/>
      <c r="BM9" s="310"/>
      <c r="BN9" s="310">
        <f>SUM(BC9:BM12)</f>
        <v>0</v>
      </c>
      <c r="BO9" s="310">
        <f>BN9+BB9</f>
        <v>295515000</v>
      </c>
      <c r="BP9" s="401">
        <v>600000000</v>
      </c>
      <c r="BQ9" s="341"/>
      <c r="BR9" s="341"/>
      <c r="BS9" s="341"/>
      <c r="BT9" s="341"/>
      <c r="BU9" s="341"/>
      <c r="BV9" s="310">
        <f>SUM(BQ9:BU12)</f>
        <v>0</v>
      </c>
      <c r="BW9" s="310">
        <f>BV9+BP9</f>
        <v>600000000</v>
      </c>
      <c r="BX9" s="341">
        <v>30000000</v>
      </c>
      <c r="BY9" s="341"/>
      <c r="BZ9" s="341"/>
      <c r="CA9" s="341"/>
      <c r="CB9" s="310">
        <f>SUM(BY9:CA12)</f>
        <v>0</v>
      </c>
      <c r="CC9" s="310">
        <f>CB9+BX9</f>
        <v>30000000</v>
      </c>
      <c r="CD9" s="341"/>
      <c r="CE9" s="341"/>
      <c r="CF9" s="341"/>
      <c r="CG9" s="310">
        <f>SUM(CE9:CF12)</f>
        <v>0</v>
      </c>
      <c r="CH9" s="310">
        <f>CG9+CD9</f>
        <v>0</v>
      </c>
      <c r="CI9" s="341"/>
      <c r="CJ9" s="310">
        <f>CH9+CC9+BW9+BO9+CI9</f>
        <v>925515000</v>
      </c>
      <c r="CK9" s="310"/>
    </row>
    <row r="10" spans="1:89" s="4" customFormat="1" ht="36">
      <c r="A10" s="443"/>
      <c r="B10" s="333"/>
      <c r="C10" s="380"/>
      <c r="D10" s="389"/>
      <c r="E10" s="326"/>
      <c r="F10" s="326"/>
      <c r="G10" s="326"/>
      <c r="H10" s="326"/>
      <c r="I10" s="326"/>
      <c r="J10" s="326"/>
      <c r="K10" s="511"/>
      <c r="L10" s="511"/>
      <c r="M10" s="511"/>
      <c r="N10" s="511"/>
      <c r="O10" s="511"/>
      <c r="P10" s="511"/>
      <c r="Q10" s="511"/>
      <c r="R10" s="511"/>
      <c r="S10" s="511"/>
      <c r="T10" s="511"/>
      <c r="U10" s="511"/>
      <c r="V10" s="511"/>
      <c r="W10" s="511"/>
      <c r="X10" s="511"/>
      <c r="Y10" s="511"/>
      <c r="Z10" s="511"/>
      <c r="AA10" s="511"/>
      <c r="AB10" s="511"/>
      <c r="AC10" s="511"/>
      <c r="AD10" s="511"/>
      <c r="AE10" s="511"/>
      <c r="AF10" s="511"/>
      <c r="AG10" s="511"/>
      <c r="AH10" s="511"/>
      <c r="AI10" s="511"/>
      <c r="AJ10" s="511"/>
      <c r="AK10" s="511"/>
      <c r="AL10" s="511"/>
      <c r="AM10" s="326"/>
      <c r="AN10" s="326"/>
      <c r="AO10" s="127" t="s">
        <v>83</v>
      </c>
      <c r="AP10" s="312"/>
      <c r="AQ10" s="312"/>
      <c r="AR10" s="312"/>
      <c r="AS10" s="455"/>
      <c r="AT10" s="456"/>
      <c r="AU10" s="449"/>
      <c r="AV10" s="450"/>
      <c r="AW10" s="449"/>
      <c r="AX10" s="450"/>
      <c r="AY10" s="535"/>
      <c r="AZ10" s="536"/>
      <c r="BA10" s="341"/>
      <c r="BB10" s="341"/>
      <c r="BC10" s="341"/>
      <c r="BD10" s="341"/>
      <c r="BE10" s="341"/>
      <c r="BF10" s="341"/>
      <c r="BG10" s="341"/>
      <c r="BH10" s="310"/>
      <c r="BI10" s="310"/>
      <c r="BJ10" s="310"/>
      <c r="BK10" s="310"/>
      <c r="BL10" s="310"/>
      <c r="BM10" s="310"/>
      <c r="BN10" s="310"/>
      <c r="BO10" s="310"/>
      <c r="BP10" s="402"/>
      <c r="BQ10" s="341"/>
      <c r="BR10" s="341"/>
      <c r="BS10" s="341"/>
      <c r="BT10" s="341"/>
      <c r="BU10" s="341"/>
      <c r="BV10" s="310"/>
      <c r="BW10" s="310"/>
      <c r="BX10" s="341"/>
      <c r="BY10" s="341"/>
      <c r="BZ10" s="341"/>
      <c r="CA10" s="341"/>
      <c r="CB10" s="310"/>
      <c r="CC10" s="310"/>
      <c r="CD10" s="341"/>
      <c r="CE10" s="341"/>
      <c r="CF10" s="341"/>
      <c r="CG10" s="310"/>
      <c r="CH10" s="310"/>
      <c r="CI10" s="341"/>
      <c r="CJ10" s="310"/>
      <c r="CK10" s="310"/>
    </row>
    <row r="11" spans="1:89" s="4" customFormat="1" ht="24">
      <c r="A11" s="443"/>
      <c r="B11" s="333"/>
      <c r="C11" s="380"/>
      <c r="D11" s="389"/>
      <c r="E11" s="326"/>
      <c r="F11" s="326"/>
      <c r="G11" s="326"/>
      <c r="H11" s="326"/>
      <c r="I11" s="326"/>
      <c r="J11" s="326"/>
      <c r="K11" s="511"/>
      <c r="L11" s="511"/>
      <c r="M11" s="511"/>
      <c r="N11" s="511"/>
      <c r="O11" s="511"/>
      <c r="P11" s="511"/>
      <c r="Q11" s="511"/>
      <c r="R11" s="511"/>
      <c r="S11" s="511"/>
      <c r="T11" s="511"/>
      <c r="U11" s="511"/>
      <c r="V11" s="511"/>
      <c r="W11" s="511"/>
      <c r="X11" s="511"/>
      <c r="Y11" s="511"/>
      <c r="Z11" s="511"/>
      <c r="AA11" s="511"/>
      <c r="AB11" s="511"/>
      <c r="AC11" s="511"/>
      <c r="AD11" s="511"/>
      <c r="AE11" s="511"/>
      <c r="AF11" s="511"/>
      <c r="AG11" s="511"/>
      <c r="AH11" s="511"/>
      <c r="AI11" s="511"/>
      <c r="AJ11" s="511"/>
      <c r="AK11" s="511"/>
      <c r="AL11" s="511"/>
      <c r="AM11" s="326"/>
      <c r="AN11" s="326"/>
      <c r="AO11" s="127" t="s">
        <v>81</v>
      </c>
      <c r="AP11" s="312"/>
      <c r="AQ11" s="312"/>
      <c r="AR11" s="312"/>
      <c r="AS11" s="455"/>
      <c r="AT11" s="456"/>
      <c r="AU11" s="449"/>
      <c r="AV11" s="450"/>
      <c r="AW11" s="449"/>
      <c r="AX11" s="450"/>
      <c r="AY11" s="535"/>
      <c r="AZ11" s="536"/>
      <c r="BA11" s="341"/>
      <c r="BB11" s="341"/>
      <c r="BC11" s="341"/>
      <c r="BD11" s="341"/>
      <c r="BE11" s="341"/>
      <c r="BF11" s="341"/>
      <c r="BG11" s="341"/>
      <c r="BH11" s="310"/>
      <c r="BI11" s="310"/>
      <c r="BJ11" s="310"/>
      <c r="BK11" s="310"/>
      <c r="BL11" s="310"/>
      <c r="BM11" s="310"/>
      <c r="BN11" s="310"/>
      <c r="BO11" s="310"/>
      <c r="BP11" s="402"/>
      <c r="BQ11" s="341"/>
      <c r="BR11" s="341"/>
      <c r="BS11" s="341"/>
      <c r="BT11" s="341"/>
      <c r="BU11" s="341"/>
      <c r="BV11" s="310"/>
      <c r="BW11" s="310"/>
      <c r="BX11" s="341"/>
      <c r="BY11" s="341"/>
      <c r="BZ11" s="341"/>
      <c r="CA11" s="341"/>
      <c r="CB11" s="310"/>
      <c r="CC11" s="310"/>
      <c r="CD11" s="341"/>
      <c r="CE11" s="341"/>
      <c r="CF11" s="341"/>
      <c r="CG11" s="310"/>
      <c r="CH11" s="310"/>
      <c r="CI11" s="341"/>
      <c r="CJ11" s="310"/>
      <c r="CK11" s="310"/>
    </row>
    <row r="12" spans="1:89" s="4" customFormat="1" ht="24">
      <c r="A12" s="443"/>
      <c r="B12" s="333"/>
      <c r="C12" s="380"/>
      <c r="D12" s="389"/>
      <c r="E12" s="326"/>
      <c r="F12" s="326"/>
      <c r="G12" s="326"/>
      <c r="H12" s="326"/>
      <c r="I12" s="326"/>
      <c r="J12" s="326"/>
      <c r="K12" s="511"/>
      <c r="L12" s="511"/>
      <c r="M12" s="511"/>
      <c r="N12" s="511"/>
      <c r="O12" s="511"/>
      <c r="P12" s="511"/>
      <c r="Q12" s="511"/>
      <c r="R12" s="511"/>
      <c r="S12" s="511"/>
      <c r="T12" s="511"/>
      <c r="U12" s="511"/>
      <c r="V12" s="511"/>
      <c r="W12" s="511"/>
      <c r="X12" s="511"/>
      <c r="Y12" s="511"/>
      <c r="Z12" s="511"/>
      <c r="AA12" s="511"/>
      <c r="AB12" s="511"/>
      <c r="AC12" s="511"/>
      <c r="AD12" s="511"/>
      <c r="AE12" s="511"/>
      <c r="AF12" s="511"/>
      <c r="AG12" s="511"/>
      <c r="AH12" s="511"/>
      <c r="AI12" s="511"/>
      <c r="AJ12" s="511"/>
      <c r="AK12" s="511"/>
      <c r="AL12" s="511"/>
      <c r="AM12" s="326"/>
      <c r="AN12" s="326"/>
      <c r="AO12" s="127" t="s">
        <v>82</v>
      </c>
      <c r="AP12" s="312"/>
      <c r="AQ12" s="312"/>
      <c r="AR12" s="312"/>
      <c r="AS12" s="455"/>
      <c r="AT12" s="456"/>
      <c r="AU12" s="449"/>
      <c r="AV12" s="450"/>
      <c r="AW12" s="449"/>
      <c r="AX12" s="450"/>
      <c r="AY12" s="535"/>
      <c r="AZ12" s="536"/>
      <c r="BA12" s="341"/>
      <c r="BB12" s="341"/>
      <c r="BC12" s="341"/>
      <c r="BD12" s="341"/>
      <c r="BE12" s="341"/>
      <c r="BF12" s="341"/>
      <c r="BG12" s="341"/>
      <c r="BH12" s="310"/>
      <c r="BI12" s="310"/>
      <c r="BJ12" s="310"/>
      <c r="BK12" s="310"/>
      <c r="BL12" s="310"/>
      <c r="BM12" s="310"/>
      <c r="BN12" s="310"/>
      <c r="BO12" s="310"/>
      <c r="BP12" s="402"/>
      <c r="BQ12" s="341"/>
      <c r="BR12" s="341"/>
      <c r="BS12" s="341"/>
      <c r="BT12" s="341"/>
      <c r="BU12" s="341"/>
      <c r="BV12" s="310"/>
      <c r="BW12" s="310"/>
      <c r="BX12" s="341"/>
      <c r="BY12" s="341"/>
      <c r="BZ12" s="341"/>
      <c r="CA12" s="341"/>
      <c r="CB12" s="310"/>
      <c r="CC12" s="310"/>
      <c r="CD12" s="341"/>
      <c r="CE12" s="341"/>
      <c r="CF12" s="341"/>
      <c r="CG12" s="310"/>
      <c r="CH12" s="310"/>
      <c r="CI12" s="341"/>
      <c r="CJ12" s="310"/>
      <c r="CK12" s="310"/>
    </row>
    <row r="13" spans="1:89" s="4" customFormat="1" ht="60">
      <c r="A13" s="443"/>
      <c r="B13" s="333"/>
      <c r="C13" s="381"/>
      <c r="D13" s="390"/>
      <c r="E13" s="327"/>
      <c r="F13" s="327"/>
      <c r="G13" s="327"/>
      <c r="H13" s="327"/>
      <c r="I13" s="327"/>
      <c r="J13" s="327"/>
      <c r="K13" s="511"/>
      <c r="L13" s="511"/>
      <c r="M13" s="511"/>
      <c r="N13" s="511"/>
      <c r="O13" s="511"/>
      <c r="P13" s="511"/>
      <c r="Q13" s="511"/>
      <c r="R13" s="511"/>
      <c r="S13" s="511"/>
      <c r="T13" s="511"/>
      <c r="U13" s="511"/>
      <c r="V13" s="511"/>
      <c r="W13" s="511"/>
      <c r="X13" s="511"/>
      <c r="Y13" s="511"/>
      <c r="Z13" s="511"/>
      <c r="AA13" s="511"/>
      <c r="AB13" s="511"/>
      <c r="AC13" s="511"/>
      <c r="AD13" s="511"/>
      <c r="AE13" s="511"/>
      <c r="AF13" s="511"/>
      <c r="AG13" s="511"/>
      <c r="AH13" s="511"/>
      <c r="AI13" s="511"/>
      <c r="AJ13" s="511"/>
      <c r="AK13" s="511"/>
      <c r="AL13" s="511"/>
      <c r="AM13" s="327"/>
      <c r="AN13" s="327"/>
      <c r="AO13" s="127" t="s">
        <v>452</v>
      </c>
      <c r="AP13" s="313"/>
      <c r="AQ13" s="313"/>
      <c r="AR13" s="313"/>
      <c r="AS13" s="457"/>
      <c r="AT13" s="458"/>
      <c r="AU13" s="451"/>
      <c r="AV13" s="452"/>
      <c r="AW13" s="451"/>
      <c r="AX13" s="452"/>
      <c r="AY13" s="537"/>
      <c r="AZ13" s="538"/>
      <c r="BA13" s="29"/>
      <c r="BB13" s="29"/>
      <c r="BC13" s="29"/>
      <c r="BD13" s="29"/>
      <c r="BE13" s="29"/>
      <c r="BF13" s="29"/>
      <c r="BG13" s="29"/>
      <c r="BH13" s="26"/>
      <c r="BI13" s="26"/>
      <c r="BJ13" s="26"/>
      <c r="BK13" s="26"/>
      <c r="BL13" s="26"/>
      <c r="BM13" s="26"/>
      <c r="BN13" s="26"/>
      <c r="BO13" s="26"/>
      <c r="BP13" s="403"/>
      <c r="BQ13" s="29"/>
      <c r="BR13" s="29"/>
      <c r="BS13" s="29"/>
      <c r="BT13" s="29"/>
      <c r="BU13" s="29"/>
      <c r="BV13" s="26"/>
      <c r="BW13" s="26"/>
      <c r="BX13" s="29"/>
      <c r="BY13" s="29"/>
      <c r="BZ13" s="29"/>
      <c r="CA13" s="29"/>
      <c r="CB13" s="26"/>
      <c r="CC13" s="26"/>
      <c r="CD13" s="29"/>
      <c r="CE13" s="29"/>
      <c r="CF13" s="29"/>
      <c r="CG13" s="26"/>
      <c r="CH13" s="26"/>
      <c r="CI13" s="29"/>
      <c r="CJ13" s="26"/>
      <c r="CK13" s="26"/>
    </row>
    <row r="14" spans="1:89" s="4" customFormat="1" ht="36">
      <c r="A14" s="443"/>
      <c r="B14" s="333"/>
      <c r="C14" s="460" t="s">
        <v>232</v>
      </c>
      <c r="D14" s="470" t="s">
        <v>233</v>
      </c>
      <c r="E14" s="342">
        <v>0.15</v>
      </c>
      <c r="F14" s="342">
        <v>0.15</v>
      </c>
      <c r="G14" s="342">
        <v>0.15</v>
      </c>
      <c r="H14" s="342">
        <v>0.2</v>
      </c>
      <c r="I14" s="342">
        <v>0.2</v>
      </c>
      <c r="J14" s="342">
        <v>0.15</v>
      </c>
      <c r="K14" s="339"/>
      <c r="L14" s="339"/>
      <c r="M14" s="339"/>
      <c r="N14" s="339"/>
      <c r="O14" s="339"/>
      <c r="P14" s="339"/>
      <c r="Q14" s="339"/>
      <c r="R14" s="339"/>
      <c r="S14" s="339"/>
      <c r="T14" s="339"/>
      <c r="U14" s="339"/>
      <c r="V14" s="339"/>
      <c r="W14" s="339"/>
      <c r="X14" s="339"/>
      <c r="Y14" s="339"/>
      <c r="Z14" s="339"/>
      <c r="AA14" s="339"/>
      <c r="AB14" s="339"/>
      <c r="AC14" s="339"/>
      <c r="AD14" s="339"/>
      <c r="AE14" s="339"/>
      <c r="AF14" s="339"/>
      <c r="AG14" s="339"/>
      <c r="AH14" s="339"/>
      <c r="AI14" s="339"/>
      <c r="AJ14" s="339"/>
      <c r="AK14" s="339"/>
      <c r="AL14" s="339"/>
      <c r="AM14" s="352" t="s">
        <v>154</v>
      </c>
      <c r="AN14" s="352" t="s">
        <v>428</v>
      </c>
      <c r="AO14" s="127" t="s">
        <v>234</v>
      </c>
      <c r="AP14" s="173"/>
      <c r="AQ14" s="151"/>
      <c r="AR14" s="151"/>
      <c r="AS14" s="453">
        <v>739116000</v>
      </c>
      <c r="AT14" s="454"/>
      <c r="AU14" s="453">
        <v>1143151600</v>
      </c>
      <c r="AV14" s="454"/>
      <c r="AW14" s="453">
        <v>1044038404</v>
      </c>
      <c r="AX14" s="454"/>
      <c r="AY14" s="539">
        <f>SUM(AS14:AX26)</f>
        <v>2926306004</v>
      </c>
      <c r="AZ14" s="540"/>
      <c r="BA14" s="363">
        <v>4000000000</v>
      </c>
      <c r="BB14" s="341">
        <v>250515000</v>
      </c>
      <c r="BC14" s="341"/>
      <c r="BD14" s="341"/>
      <c r="BE14" s="341"/>
      <c r="BF14" s="341"/>
      <c r="BG14" s="341"/>
      <c r="BH14" s="341"/>
      <c r="BI14" s="341"/>
      <c r="BJ14" s="341"/>
      <c r="BK14" s="341"/>
      <c r="BL14" s="341"/>
      <c r="BM14" s="341"/>
      <c r="BN14" s="310">
        <f>SUM(BC14:BM19)</f>
        <v>0</v>
      </c>
      <c r="BO14" s="310">
        <f>BN14+BB14</f>
        <v>250515000</v>
      </c>
      <c r="BP14" s="321"/>
      <c r="BQ14" s="341"/>
      <c r="BR14" s="341"/>
      <c r="BS14" s="341"/>
      <c r="BT14" s="341"/>
      <c r="BU14" s="341"/>
      <c r="BV14" s="310">
        <f>SUM(BQ14:BU19)</f>
        <v>0</v>
      </c>
      <c r="BW14" s="310">
        <f>BV14+BP14</f>
        <v>0</v>
      </c>
      <c r="BX14" s="341">
        <v>30000000</v>
      </c>
      <c r="BY14" s="341"/>
      <c r="BZ14" s="341"/>
      <c r="CA14" s="341"/>
      <c r="CB14" s="310">
        <f>SUM(BY14:CA19)</f>
        <v>0</v>
      </c>
      <c r="CC14" s="310">
        <f>CB14+BX14</f>
        <v>30000000</v>
      </c>
      <c r="CD14" s="341">
        <v>50000000</v>
      </c>
      <c r="CE14" s="341"/>
      <c r="CF14" s="341"/>
      <c r="CG14" s="310">
        <f>SUM(CE14:CF19)</f>
        <v>0</v>
      </c>
      <c r="CH14" s="310">
        <f>CG14+CD14</f>
        <v>50000000</v>
      </c>
      <c r="CI14" s="341"/>
      <c r="CJ14" s="310">
        <f>CH14+CC14+BW14+BO14+CI14</f>
        <v>330515000</v>
      </c>
      <c r="CK14" s="310"/>
    </row>
    <row r="15" spans="1:89" s="4" customFormat="1" ht="48">
      <c r="A15" s="443"/>
      <c r="B15" s="333"/>
      <c r="C15" s="460"/>
      <c r="D15" s="470"/>
      <c r="E15" s="342"/>
      <c r="F15" s="342"/>
      <c r="G15" s="342"/>
      <c r="H15" s="342"/>
      <c r="I15" s="342"/>
      <c r="J15" s="342"/>
      <c r="K15" s="339"/>
      <c r="L15" s="339"/>
      <c r="M15" s="339"/>
      <c r="N15" s="339"/>
      <c r="O15" s="339"/>
      <c r="P15" s="339"/>
      <c r="Q15" s="339"/>
      <c r="R15" s="339"/>
      <c r="S15" s="339"/>
      <c r="T15" s="339"/>
      <c r="U15" s="339"/>
      <c r="V15" s="339"/>
      <c r="W15" s="339"/>
      <c r="X15" s="339"/>
      <c r="Y15" s="339"/>
      <c r="Z15" s="339"/>
      <c r="AA15" s="339"/>
      <c r="AB15" s="339"/>
      <c r="AC15" s="339"/>
      <c r="AD15" s="339"/>
      <c r="AE15" s="339"/>
      <c r="AF15" s="339"/>
      <c r="AG15" s="339"/>
      <c r="AH15" s="339"/>
      <c r="AI15" s="339"/>
      <c r="AJ15" s="339"/>
      <c r="AK15" s="339"/>
      <c r="AL15" s="339"/>
      <c r="AM15" s="352"/>
      <c r="AN15" s="352"/>
      <c r="AO15" s="127" t="s">
        <v>235</v>
      </c>
      <c r="AP15" s="173"/>
      <c r="AQ15" s="173"/>
      <c r="AR15" s="173"/>
      <c r="AS15" s="455"/>
      <c r="AT15" s="456"/>
      <c r="AU15" s="455"/>
      <c r="AV15" s="456"/>
      <c r="AW15" s="455"/>
      <c r="AX15" s="456"/>
      <c r="AY15" s="541"/>
      <c r="AZ15" s="542"/>
      <c r="BA15" s="363"/>
      <c r="BB15" s="341"/>
      <c r="BC15" s="341"/>
      <c r="BD15" s="341"/>
      <c r="BE15" s="341"/>
      <c r="BF15" s="341"/>
      <c r="BG15" s="341"/>
      <c r="BH15" s="341"/>
      <c r="BI15" s="341"/>
      <c r="BJ15" s="341"/>
      <c r="BK15" s="341"/>
      <c r="BL15" s="341"/>
      <c r="BM15" s="341"/>
      <c r="BN15" s="310"/>
      <c r="BO15" s="310"/>
      <c r="BP15" s="321"/>
      <c r="BQ15" s="341"/>
      <c r="BR15" s="341"/>
      <c r="BS15" s="341"/>
      <c r="BT15" s="341"/>
      <c r="BU15" s="341"/>
      <c r="BV15" s="310"/>
      <c r="BW15" s="310"/>
      <c r="BX15" s="341"/>
      <c r="BY15" s="341"/>
      <c r="BZ15" s="341"/>
      <c r="CA15" s="341"/>
      <c r="CB15" s="310"/>
      <c r="CC15" s="310"/>
      <c r="CD15" s="341"/>
      <c r="CE15" s="341"/>
      <c r="CF15" s="341"/>
      <c r="CG15" s="310"/>
      <c r="CH15" s="310"/>
      <c r="CI15" s="341"/>
      <c r="CJ15" s="310"/>
      <c r="CK15" s="310"/>
    </row>
    <row r="16" spans="1:89" s="4" customFormat="1" ht="36">
      <c r="A16" s="443"/>
      <c r="B16" s="333"/>
      <c r="C16" s="460"/>
      <c r="D16" s="470"/>
      <c r="E16" s="342"/>
      <c r="F16" s="342"/>
      <c r="G16" s="342"/>
      <c r="H16" s="342"/>
      <c r="I16" s="342"/>
      <c r="J16" s="342"/>
      <c r="K16" s="339"/>
      <c r="L16" s="339"/>
      <c r="M16" s="339"/>
      <c r="N16" s="339"/>
      <c r="O16" s="339"/>
      <c r="P16" s="339"/>
      <c r="Q16" s="339"/>
      <c r="R16" s="339"/>
      <c r="S16" s="339"/>
      <c r="T16" s="339"/>
      <c r="U16" s="339"/>
      <c r="V16" s="339"/>
      <c r="W16" s="339"/>
      <c r="X16" s="339"/>
      <c r="Y16" s="339"/>
      <c r="Z16" s="339"/>
      <c r="AA16" s="339"/>
      <c r="AB16" s="339"/>
      <c r="AC16" s="339"/>
      <c r="AD16" s="339"/>
      <c r="AE16" s="339"/>
      <c r="AF16" s="339"/>
      <c r="AG16" s="339"/>
      <c r="AH16" s="339"/>
      <c r="AI16" s="339"/>
      <c r="AJ16" s="339"/>
      <c r="AK16" s="339"/>
      <c r="AL16" s="339"/>
      <c r="AM16" s="352"/>
      <c r="AN16" s="352"/>
      <c r="AO16" s="127" t="s">
        <v>236</v>
      </c>
      <c r="AP16" s="173"/>
      <c r="AQ16" s="173"/>
      <c r="AR16" s="173"/>
      <c r="AS16" s="455"/>
      <c r="AT16" s="456"/>
      <c r="AU16" s="455"/>
      <c r="AV16" s="456"/>
      <c r="AW16" s="455"/>
      <c r="AX16" s="456"/>
      <c r="AY16" s="541"/>
      <c r="AZ16" s="542"/>
      <c r="BA16" s="363"/>
      <c r="BB16" s="341"/>
      <c r="BC16" s="341"/>
      <c r="BD16" s="341"/>
      <c r="BE16" s="341"/>
      <c r="BF16" s="341"/>
      <c r="BG16" s="341"/>
      <c r="BH16" s="341"/>
      <c r="BI16" s="341"/>
      <c r="BJ16" s="341"/>
      <c r="BK16" s="341"/>
      <c r="BL16" s="341"/>
      <c r="BM16" s="341"/>
      <c r="BN16" s="310"/>
      <c r="BO16" s="310"/>
      <c r="BP16" s="321"/>
      <c r="BQ16" s="341"/>
      <c r="BR16" s="341"/>
      <c r="BS16" s="341"/>
      <c r="BT16" s="341"/>
      <c r="BU16" s="341"/>
      <c r="BV16" s="310"/>
      <c r="BW16" s="310"/>
      <c r="BX16" s="341"/>
      <c r="BY16" s="341"/>
      <c r="BZ16" s="341"/>
      <c r="CA16" s="341"/>
      <c r="CB16" s="310"/>
      <c r="CC16" s="310"/>
      <c r="CD16" s="341"/>
      <c r="CE16" s="341"/>
      <c r="CF16" s="341"/>
      <c r="CG16" s="310"/>
      <c r="CH16" s="310"/>
      <c r="CI16" s="341"/>
      <c r="CJ16" s="310"/>
      <c r="CK16" s="310"/>
    </row>
    <row r="17" spans="1:89" s="4" customFormat="1" ht="60">
      <c r="A17" s="443"/>
      <c r="B17" s="333"/>
      <c r="C17" s="460"/>
      <c r="D17" s="470"/>
      <c r="E17" s="342"/>
      <c r="F17" s="342"/>
      <c r="G17" s="342"/>
      <c r="H17" s="342"/>
      <c r="I17" s="342"/>
      <c r="J17" s="342"/>
      <c r="K17" s="339"/>
      <c r="L17" s="339"/>
      <c r="M17" s="339"/>
      <c r="N17" s="339"/>
      <c r="O17" s="339"/>
      <c r="P17" s="339"/>
      <c r="Q17" s="339"/>
      <c r="R17" s="339"/>
      <c r="S17" s="339"/>
      <c r="T17" s="339"/>
      <c r="U17" s="339"/>
      <c r="V17" s="339"/>
      <c r="W17" s="339"/>
      <c r="X17" s="339"/>
      <c r="Y17" s="339"/>
      <c r="Z17" s="339"/>
      <c r="AA17" s="339"/>
      <c r="AB17" s="339"/>
      <c r="AC17" s="339"/>
      <c r="AD17" s="339"/>
      <c r="AE17" s="339"/>
      <c r="AF17" s="339"/>
      <c r="AG17" s="339"/>
      <c r="AH17" s="339"/>
      <c r="AI17" s="339"/>
      <c r="AJ17" s="339"/>
      <c r="AK17" s="339"/>
      <c r="AL17" s="339"/>
      <c r="AM17" s="352"/>
      <c r="AN17" s="352"/>
      <c r="AO17" s="127" t="s">
        <v>237</v>
      </c>
      <c r="AP17" s="151"/>
      <c r="AQ17" s="173"/>
      <c r="AR17" s="173"/>
      <c r="AS17" s="455"/>
      <c r="AT17" s="456"/>
      <c r="AU17" s="455"/>
      <c r="AV17" s="456"/>
      <c r="AW17" s="455"/>
      <c r="AX17" s="456"/>
      <c r="AY17" s="541"/>
      <c r="AZ17" s="542"/>
      <c r="BA17" s="363"/>
      <c r="BB17" s="341"/>
      <c r="BC17" s="341"/>
      <c r="BD17" s="341"/>
      <c r="BE17" s="341"/>
      <c r="BF17" s="341"/>
      <c r="BG17" s="341"/>
      <c r="BH17" s="341"/>
      <c r="BI17" s="341"/>
      <c r="BJ17" s="341"/>
      <c r="BK17" s="341"/>
      <c r="BL17" s="341"/>
      <c r="BM17" s="341"/>
      <c r="BN17" s="310"/>
      <c r="BO17" s="310"/>
      <c r="BP17" s="321"/>
      <c r="BQ17" s="341"/>
      <c r="BR17" s="341"/>
      <c r="BS17" s="341"/>
      <c r="BT17" s="341"/>
      <c r="BU17" s="341"/>
      <c r="BV17" s="310"/>
      <c r="BW17" s="310"/>
      <c r="BX17" s="341"/>
      <c r="BY17" s="341"/>
      <c r="BZ17" s="341"/>
      <c r="CA17" s="341"/>
      <c r="CB17" s="310"/>
      <c r="CC17" s="310"/>
      <c r="CD17" s="341"/>
      <c r="CE17" s="341"/>
      <c r="CF17" s="341"/>
      <c r="CG17" s="310"/>
      <c r="CH17" s="310"/>
      <c r="CI17" s="341"/>
      <c r="CJ17" s="310"/>
      <c r="CK17" s="310"/>
    </row>
    <row r="18" spans="1:89" s="4" customFormat="1" ht="60">
      <c r="A18" s="443"/>
      <c r="B18" s="333"/>
      <c r="C18" s="460"/>
      <c r="D18" s="470"/>
      <c r="E18" s="342"/>
      <c r="F18" s="342"/>
      <c r="G18" s="342"/>
      <c r="H18" s="342"/>
      <c r="I18" s="342"/>
      <c r="J18" s="342"/>
      <c r="K18" s="339"/>
      <c r="L18" s="339"/>
      <c r="M18" s="339"/>
      <c r="N18" s="339"/>
      <c r="O18" s="339"/>
      <c r="P18" s="339"/>
      <c r="Q18" s="339"/>
      <c r="R18" s="339"/>
      <c r="S18" s="339"/>
      <c r="T18" s="339"/>
      <c r="U18" s="339"/>
      <c r="V18" s="339"/>
      <c r="W18" s="339"/>
      <c r="X18" s="339"/>
      <c r="Y18" s="339"/>
      <c r="Z18" s="339"/>
      <c r="AA18" s="339"/>
      <c r="AB18" s="339"/>
      <c r="AC18" s="339"/>
      <c r="AD18" s="339"/>
      <c r="AE18" s="339"/>
      <c r="AF18" s="339"/>
      <c r="AG18" s="339"/>
      <c r="AH18" s="339"/>
      <c r="AI18" s="339"/>
      <c r="AJ18" s="339"/>
      <c r="AK18" s="339"/>
      <c r="AL18" s="339"/>
      <c r="AM18" s="352"/>
      <c r="AN18" s="352"/>
      <c r="AO18" s="127" t="s">
        <v>238</v>
      </c>
      <c r="AP18" s="151"/>
      <c r="AQ18" s="173"/>
      <c r="AR18" s="151"/>
      <c r="AS18" s="455"/>
      <c r="AT18" s="456"/>
      <c r="AU18" s="455"/>
      <c r="AV18" s="456"/>
      <c r="AW18" s="455"/>
      <c r="AX18" s="456"/>
      <c r="AY18" s="541"/>
      <c r="AZ18" s="542"/>
      <c r="BA18" s="363"/>
      <c r="BB18" s="341"/>
      <c r="BC18" s="341"/>
      <c r="BD18" s="341"/>
      <c r="BE18" s="341"/>
      <c r="BF18" s="341"/>
      <c r="BG18" s="341"/>
      <c r="BH18" s="341"/>
      <c r="BI18" s="341"/>
      <c r="BJ18" s="341"/>
      <c r="BK18" s="341"/>
      <c r="BL18" s="341"/>
      <c r="BM18" s="341"/>
      <c r="BN18" s="310"/>
      <c r="BO18" s="310"/>
      <c r="BP18" s="321"/>
      <c r="BQ18" s="341"/>
      <c r="BR18" s="341"/>
      <c r="BS18" s="341"/>
      <c r="BT18" s="341"/>
      <c r="BU18" s="341"/>
      <c r="BV18" s="310"/>
      <c r="BW18" s="310"/>
      <c r="BX18" s="341"/>
      <c r="BY18" s="341"/>
      <c r="BZ18" s="341"/>
      <c r="CA18" s="341"/>
      <c r="CB18" s="310"/>
      <c r="CC18" s="310"/>
      <c r="CD18" s="341"/>
      <c r="CE18" s="341"/>
      <c r="CF18" s="341"/>
      <c r="CG18" s="310"/>
      <c r="CH18" s="310"/>
      <c r="CI18" s="341"/>
      <c r="CJ18" s="310"/>
      <c r="CK18" s="310"/>
    </row>
    <row r="19" spans="1:89" s="4" customFormat="1" ht="36">
      <c r="A19" s="443"/>
      <c r="B19" s="333"/>
      <c r="C19" s="460"/>
      <c r="D19" s="470"/>
      <c r="E19" s="342"/>
      <c r="F19" s="342"/>
      <c r="G19" s="342"/>
      <c r="H19" s="342"/>
      <c r="I19" s="342"/>
      <c r="J19" s="342"/>
      <c r="K19" s="339"/>
      <c r="L19" s="339"/>
      <c r="M19" s="339"/>
      <c r="N19" s="339"/>
      <c r="O19" s="339"/>
      <c r="P19" s="339"/>
      <c r="Q19" s="339"/>
      <c r="R19" s="339"/>
      <c r="S19" s="339"/>
      <c r="T19" s="339"/>
      <c r="U19" s="339"/>
      <c r="V19" s="339"/>
      <c r="W19" s="339"/>
      <c r="X19" s="339"/>
      <c r="Y19" s="339"/>
      <c r="Z19" s="339"/>
      <c r="AA19" s="339"/>
      <c r="AB19" s="339"/>
      <c r="AC19" s="339"/>
      <c r="AD19" s="339"/>
      <c r="AE19" s="339"/>
      <c r="AF19" s="339"/>
      <c r="AG19" s="339"/>
      <c r="AH19" s="339"/>
      <c r="AI19" s="339"/>
      <c r="AJ19" s="339"/>
      <c r="AK19" s="339"/>
      <c r="AL19" s="339"/>
      <c r="AM19" s="352"/>
      <c r="AN19" s="352"/>
      <c r="AO19" s="127" t="s">
        <v>239</v>
      </c>
      <c r="AP19" s="173"/>
      <c r="AQ19" s="151"/>
      <c r="AR19" s="151"/>
      <c r="AS19" s="455"/>
      <c r="AT19" s="456"/>
      <c r="AU19" s="455"/>
      <c r="AV19" s="456"/>
      <c r="AW19" s="455"/>
      <c r="AX19" s="456"/>
      <c r="AY19" s="541"/>
      <c r="AZ19" s="542"/>
      <c r="BA19" s="363"/>
      <c r="BB19" s="341"/>
      <c r="BC19" s="341"/>
      <c r="BD19" s="341"/>
      <c r="BE19" s="341"/>
      <c r="BF19" s="341"/>
      <c r="BG19" s="341"/>
      <c r="BH19" s="341"/>
      <c r="BI19" s="341"/>
      <c r="BJ19" s="341"/>
      <c r="BK19" s="341"/>
      <c r="BL19" s="341"/>
      <c r="BM19" s="341"/>
      <c r="BN19" s="310"/>
      <c r="BO19" s="310"/>
      <c r="BP19" s="321"/>
      <c r="BQ19" s="341"/>
      <c r="BR19" s="341"/>
      <c r="BS19" s="341"/>
      <c r="BT19" s="341"/>
      <c r="BU19" s="341"/>
      <c r="BV19" s="310"/>
      <c r="BW19" s="310"/>
      <c r="BX19" s="341"/>
      <c r="BY19" s="341"/>
      <c r="BZ19" s="341"/>
      <c r="CA19" s="341"/>
      <c r="CB19" s="310"/>
      <c r="CC19" s="310"/>
      <c r="CD19" s="341"/>
      <c r="CE19" s="341"/>
      <c r="CF19" s="341"/>
      <c r="CG19" s="310"/>
      <c r="CH19" s="310"/>
      <c r="CI19" s="341"/>
      <c r="CJ19" s="310"/>
      <c r="CK19" s="310"/>
    </row>
    <row r="20" spans="1:89" s="4" customFormat="1" ht="48">
      <c r="A20" s="443"/>
      <c r="B20" s="333"/>
      <c r="C20" s="460"/>
      <c r="D20" s="388" t="s">
        <v>457</v>
      </c>
      <c r="E20" s="343">
        <v>0.15</v>
      </c>
      <c r="F20" s="343">
        <v>0.15</v>
      </c>
      <c r="G20" s="343">
        <v>0.15</v>
      </c>
      <c r="H20" s="343">
        <v>0.2</v>
      </c>
      <c r="I20" s="343">
        <v>0.2</v>
      </c>
      <c r="J20" s="343">
        <v>0.15</v>
      </c>
      <c r="K20" s="339"/>
      <c r="L20" s="339"/>
      <c r="M20" s="339"/>
      <c r="N20" s="339"/>
      <c r="O20" s="339"/>
      <c r="P20" s="339"/>
      <c r="Q20" s="339"/>
      <c r="R20" s="339"/>
      <c r="S20" s="339"/>
      <c r="T20" s="339"/>
      <c r="U20" s="339"/>
      <c r="V20" s="339"/>
      <c r="W20" s="339"/>
      <c r="X20" s="339"/>
      <c r="Y20" s="339"/>
      <c r="Z20" s="339"/>
      <c r="AA20" s="339"/>
      <c r="AB20" s="339"/>
      <c r="AC20" s="339"/>
      <c r="AD20" s="339"/>
      <c r="AE20" s="339"/>
      <c r="AF20" s="339"/>
      <c r="AG20" s="339"/>
      <c r="AH20" s="339"/>
      <c r="AI20" s="339"/>
      <c r="AJ20" s="339"/>
      <c r="AK20" s="339"/>
      <c r="AL20" s="339"/>
      <c r="AM20" s="325" t="s">
        <v>27</v>
      </c>
      <c r="AN20" s="325" t="s">
        <v>108</v>
      </c>
      <c r="AO20" s="127" t="s">
        <v>455</v>
      </c>
      <c r="AP20" s="173"/>
      <c r="AQ20" s="173"/>
      <c r="AR20" s="173"/>
      <c r="AS20" s="455"/>
      <c r="AT20" s="456"/>
      <c r="AU20" s="455"/>
      <c r="AV20" s="456"/>
      <c r="AW20" s="455"/>
      <c r="AX20" s="456"/>
      <c r="AY20" s="541"/>
      <c r="AZ20" s="542"/>
      <c r="BA20" s="363"/>
      <c r="BB20" s="341"/>
      <c r="BC20" s="341"/>
      <c r="BD20" s="341"/>
      <c r="BE20" s="341"/>
      <c r="BF20" s="341"/>
      <c r="BG20" s="341"/>
      <c r="BH20" s="341"/>
      <c r="BI20" s="341"/>
      <c r="BJ20" s="341"/>
      <c r="BK20" s="341"/>
      <c r="BL20" s="341"/>
      <c r="BM20" s="341"/>
      <c r="BN20" s="341">
        <f>SUM(BC20:BM22)</f>
        <v>0</v>
      </c>
      <c r="BO20" s="310">
        <f>BN20+BB20</f>
        <v>0</v>
      </c>
      <c r="BP20" s="321"/>
      <c r="BQ20" s="341"/>
      <c r="BR20" s="341"/>
      <c r="BS20" s="341"/>
      <c r="BT20" s="341"/>
      <c r="BU20" s="341"/>
      <c r="BV20" s="341">
        <f>SUM(BQ20:BU22)</f>
        <v>0</v>
      </c>
      <c r="BW20" s="310">
        <f>BV20+BP20</f>
        <v>0</v>
      </c>
      <c r="BX20" s="341">
        <v>30000000</v>
      </c>
      <c r="BY20" s="341"/>
      <c r="BZ20" s="341"/>
      <c r="CA20" s="341"/>
      <c r="CB20" s="341">
        <f>SUM(BY20:CA22)</f>
        <v>0</v>
      </c>
      <c r="CC20" s="310">
        <f>CB20+BX20</f>
        <v>30000000</v>
      </c>
      <c r="CD20" s="341"/>
      <c r="CE20" s="341"/>
      <c r="CF20" s="341"/>
      <c r="CG20" s="341">
        <f>SUM(CE20:CF22)</f>
        <v>0</v>
      </c>
      <c r="CH20" s="310">
        <f>CG20+CD20</f>
        <v>0</v>
      </c>
      <c r="CI20" s="341"/>
      <c r="CJ20" s="310">
        <f>CH20+CC20+BW20+BO20+CI20</f>
        <v>30000000</v>
      </c>
      <c r="CK20" s="310"/>
    </row>
    <row r="21" spans="1:89" s="4" customFormat="1" ht="36">
      <c r="A21" s="443"/>
      <c r="B21" s="333"/>
      <c r="C21" s="460"/>
      <c r="D21" s="389"/>
      <c r="E21" s="413"/>
      <c r="F21" s="413"/>
      <c r="G21" s="413"/>
      <c r="H21" s="413"/>
      <c r="I21" s="413"/>
      <c r="J21" s="413"/>
      <c r="K21" s="339"/>
      <c r="L21" s="339"/>
      <c r="M21" s="339"/>
      <c r="N21" s="339"/>
      <c r="O21" s="339"/>
      <c r="P21" s="339"/>
      <c r="Q21" s="339"/>
      <c r="R21" s="339"/>
      <c r="S21" s="339"/>
      <c r="T21" s="339"/>
      <c r="U21" s="339"/>
      <c r="V21" s="339"/>
      <c r="W21" s="339"/>
      <c r="X21" s="339"/>
      <c r="Y21" s="339"/>
      <c r="Z21" s="339"/>
      <c r="AA21" s="339"/>
      <c r="AB21" s="339"/>
      <c r="AC21" s="339"/>
      <c r="AD21" s="339"/>
      <c r="AE21" s="339"/>
      <c r="AF21" s="339"/>
      <c r="AG21" s="339"/>
      <c r="AH21" s="339"/>
      <c r="AI21" s="339"/>
      <c r="AJ21" s="339"/>
      <c r="AK21" s="339"/>
      <c r="AL21" s="339"/>
      <c r="AM21" s="326"/>
      <c r="AN21" s="326"/>
      <c r="AO21" s="127" t="s">
        <v>240</v>
      </c>
      <c r="AP21" s="173"/>
      <c r="AQ21" s="173"/>
      <c r="AR21" s="173"/>
      <c r="AS21" s="455"/>
      <c r="AT21" s="456"/>
      <c r="AU21" s="455"/>
      <c r="AV21" s="456"/>
      <c r="AW21" s="455"/>
      <c r="AX21" s="456"/>
      <c r="AY21" s="541"/>
      <c r="AZ21" s="542"/>
      <c r="BA21" s="363"/>
      <c r="BB21" s="341"/>
      <c r="BC21" s="341"/>
      <c r="BD21" s="341"/>
      <c r="BE21" s="341"/>
      <c r="BF21" s="341"/>
      <c r="BG21" s="341"/>
      <c r="BH21" s="341"/>
      <c r="BI21" s="341"/>
      <c r="BJ21" s="341"/>
      <c r="BK21" s="341"/>
      <c r="BL21" s="341"/>
      <c r="BM21" s="341"/>
      <c r="BN21" s="341"/>
      <c r="BO21" s="310"/>
      <c r="BP21" s="321"/>
      <c r="BQ21" s="341"/>
      <c r="BR21" s="341"/>
      <c r="BS21" s="341"/>
      <c r="BT21" s="341"/>
      <c r="BU21" s="341"/>
      <c r="BV21" s="341"/>
      <c r="BW21" s="310"/>
      <c r="BX21" s="341"/>
      <c r="BY21" s="341"/>
      <c r="BZ21" s="341"/>
      <c r="CA21" s="341"/>
      <c r="CB21" s="341"/>
      <c r="CC21" s="310"/>
      <c r="CD21" s="341"/>
      <c r="CE21" s="341"/>
      <c r="CF21" s="341"/>
      <c r="CG21" s="341"/>
      <c r="CH21" s="310"/>
      <c r="CI21" s="341"/>
      <c r="CJ21" s="310"/>
      <c r="CK21" s="310"/>
    </row>
    <row r="22" spans="1:89" s="4" customFormat="1" ht="36">
      <c r="A22" s="443"/>
      <c r="B22" s="333"/>
      <c r="C22" s="460"/>
      <c r="D22" s="389"/>
      <c r="E22" s="413"/>
      <c r="F22" s="413"/>
      <c r="G22" s="413"/>
      <c r="H22" s="413"/>
      <c r="I22" s="413"/>
      <c r="J22" s="413"/>
      <c r="K22" s="339"/>
      <c r="L22" s="339"/>
      <c r="M22" s="339"/>
      <c r="N22" s="339"/>
      <c r="O22" s="339"/>
      <c r="P22" s="339"/>
      <c r="Q22" s="339"/>
      <c r="R22" s="339"/>
      <c r="S22" s="339"/>
      <c r="T22" s="339"/>
      <c r="U22" s="339"/>
      <c r="V22" s="339"/>
      <c r="W22" s="339"/>
      <c r="X22" s="339"/>
      <c r="Y22" s="339"/>
      <c r="Z22" s="339"/>
      <c r="AA22" s="339"/>
      <c r="AB22" s="339"/>
      <c r="AC22" s="339"/>
      <c r="AD22" s="339"/>
      <c r="AE22" s="339"/>
      <c r="AF22" s="339"/>
      <c r="AG22" s="339"/>
      <c r="AH22" s="339"/>
      <c r="AI22" s="339"/>
      <c r="AJ22" s="339"/>
      <c r="AK22" s="339"/>
      <c r="AL22" s="339"/>
      <c r="AM22" s="326"/>
      <c r="AN22" s="326"/>
      <c r="AO22" s="127" t="s">
        <v>454</v>
      </c>
      <c r="AP22" s="151"/>
      <c r="AQ22" s="173"/>
      <c r="AR22" s="173"/>
      <c r="AS22" s="455"/>
      <c r="AT22" s="456"/>
      <c r="AU22" s="455"/>
      <c r="AV22" s="456"/>
      <c r="AW22" s="455"/>
      <c r="AX22" s="456"/>
      <c r="AY22" s="541"/>
      <c r="AZ22" s="542"/>
      <c r="BA22" s="363"/>
      <c r="BB22" s="341"/>
      <c r="BC22" s="341"/>
      <c r="BD22" s="341"/>
      <c r="BE22" s="341"/>
      <c r="BF22" s="341"/>
      <c r="BG22" s="341"/>
      <c r="BH22" s="341"/>
      <c r="BI22" s="341"/>
      <c r="BJ22" s="341"/>
      <c r="BK22" s="341"/>
      <c r="BL22" s="341"/>
      <c r="BM22" s="341"/>
      <c r="BN22" s="341"/>
      <c r="BO22" s="310"/>
      <c r="BP22" s="321"/>
      <c r="BQ22" s="341"/>
      <c r="BR22" s="341"/>
      <c r="BS22" s="341"/>
      <c r="BT22" s="341"/>
      <c r="BU22" s="341"/>
      <c r="BV22" s="341"/>
      <c r="BW22" s="310"/>
      <c r="BX22" s="341"/>
      <c r="BY22" s="341"/>
      <c r="BZ22" s="341"/>
      <c r="CA22" s="341"/>
      <c r="CB22" s="341"/>
      <c r="CC22" s="310"/>
      <c r="CD22" s="341"/>
      <c r="CE22" s="341"/>
      <c r="CF22" s="341"/>
      <c r="CG22" s="341"/>
      <c r="CH22" s="310"/>
      <c r="CI22" s="341"/>
      <c r="CJ22" s="310"/>
      <c r="CK22" s="310"/>
    </row>
    <row r="23" spans="1:89" s="4" customFormat="1" ht="60">
      <c r="A23" s="443"/>
      <c r="B23" s="333"/>
      <c r="C23" s="460"/>
      <c r="D23" s="470" t="s">
        <v>458</v>
      </c>
      <c r="E23" s="342">
        <v>0.15</v>
      </c>
      <c r="F23" s="342">
        <v>0.15</v>
      </c>
      <c r="G23" s="342">
        <v>0.15</v>
      </c>
      <c r="H23" s="342">
        <v>0.2</v>
      </c>
      <c r="I23" s="342">
        <v>0.2</v>
      </c>
      <c r="J23" s="342">
        <v>0.15</v>
      </c>
      <c r="K23" s="339"/>
      <c r="L23" s="339"/>
      <c r="M23" s="339"/>
      <c r="N23" s="339"/>
      <c r="O23" s="339"/>
      <c r="P23" s="339"/>
      <c r="Q23" s="339"/>
      <c r="R23" s="339"/>
      <c r="S23" s="339"/>
      <c r="T23" s="339"/>
      <c r="U23" s="339"/>
      <c r="V23" s="339"/>
      <c r="W23" s="339"/>
      <c r="X23" s="339"/>
      <c r="Y23" s="339"/>
      <c r="Z23" s="339"/>
      <c r="AA23" s="339"/>
      <c r="AB23" s="339"/>
      <c r="AC23" s="339"/>
      <c r="AD23" s="339"/>
      <c r="AE23" s="339"/>
      <c r="AF23" s="339"/>
      <c r="AG23" s="339"/>
      <c r="AH23" s="339"/>
      <c r="AI23" s="339"/>
      <c r="AJ23" s="339"/>
      <c r="AK23" s="339"/>
      <c r="AL23" s="339"/>
      <c r="AM23" s="352" t="s">
        <v>27</v>
      </c>
      <c r="AN23" s="352" t="s">
        <v>109</v>
      </c>
      <c r="AO23" s="127" t="s">
        <v>456</v>
      </c>
      <c r="AP23" s="172"/>
      <c r="AQ23" s="97"/>
      <c r="AR23" s="97"/>
      <c r="AS23" s="455"/>
      <c r="AT23" s="456"/>
      <c r="AU23" s="455"/>
      <c r="AV23" s="456"/>
      <c r="AW23" s="455"/>
      <c r="AX23" s="456"/>
      <c r="AY23" s="541"/>
      <c r="AZ23" s="542"/>
      <c r="BA23" s="363"/>
      <c r="BB23" s="341"/>
      <c r="BC23" s="341"/>
      <c r="BD23" s="341"/>
      <c r="BE23" s="341"/>
      <c r="BF23" s="341"/>
      <c r="BG23" s="341"/>
      <c r="BH23" s="341"/>
      <c r="BI23" s="341"/>
      <c r="BJ23" s="341"/>
      <c r="BK23" s="341"/>
      <c r="BL23" s="341"/>
      <c r="BM23" s="341"/>
      <c r="BN23" s="341">
        <f>SUM(BC23:BM24)</f>
        <v>0</v>
      </c>
      <c r="BO23" s="310">
        <f>BN23+BB23</f>
        <v>0</v>
      </c>
      <c r="BP23" s="321"/>
      <c r="BQ23" s="341"/>
      <c r="BR23" s="341"/>
      <c r="BS23" s="341"/>
      <c r="BT23" s="341"/>
      <c r="BU23" s="341"/>
      <c r="BV23" s="341">
        <f>SUM(BQ23:BU24)</f>
        <v>0</v>
      </c>
      <c r="BW23" s="310">
        <f>BV23+BP23</f>
        <v>0</v>
      </c>
      <c r="BX23" s="341">
        <v>5000000</v>
      </c>
      <c r="BY23" s="341"/>
      <c r="BZ23" s="341"/>
      <c r="CA23" s="341"/>
      <c r="CB23" s="341">
        <f>SUM(BY23:CA24)</f>
        <v>0</v>
      </c>
      <c r="CC23" s="310">
        <f>CB23+BX23</f>
        <v>5000000</v>
      </c>
      <c r="CD23" s="341"/>
      <c r="CE23" s="341"/>
      <c r="CF23" s="341"/>
      <c r="CG23" s="341">
        <f>SUM(CE23:CF24)</f>
        <v>0</v>
      </c>
      <c r="CH23" s="310">
        <f>CG23+CD23</f>
        <v>0</v>
      </c>
      <c r="CI23" s="341"/>
      <c r="CJ23" s="310">
        <f>CH23+CC23+BW23+BO23+CI23</f>
        <v>5000000</v>
      </c>
      <c r="CK23" s="310"/>
    </row>
    <row r="24" spans="1:89" s="4" customFormat="1" ht="48">
      <c r="A24" s="443"/>
      <c r="B24" s="333"/>
      <c r="C24" s="460"/>
      <c r="D24" s="470"/>
      <c r="E24" s="342"/>
      <c r="F24" s="342"/>
      <c r="G24" s="342"/>
      <c r="H24" s="342"/>
      <c r="I24" s="342"/>
      <c r="J24" s="342"/>
      <c r="K24" s="339"/>
      <c r="L24" s="339"/>
      <c r="M24" s="339"/>
      <c r="N24" s="339"/>
      <c r="O24" s="339"/>
      <c r="P24" s="339"/>
      <c r="Q24" s="339"/>
      <c r="R24" s="339"/>
      <c r="S24" s="339"/>
      <c r="T24" s="339"/>
      <c r="U24" s="339"/>
      <c r="V24" s="339"/>
      <c r="W24" s="339"/>
      <c r="X24" s="339"/>
      <c r="Y24" s="339"/>
      <c r="Z24" s="339"/>
      <c r="AA24" s="339"/>
      <c r="AB24" s="339"/>
      <c r="AC24" s="339"/>
      <c r="AD24" s="339"/>
      <c r="AE24" s="339"/>
      <c r="AF24" s="339"/>
      <c r="AG24" s="339"/>
      <c r="AH24" s="339"/>
      <c r="AI24" s="339"/>
      <c r="AJ24" s="339"/>
      <c r="AK24" s="339"/>
      <c r="AL24" s="339"/>
      <c r="AM24" s="352"/>
      <c r="AN24" s="352"/>
      <c r="AO24" s="127" t="s">
        <v>241</v>
      </c>
      <c r="AP24" s="172"/>
      <c r="AQ24" s="172"/>
      <c r="AR24" s="172"/>
      <c r="AS24" s="455"/>
      <c r="AT24" s="456"/>
      <c r="AU24" s="455"/>
      <c r="AV24" s="456"/>
      <c r="AW24" s="455"/>
      <c r="AX24" s="456"/>
      <c r="AY24" s="541"/>
      <c r="AZ24" s="542"/>
      <c r="BA24" s="363"/>
      <c r="BB24" s="341"/>
      <c r="BC24" s="341"/>
      <c r="BD24" s="341"/>
      <c r="BE24" s="341"/>
      <c r="BF24" s="341"/>
      <c r="BG24" s="341"/>
      <c r="BH24" s="341"/>
      <c r="BI24" s="341"/>
      <c r="BJ24" s="341"/>
      <c r="BK24" s="341"/>
      <c r="BL24" s="341"/>
      <c r="BM24" s="341"/>
      <c r="BN24" s="341"/>
      <c r="BO24" s="310"/>
      <c r="BP24" s="321"/>
      <c r="BQ24" s="341"/>
      <c r="BR24" s="341"/>
      <c r="BS24" s="341"/>
      <c r="BT24" s="341"/>
      <c r="BU24" s="341"/>
      <c r="BV24" s="341"/>
      <c r="BW24" s="310"/>
      <c r="BX24" s="341"/>
      <c r="BY24" s="341"/>
      <c r="BZ24" s="341"/>
      <c r="CA24" s="341"/>
      <c r="CB24" s="341"/>
      <c r="CC24" s="310"/>
      <c r="CD24" s="341"/>
      <c r="CE24" s="341"/>
      <c r="CF24" s="341"/>
      <c r="CG24" s="341"/>
      <c r="CH24" s="310"/>
      <c r="CI24" s="341"/>
      <c r="CJ24" s="310"/>
      <c r="CK24" s="310"/>
    </row>
    <row r="25" spans="1:89" s="4" customFormat="1" ht="72">
      <c r="A25" s="443"/>
      <c r="B25" s="333"/>
      <c r="C25" s="460"/>
      <c r="D25" s="470" t="s">
        <v>459</v>
      </c>
      <c r="E25" s="342">
        <v>0.15</v>
      </c>
      <c r="F25" s="342">
        <v>0.15</v>
      </c>
      <c r="G25" s="342">
        <v>0.15</v>
      </c>
      <c r="H25" s="342">
        <v>0.2</v>
      </c>
      <c r="I25" s="342">
        <v>0.2</v>
      </c>
      <c r="J25" s="342">
        <v>0.15</v>
      </c>
      <c r="K25" s="339"/>
      <c r="L25" s="339"/>
      <c r="M25" s="339"/>
      <c r="N25" s="339"/>
      <c r="O25" s="339"/>
      <c r="P25" s="339"/>
      <c r="Q25" s="339"/>
      <c r="R25" s="339"/>
      <c r="S25" s="339"/>
      <c r="T25" s="339"/>
      <c r="U25" s="339"/>
      <c r="V25" s="339"/>
      <c r="W25" s="339"/>
      <c r="X25" s="339"/>
      <c r="Y25" s="339"/>
      <c r="Z25" s="339"/>
      <c r="AA25" s="339"/>
      <c r="AB25" s="339"/>
      <c r="AC25" s="339"/>
      <c r="AD25" s="339"/>
      <c r="AE25" s="339"/>
      <c r="AF25" s="339"/>
      <c r="AG25" s="339"/>
      <c r="AH25" s="339"/>
      <c r="AI25" s="339"/>
      <c r="AJ25" s="339"/>
      <c r="AK25" s="339"/>
      <c r="AL25" s="339"/>
      <c r="AM25" s="352" t="s">
        <v>27</v>
      </c>
      <c r="AN25" s="352" t="s">
        <v>109</v>
      </c>
      <c r="AO25" s="127" t="s">
        <v>242</v>
      </c>
      <c r="AP25" s="172"/>
      <c r="AQ25" s="172"/>
      <c r="AR25" s="97"/>
      <c r="AS25" s="455"/>
      <c r="AT25" s="456"/>
      <c r="AU25" s="455"/>
      <c r="AV25" s="456"/>
      <c r="AW25" s="455"/>
      <c r="AX25" s="456"/>
      <c r="AY25" s="541"/>
      <c r="AZ25" s="542"/>
      <c r="BA25" s="363"/>
      <c r="BB25" s="341"/>
      <c r="BC25" s="341"/>
      <c r="BD25" s="341"/>
      <c r="BE25" s="341"/>
      <c r="BF25" s="341"/>
      <c r="BG25" s="341"/>
      <c r="BH25" s="341"/>
      <c r="BI25" s="341"/>
      <c r="BJ25" s="341"/>
      <c r="BK25" s="341"/>
      <c r="BL25" s="341"/>
      <c r="BM25" s="341"/>
      <c r="BN25" s="341">
        <f>SUM(BC25:BM26)</f>
        <v>0</v>
      </c>
      <c r="BO25" s="310">
        <f>BN25+BB25</f>
        <v>0</v>
      </c>
      <c r="BP25" s="321"/>
      <c r="BQ25" s="341"/>
      <c r="BR25" s="341"/>
      <c r="BS25" s="341"/>
      <c r="BT25" s="341"/>
      <c r="BU25" s="341"/>
      <c r="BV25" s="341">
        <f>SUM(BQ25:BU26)</f>
        <v>0</v>
      </c>
      <c r="BW25" s="310">
        <f>BV25+BP25</f>
        <v>0</v>
      </c>
      <c r="BX25" s="341">
        <v>10000000</v>
      </c>
      <c r="BY25" s="341"/>
      <c r="BZ25" s="341"/>
      <c r="CA25" s="341"/>
      <c r="CB25" s="341">
        <f>SUM(BY25:CA26)</f>
        <v>0</v>
      </c>
      <c r="CC25" s="310">
        <f>CB25+BX25</f>
        <v>10000000</v>
      </c>
      <c r="CD25" s="341"/>
      <c r="CE25" s="341"/>
      <c r="CF25" s="341"/>
      <c r="CG25" s="341">
        <f>SUM(CE25:CF26)</f>
        <v>0</v>
      </c>
      <c r="CH25" s="310">
        <f>CG25+CD25</f>
        <v>0</v>
      </c>
      <c r="CI25" s="341"/>
      <c r="CJ25" s="310">
        <f>CH25+CC25+BW25+BO25+CI25</f>
        <v>10000000</v>
      </c>
      <c r="CK25" s="310"/>
    </row>
    <row r="26" spans="1:89" s="4" customFormat="1" ht="60">
      <c r="A26" s="443"/>
      <c r="B26" s="333"/>
      <c r="C26" s="460"/>
      <c r="D26" s="470"/>
      <c r="E26" s="342"/>
      <c r="F26" s="342"/>
      <c r="G26" s="342"/>
      <c r="H26" s="342"/>
      <c r="I26" s="342"/>
      <c r="J26" s="342"/>
      <c r="K26" s="339"/>
      <c r="L26" s="339"/>
      <c r="M26" s="339"/>
      <c r="N26" s="339"/>
      <c r="O26" s="339"/>
      <c r="P26" s="339"/>
      <c r="Q26" s="339"/>
      <c r="R26" s="339"/>
      <c r="S26" s="339"/>
      <c r="T26" s="339"/>
      <c r="U26" s="339"/>
      <c r="V26" s="339"/>
      <c r="W26" s="339"/>
      <c r="X26" s="339"/>
      <c r="Y26" s="339"/>
      <c r="Z26" s="339"/>
      <c r="AA26" s="339"/>
      <c r="AB26" s="339"/>
      <c r="AC26" s="339"/>
      <c r="AD26" s="339"/>
      <c r="AE26" s="339"/>
      <c r="AF26" s="339"/>
      <c r="AG26" s="339"/>
      <c r="AH26" s="339"/>
      <c r="AI26" s="339"/>
      <c r="AJ26" s="339"/>
      <c r="AK26" s="339"/>
      <c r="AL26" s="339"/>
      <c r="AM26" s="352"/>
      <c r="AN26" s="352"/>
      <c r="AO26" s="127" t="s">
        <v>88</v>
      </c>
      <c r="AP26" s="97"/>
      <c r="AQ26" s="172"/>
      <c r="AR26" s="172"/>
      <c r="AS26" s="457"/>
      <c r="AT26" s="458"/>
      <c r="AU26" s="457"/>
      <c r="AV26" s="458"/>
      <c r="AW26" s="457"/>
      <c r="AX26" s="458"/>
      <c r="AY26" s="543"/>
      <c r="AZ26" s="544"/>
      <c r="BA26" s="363"/>
      <c r="BB26" s="341"/>
      <c r="BC26" s="341"/>
      <c r="BD26" s="341"/>
      <c r="BE26" s="341"/>
      <c r="BF26" s="341"/>
      <c r="BG26" s="341"/>
      <c r="BH26" s="341"/>
      <c r="BI26" s="341"/>
      <c r="BJ26" s="341"/>
      <c r="BK26" s="341"/>
      <c r="BL26" s="341"/>
      <c r="BM26" s="341"/>
      <c r="BN26" s="341"/>
      <c r="BO26" s="310"/>
      <c r="BP26" s="321"/>
      <c r="BQ26" s="341"/>
      <c r="BR26" s="341"/>
      <c r="BS26" s="341"/>
      <c r="BT26" s="341"/>
      <c r="BU26" s="341"/>
      <c r="BV26" s="341"/>
      <c r="BW26" s="310"/>
      <c r="BX26" s="341"/>
      <c r="BY26" s="341"/>
      <c r="BZ26" s="341"/>
      <c r="CA26" s="341"/>
      <c r="CB26" s="341"/>
      <c r="CC26" s="310"/>
      <c r="CD26" s="341"/>
      <c r="CE26" s="341"/>
      <c r="CF26" s="341"/>
      <c r="CG26" s="341"/>
      <c r="CH26" s="310"/>
      <c r="CI26" s="341"/>
      <c r="CJ26" s="310"/>
      <c r="CK26" s="310"/>
    </row>
    <row r="27" spans="1:89" s="4" customFormat="1" ht="36">
      <c r="A27" s="443"/>
      <c r="B27" s="333"/>
      <c r="C27" s="379" t="s">
        <v>243</v>
      </c>
      <c r="D27" s="388" t="s">
        <v>460</v>
      </c>
      <c r="E27" s="343">
        <v>1</v>
      </c>
      <c r="F27" s="325"/>
      <c r="G27" s="325"/>
      <c r="H27" s="325"/>
      <c r="I27" s="325"/>
      <c r="J27" s="325"/>
      <c r="K27" s="341"/>
      <c r="L27" s="341"/>
      <c r="M27" s="341"/>
      <c r="N27" s="341"/>
      <c r="O27" s="341"/>
      <c r="P27" s="341"/>
      <c r="Q27" s="341"/>
      <c r="R27" s="341"/>
      <c r="S27" s="341"/>
      <c r="T27" s="341"/>
      <c r="U27" s="341"/>
      <c r="V27" s="341"/>
      <c r="W27" s="341"/>
      <c r="X27" s="341"/>
      <c r="Y27" s="341"/>
      <c r="Z27" s="341"/>
      <c r="AA27" s="341"/>
      <c r="AB27" s="341"/>
      <c r="AC27" s="341"/>
      <c r="AD27" s="341"/>
      <c r="AE27" s="341"/>
      <c r="AF27" s="341"/>
      <c r="AG27" s="341"/>
      <c r="AH27" s="341"/>
      <c r="AI27" s="341"/>
      <c r="AJ27" s="341"/>
      <c r="AK27" s="341"/>
      <c r="AL27" s="341"/>
      <c r="AM27" s="325" t="s">
        <v>27</v>
      </c>
      <c r="AN27" s="325" t="s">
        <v>89</v>
      </c>
      <c r="AO27" s="127" t="s">
        <v>244</v>
      </c>
      <c r="AP27" s="172"/>
      <c r="AQ27" s="97"/>
      <c r="AR27" s="97"/>
      <c r="AS27" s="453">
        <v>600000000</v>
      </c>
      <c r="AT27" s="454"/>
      <c r="AU27" s="447">
        <v>1187641953</v>
      </c>
      <c r="AV27" s="448"/>
      <c r="AW27" s="447">
        <v>747750000</v>
      </c>
      <c r="AX27" s="448"/>
      <c r="AY27" s="447">
        <f>SUM(AS27:AX31)</f>
        <v>2535391953</v>
      </c>
      <c r="AZ27" s="448"/>
      <c r="BA27" s="341">
        <v>3000000000</v>
      </c>
      <c r="BB27" s="341">
        <v>100000000</v>
      </c>
      <c r="BC27" s="341"/>
      <c r="BD27" s="341"/>
      <c r="BE27" s="341"/>
      <c r="BF27" s="341"/>
      <c r="BG27" s="310"/>
      <c r="BH27" s="310"/>
      <c r="BI27" s="310"/>
      <c r="BJ27" s="310"/>
      <c r="BK27" s="310"/>
      <c r="BL27" s="310"/>
      <c r="BM27" s="310"/>
      <c r="BN27" s="310">
        <f>SUM(BC27:BM30)</f>
        <v>0</v>
      </c>
      <c r="BO27" s="310">
        <f>BN27+BB27</f>
        <v>100000000</v>
      </c>
      <c r="BP27" s="321"/>
      <c r="BQ27" s="341"/>
      <c r="BR27" s="341"/>
      <c r="BS27" s="341"/>
      <c r="BT27" s="341"/>
      <c r="BU27" s="341"/>
      <c r="BV27" s="310">
        <f>SUM(BQ27:BU30)</f>
        <v>0</v>
      </c>
      <c r="BW27" s="310">
        <f>BV27+BP27</f>
        <v>0</v>
      </c>
      <c r="BX27" s="341">
        <v>30000000</v>
      </c>
      <c r="BY27" s="341"/>
      <c r="BZ27" s="341"/>
      <c r="CA27" s="341"/>
      <c r="CB27" s="310">
        <f>SUM(BY27:CA30)</f>
        <v>0</v>
      </c>
      <c r="CC27" s="310">
        <f>CB27+BX27</f>
        <v>30000000</v>
      </c>
      <c r="CD27" s="341"/>
      <c r="CE27" s="341"/>
      <c r="CF27" s="341"/>
      <c r="CG27" s="310">
        <f>SUM(CE27:CF30)</f>
        <v>0</v>
      </c>
      <c r="CH27" s="310">
        <f>CG27+CD27</f>
        <v>0</v>
      </c>
      <c r="CI27" s="341"/>
      <c r="CJ27" s="310">
        <f>CH27+CC27+BW27+BO27+CI27</f>
        <v>130000000</v>
      </c>
      <c r="CK27" s="310"/>
    </row>
    <row r="28" spans="1:89" s="4" customFormat="1" ht="48">
      <c r="A28" s="443"/>
      <c r="B28" s="333"/>
      <c r="C28" s="380"/>
      <c r="D28" s="390"/>
      <c r="E28" s="344"/>
      <c r="F28" s="327"/>
      <c r="G28" s="327"/>
      <c r="H28" s="327"/>
      <c r="I28" s="327"/>
      <c r="J28" s="327"/>
      <c r="K28" s="341"/>
      <c r="L28" s="341"/>
      <c r="M28" s="341"/>
      <c r="N28" s="341"/>
      <c r="O28" s="341"/>
      <c r="P28" s="341"/>
      <c r="Q28" s="341"/>
      <c r="R28" s="341"/>
      <c r="S28" s="341"/>
      <c r="T28" s="341"/>
      <c r="U28" s="341"/>
      <c r="V28" s="341"/>
      <c r="W28" s="341"/>
      <c r="X28" s="341"/>
      <c r="Y28" s="341"/>
      <c r="Z28" s="341"/>
      <c r="AA28" s="341"/>
      <c r="AB28" s="341"/>
      <c r="AC28" s="341"/>
      <c r="AD28" s="341"/>
      <c r="AE28" s="341"/>
      <c r="AF28" s="341"/>
      <c r="AG28" s="341"/>
      <c r="AH28" s="341"/>
      <c r="AI28" s="341"/>
      <c r="AJ28" s="341"/>
      <c r="AK28" s="341"/>
      <c r="AL28" s="341"/>
      <c r="AM28" s="327"/>
      <c r="AN28" s="327"/>
      <c r="AO28" s="127" t="s">
        <v>462</v>
      </c>
      <c r="AP28" s="172">
        <v>3</v>
      </c>
      <c r="AQ28" s="97"/>
      <c r="AR28" s="97"/>
      <c r="AS28" s="455"/>
      <c r="AT28" s="456"/>
      <c r="AU28" s="449"/>
      <c r="AV28" s="450"/>
      <c r="AW28" s="449"/>
      <c r="AX28" s="450"/>
      <c r="AY28" s="449"/>
      <c r="AZ28" s="450"/>
      <c r="BA28" s="341"/>
      <c r="BB28" s="341"/>
      <c r="BC28" s="341"/>
      <c r="BD28" s="341"/>
      <c r="BE28" s="341"/>
      <c r="BF28" s="341"/>
      <c r="BG28" s="310"/>
      <c r="BH28" s="310"/>
      <c r="BI28" s="310"/>
      <c r="BJ28" s="310"/>
      <c r="BK28" s="310"/>
      <c r="BL28" s="310"/>
      <c r="BM28" s="310"/>
      <c r="BN28" s="310"/>
      <c r="BO28" s="310"/>
      <c r="BP28" s="321"/>
      <c r="BQ28" s="341"/>
      <c r="BR28" s="341"/>
      <c r="BS28" s="341"/>
      <c r="BT28" s="341"/>
      <c r="BU28" s="341"/>
      <c r="BV28" s="310"/>
      <c r="BW28" s="310"/>
      <c r="BX28" s="341"/>
      <c r="BY28" s="341"/>
      <c r="BZ28" s="341"/>
      <c r="CA28" s="341"/>
      <c r="CB28" s="310"/>
      <c r="CC28" s="310"/>
      <c r="CD28" s="341"/>
      <c r="CE28" s="341"/>
      <c r="CF28" s="341"/>
      <c r="CG28" s="310"/>
      <c r="CH28" s="310"/>
      <c r="CI28" s="341"/>
      <c r="CJ28" s="310"/>
      <c r="CK28" s="310"/>
    </row>
    <row r="29" spans="1:89" s="4" customFormat="1" ht="60" customHeight="1">
      <c r="A29" s="443"/>
      <c r="B29" s="333"/>
      <c r="C29" s="380"/>
      <c r="D29" s="127" t="s">
        <v>461</v>
      </c>
      <c r="E29" s="97"/>
      <c r="F29" s="151">
        <v>1</v>
      </c>
      <c r="G29" s="97"/>
      <c r="H29" s="97"/>
      <c r="I29" s="97"/>
      <c r="J29" s="97"/>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97" t="s">
        <v>27</v>
      </c>
      <c r="AN29" s="97" t="s">
        <v>29</v>
      </c>
      <c r="AO29" s="127" t="s">
        <v>245</v>
      </c>
      <c r="AP29" s="172"/>
      <c r="AQ29" s="172">
        <v>1</v>
      </c>
      <c r="AR29" s="97"/>
      <c r="AS29" s="455"/>
      <c r="AT29" s="456"/>
      <c r="AU29" s="449"/>
      <c r="AV29" s="450"/>
      <c r="AW29" s="449"/>
      <c r="AX29" s="450"/>
      <c r="AY29" s="449"/>
      <c r="AZ29" s="450"/>
      <c r="BA29" s="341"/>
      <c r="BB29" s="341"/>
      <c r="BC29" s="341"/>
      <c r="BD29" s="341"/>
      <c r="BE29" s="341"/>
      <c r="BF29" s="341"/>
      <c r="BG29" s="310"/>
      <c r="BH29" s="310"/>
      <c r="BI29" s="310"/>
      <c r="BJ29" s="310"/>
      <c r="BK29" s="310"/>
      <c r="BL29" s="310"/>
      <c r="BM29" s="310"/>
      <c r="BN29" s="310"/>
      <c r="BO29" s="310"/>
      <c r="BP29" s="321"/>
      <c r="BQ29" s="341"/>
      <c r="BR29" s="341"/>
      <c r="BS29" s="341"/>
      <c r="BT29" s="341"/>
      <c r="BU29" s="341"/>
      <c r="BV29" s="310"/>
      <c r="BW29" s="310"/>
      <c r="BX29" s="341"/>
      <c r="BY29" s="341"/>
      <c r="BZ29" s="341"/>
      <c r="CA29" s="341"/>
      <c r="CB29" s="310"/>
      <c r="CC29" s="310"/>
      <c r="CD29" s="341"/>
      <c r="CE29" s="341"/>
      <c r="CF29" s="341"/>
      <c r="CG29" s="310"/>
      <c r="CH29" s="310"/>
      <c r="CI29" s="341"/>
      <c r="CJ29" s="310"/>
      <c r="CK29" s="310"/>
    </row>
    <row r="30" spans="1:89" s="4" customFormat="1" ht="42.75" customHeight="1">
      <c r="A30" s="443"/>
      <c r="B30" s="333"/>
      <c r="C30" s="380"/>
      <c r="D30" s="388" t="s">
        <v>28</v>
      </c>
      <c r="E30" s="325"/>
      <c r="F30" s="343">
        <v>0.1</v>
      </c>
      <c r="G30" s="343">
        <v>0.15</v>
      </c>
      <c r="H30" s="343">
        <v>0.25</v>
      </c>
      <c r="I30" s="343">
        <v>0.25</v>
      </c>
      <c r="J30" s="343">
        <v>0.25</v>
      </c>
      <c r="K30" s="341"/>
      <c r="L30" s="341"/>
      <c r="M30" s="341"/>
      <c r="N30" s="341"/>
      <c r="O30" s="341"/>
      <c r="P30" s="341"/>
      <c r="Q30" s="341"/>
      <c r="R30" s="341"/>
      <c r="S30" s="341"/>
      <c r="T30" s="341"/>
      <c r="U30" s="341"/>
      <c r="V30" s="341"/>
      <c r="W30" s="341"/>
      <c r="X30" s="341"/>
      <c r="Y30" s="341"/>
      <c r="Z30" s="341"/>
      <c r="AA30" s="341"/>
      <c r="AB30" s="341"/>
      <c r="AC30" s="341"/>
      <c r="AD30" s="341"/>
      <c r="AE30" s="341"/>
      <c r="AF30" s="341"/>
      <c r="AG30" s="341"/>
      <c r="AH30" s="341"/>
      <c r="AI30" s="341"/>
      <c r="AJ30" s="341"/>
      <c r="AK30" s="341"/>
      <c r="AL30" s="341"/>
      <c r="AM30" s="325" t="s">
        <v>27</v>
      </c>
      <c r="AN30" s="325" t="s">
        <v>110</v>
      </c>
      <c r="AO30" s="127" t="s">
        <v>441</v>
      </c>
      <c r="AP30" s="97"/>
      <c r="AQ30" s="172"/>
      <c r="AR30" s="97"/>
      <c r="AS30" s="455"/>
      <c r="AT30" s="456"/>
      <c r="AU30" s="449"/>
      <c r="AV30" s="450"/>
      <c r="AW30" s="449"/>
      <c r="AX30" s="450"/>
      <c r="AY30" s="449"/>
      <c r="AZ30" s="450"/>
      <c r="BA30" s="341"/>
      <c r="BB30" s="341"/>
      <c r="BC30" s="341"/>
      <c r="BD30" s="341"/>
      <c r="BE30" s="341"/>
      <c r="BF30" s="341"/>
      <c r="BG30" s="310"/>
      <c r="BH30" s="310"/>
      <c r="BI30" s="310"/>
      <c r="BJ30" s="310"/>
      <c r="BK30" s="310"/>
      <c r="BL30" s="310"/>
      <c r="BM30" s="310"/>
      <c r="BN30" s="310"/>
      <c r="BO30" s="310"/>
      <c r="BP30" s="321"/>
      <c r="BQ30" s="341"/>
      <c r="BR30" s="341"/>
      <c r="BS30" s="341"/>
      <c r="BT30" s="341"/>
      <c r="BU30" s="341"/>
      <c r="BV30" s="310"/>
      <c r="BW30" s="310"/>
      <c r="BX30" s="341"/>
      <c r="BY30" s="341"/>
      <c r="BZ30" s="341"/>
      <c r="CA30" s="341"/>
      <c r="CB30" s="310"/>
      <c r="CC30" s="310"/>
      <c r="CD30" s="341"/>
      <c r="CE30" s="341"/>
      <c r="CF30" s="341"/>
      <c r="CG30" s="310"/>
      <c r="CH30" s="310"/>
      <c r="CI30" s="341"/>
      <c r="CJ30" s="310"/>
      <c r="CK30" s="310"/>
    </row>
    <row r="31" spans="1:89" s="4" customFormat="1" ht="30.75" customHeight="1">
      <c r="A31" s="443"/>
      <c r="B31" s="333"/>
      <c r="C31" s="381"/>
      <c r="D31" s="390"/>
      <c r="E31" s="327"/>
      <c r="F31" s="344"/>
      <c r="G31" s="344"/>
      <c r="H31" s="344"/>
      <c r="I31" s="344"/>
      <c r="J31" s="344"/>
      <c r="K31" s="341"/>
      <c r="L31" s="341"/>
      <c r="M31" s="341"/>
      <c r="N31" s="341"/>
      <c r="O31" s="341"/>
      <c r="P31" s="341"/>
      <c r="Q31" s="341"/>
      <c r="R31" s="341"/>
      <c r="S31" s="341"/>
      <c r="T31" s="341"/>
      <c r="U31" s="341"/>
      <c r="V31" s="341"/>
      <c r="W31" s="341"/>
      <c r="X31" s="341"/>
      <c r="Y31" s="341"/>
      <c r="Z31" s="341"/>
      <c r="AA31" s="341"/>
      <c r="AB31" s="341"/>
      <c r="AC31" s="341"/>
      <c r="AD31" s="341"/>
      <c r="AE31" s="341"/>
      <c r="AF31" s="341"/>
      <c r="AG31" s="341"/>
      <c r="AH31" s="341"/>
      <c r="AI31" s="341"/>
      <c r="AJ31" s="341"/>
      <c r="AK31" s="341"/>
      <c r="AL31" s="341"/>
      <c r="AM31" s="327"/>
      <c r="AN31" s="327"/>
      <c r="AO31" s="127" t="s">
        <v>246</v>
      </c>
      <c r="AP31" s="97"/>
      <c r="AQ31" s="172"/>
      <c r="AR31" s="172"/>
      <c r="AS31" s="457"/>
      <c r="AT31" s="458"/>
      <c r="AU31" s="449"/>
      <c r="AV31" s="450"/>
      <c r="AW31" s="449"/>
      <c r="AX31" s="450"/>
      <c r="AY31" s="451"/>
      <c r="AZ31" s="452"/>
      <c r="BA31" s="29"/>
      <c r="BB31" s="29"/>
      <c r="BC31" s="29"/>
      <c r="BD31" s="29"/>
      <c r="BE31" s="29"/>
      <c r="BF31" s="29"/>
      <c r="BG31" s="26"/>
      <c r="BH31" s="26"/>
      <c r="BI31" s="26"/>
      <c r="BJ31" s="26"/>
      <c r="BK31" s="26"/>
      <c r="BL31" s="26"/>
      <c r="BM31" s="26"/>
      <c r="BN31" s="26"/>
      <c r="BO31" s="26"/>
      <c r="BP31" s="71"/>
      <c r="BQ31" s="29"/>
      <c r="BR31" s="29"/>
      <c r="BS31" s="29"/>
      <c r="BT31" s="29"/>
      <c r="BU31" s="29"/>
      <c r="BV31" s="26"/>
      <c r="BW31" s="26"/>
      <c r="BX31" s="29"/>
      <c r="BY31" s="29"/>
      <c r="BZ31" s="29"/>
      <c r="CA31" s="29"/>
      <c r="CB31" s="26"/>
      <c r="CC31" s="26"/>
      <c r="CD31" s="29"/>
      <c r="CE31" s="29"/>
      <c r="CF31" s="29"/>
      <c r="CG31" s="26"/>
      <c r="CH31" s="26"/>
      <c r="CI31" s="29"/>
      <c r="CJ31" s="26"/>
      <c r="CK31" s="26"/>
    </row>
    <row r="32" spans="1:89" s="4" customFormat="1" ht="24" customHeight="1">
      <c r="A32" s="443"/>
      <c r="B32" s="333"/>
      <c r="C32" s="393" t="s">
        <v>247</v>
      </c>
      <c r="D32" s="488" t="s">
        <v>463</v>
      </c>
      <c r="E32" s="345">
        <v>0.8</v>
      </c>
      <c r="F32" s="346"/>
      <c r="G32" s="346"/>
      <c r="H32" s="345">
        <v>0.1</v>
      </c>
      <c r="I32" s="346"/>
      <c r="J32" s="345">
        <v>0.1</v>
      </c>
      <c r="K32" s="341"/>
      <c r="L32" s="341"/>
      <c r="M32" s="341"/>
      <c r="N32" s="341"/>
      <c r="O32" s="341"/>
      <c r="P32" s="341"/>
      <c r="Q32" s="341"/>
      <c r="R32" s="341"/>
      <c r="S32" s="341"/>
      <c r="T32" s="341"/>
      <c r="U32" s="341"/>
      <c r="V32" s="341"/>
      <c r="W32" s="341"/>
      <c r="X32" s="341"/>
      <c r="Y32" s="341"/>
      <c r="Z32" s="341"/>
      <c r="AA32" s="341"/>
      <c r="AB32" s="341"/>
      <c r="AC32" s="341"/>
      <c r="AD32" s="341"/>
      <c r="AE32" s="341"/>
      <c r="AF32" s="341"/>
      <c r="AG32" s="341"/>
      <c r="AH32" s="341"/>
      <c r="AI32" s="341"/>
      <c r="AJ32" s="341"/>
      <c r="AK32" s="341"/>
      <c r="AL32" s="341"/>
      <c r="AM32" s="346" t="s">
        <v>91</v>
      </c>
      <c r="AN32" s="352" t="s">
        <v>112</v>
      </c>
      <c r="AO32" s="127" t="s">
        <v>104</v>
      </c>
      <c r="AP32" s="172"/>
      <c r="AQ32" s="172"/>
      <c r="AR32" s="97"/>
      <c r="AS32" s="453">
        <v>1522435973</v>
      </c>
      <c r="AT32" s="454"/>
      <c r="AU32" s="447">
        <v>3913496210</v>
      </c>
      <c r="AV32" s="448"/>
      <c r="AW32" s="447">
        <v>1962801408</v>
      </c>
      <c r="AX32" s="448"/>
      <c r="AY32" s="447">
        <f>SUM(AS32:AX42)</f>
        <v>7398733591</v>
      </c>
      <c r="AZ32" s="448"/>
      <c r="BA32" s="363"/>
      <c r="BB32" s="341"/>
      <c r="BC32" s="341"/>
      <c r="BD32" s="341"/>
      <c r="BE32" s="341"/>
      <c r="BF32" s="341"/>
      <c r="BG32" s="341"/>
      <c r="BH32" s="341"/>
      <c r="BI32" s="341"/>
      <c r="BJ32" s="341"/>
      <c r="BK32" s="341"/>
      <c r="BL32" s="341"/>
      <c r="BM32" s="341"/>
      <c r="BN32" s="341">
        <f>SUM(BC32:BM33)</f>
        <v>0</v>
      </c>
      <c r="BO32" s="310">
        <f>BN32+BB32</f>
        <v>0</v>
      </c>
      <c r="BP32" s="321"/>
      <c r="BQ32" s="341"/>
      <c r="BR32" s="341"/>
      <c r="BS32" s="341"/>
      <c r="BT32" s="341"/>
      <c r="BU32" s="341"/>
      <c r="BV32" s="341">
        <f>SUM(BQ32:BU33)</f>
        <v>0</v>
      </c>
      <c r="BW32" s="310">
        <f>BV32+BP32</f>
        <v>0</v>
      </c>
      <c r="BX32" s="341"/>
      <c r="BY32" s="341"/>
      <c r="BZ32" s="341"/>
      <c r="CA32" s="341"/>
      <c r="CB32" s="341">
        <f>SUM(BY32:CA33)</f>
        <v>0</v>
      </c>
      <c r="CC32" s="310">
        <f>CB32+BX32</f>
        <v>0</v>
      </c>
      <c r="CD32" s="341"/>
      <c r="CE32" s="341"/>
      <c r="CF32" s="341"/>
      <c r="CG32" s="341">
        <f>SUM(CE32:CF33)</f>
        <v>0</v>
      </c>
      <c r="CH32" s="310">
        <f>CG32+CD32</f>
        <v>0</v>
      </c>
      <c r="CI32" s="341"/>
      <c r="CJ32" s="310">
        <f>CH32+CC32+BW32+BO32+CI32</f>
        <v>0</v>
      </c>
      <c r="CK32" s="310"/>
    </row>
    <row r="33" spans="1:90" s="4" customFormat="1" ht="60">
      <c r="A33" s="443"/>
      <c r="B33" s="333"/>
      <c r="C33" s="394"/>
      <c r="D33" s="488"/>
      <c r="E33" s="345"/>
      <c r="F33" s="346"/>
      <c r="G33" s="346"/>
      <c r="H33" s="345"/>
      <c r="I33" s="346"/>
      <c r="J33" s="345"/>
      <c r="K33" s="341"/>
      <c r="L33" s="341"/>
      <c r="M33" s="341"/>
      <c r="N33" s="341"/>
      <c r="O33" s="341"/>
      <c r="P33" s="341"/>
      <c r="Q33" s="341"/>
      <c r="R33" s="341"/>
      <c r="S33" s="341"/>
      <c r="T33" s="341"/>
      <c r="U33" s="341"/>
      <c r="V33" s="341"/>
      <c r="W33" s="341"/>
      <c r="X33" s="341"/>
      <c r="Y33" s="341"/>
      <c r="Z33" s="341"/>
      <c r="AA33" s="341"/>
      <c r="AB33" s="341"/>
      <c r="AC33" s="341"/>
      <c r="AD33" s="341"/>
      <c r="AE33" s="341"/>
      <c r="AF33" s="341"/>
      <c r="AG33" s="341"/>
      <c r="AH33" s="341"/>
      <c r="AI33" s="341"/>
      <c r="AJ33" s="341"/>
      <c r="AK33" s="341"/>
      <c r="AL33" s="341"/>
      <c r="AM33" s="346"/>
      <c r="AN33" s="352"/>
      <c r="AO33" s="127" t="s">
        <v>466</v>
      </c>
      <c r="AP33" s="172"/>
      <c r="AQ33" s="172"/>
      <c r="AR33" s="172"/>
      <c r="AS33" s="455"/>
      <c r="AT33" s="456"/>
      <c r="AU33" s="449"/>
      <c r="AV33" s="450"/>
      <c r="AW33" s="449"/>
      <c r="AX33" s="450"/>
      <c r="AY33" s="449"/>
      <c r="AZ33" s="450"/>
      <c r="BA33" s="363"/>
      <c r="BB33" s="341"/>
      <c r="BC33" s="341"/>
      <c r="BD33" s="341"/>
      <c r="BE33" s="341"/>
      <c r="BF33" s="341"/>
      <c r="BG33" s="341"/>
      <c r="BH33" s="341"/>
      <c r="BI33" s="341"/>
      <c r="BJ33" s="341"/>
      <c r="BK33" s="341"/>
      <c r="BL33" s="341"/>
      <c r="BM33" s="341"/>
      <c r="BN33" s="341"/>
      <c r="BO33" s="310"/>
      <c r="BP33" s="321"/>
      <c r="BQ33" s="341"/>
      <c r="BR33" s="341"/>
      <c r="BS33" s="341"/>
      <c r="BT33" s="341"/>
      <c r="BU33" s="341"/>
      <c r="BV33" s="341"/>
      <c r="BW33" s="310"/>
      <c r="BX33" s="341"/>
      <c r="BY33" s="341"/>
      <c r="BZ33" s="341"/>
      <c r="CA33" s="341"/>
      <c r="CB33" s="341"/>
      <c r="CC33" s="310"/>
      <c r="CD33" s="341"/>
      <c r="CE33" s="341"/>
      <c r="CF33" s="341"/>
      <c r="CG33" s="341"/>
      <c r="CH33" s="310"/>
      <c r="CI33" s="341"/>
      <c r="CJ33" s="310"/>
      <c r="CK33" s="310"/>
    </row>
    <row r="34" spans="1:90" s="4" customFormat="1" ht="36">
      <c r="A34" s="443"/>
      <c r="B34" s="333"/>
      <c r="C34" s="394"/>
      <c r="D34" s="488" t="s">
        <v>248</v>
      </c>
      <c r="E34" s="345">
        <v>0.5</v>
      </c>
      <c r="F34" s="345"/>
      <c r="G34" s="345">
        <v>0.25</v>
      </c>
      <c r="H34" s="346"/>
      <c r="I34" s="345">
        <v>0.25</v>
      </c>
      <c r="J34" s="346"/>
      <c r="K34" s="341"/>
      <c r="L34" s="341"/>
      <c r="M34" s="341"/>
      <c r="N34" s="341"/>
      <c r="O34" s="341"/>
      <c r="P34" s="341"/>
      <c r="Q34" s="341"/>
      <c r="R34" s="341"/>
      <c r="S34" s="341"/>
      <c r="T34" s="341"/>
      <c r="U34" s="341"/>
      <c r="V34" s="341"/>
      <c r="W34" s="341"/>
      <c r="X34" s="341"/>
      <c r="Y34" s="341"/>
      <c r="Z34" s="341"/>
      <c r="AA34" s="341"/>
      <c r="AB34" s="341"/>
      <c r="AC34" s="341"/>
      <c r="AD34" s="341"/>
      <c r="AE34" s="341"/>
      <c r="AF34" s="341"/>
      <c r="AG34" s="341"/>
      <c r="AH34" s="341"/>
      <c r="AI34" s="341"/>
      <c r="AJ34" s="341"/>
      <c r="AK34" s="341"/>
      <c r="AL34" s="341"/>
      <c r="AM34" s="346" t="s">
        <v>27</v>
      </c>
      <c r="AN34" s="352" t="s">
        <v>113</v>
      </c>
      <c r="AO34" s="127" t="s">
        <v>467</v>
      </c>
      <c r="AP34" s="172"/>
      <c r="AQ34" s="172"/>
      <c r="AR34" s="97"/>
      <c r="AS34" s="455"/>
      <c r="AT34" s="456"/>
      <c r="AU34" s="449"/>
      <c r="AV34" s="450"/>
      <c r="AW34" s="449"/>
      <c r="AX34" s="450"/>
      <c r="AY34" s="449"/>
      <c r="AZ34" s="450"/>
      <c r="BA34" s="363"/>
      <c r="BB34" s="341">
        <f>30000000+20000000</f>
        <v>50000000</v>
      </c>
      <c r="BC34" s="341"/>
      <c r="BD34" s="341"/>
      <c r="BE34" s="341"/>
      <c r="BF34" s="341"/>
      <c r="BG34" s="341"/>
      <c r="BH34" s="341"/>
      <c r="BI34" s="341"/>
      <c r="BJ34" s="341"/>
      <c r="BK34" s="341"/>
      <c r="BL34" s="341"/>
      <c r="BM34" s="341"/>
      <c r="BN34" s="341">
        <f>SUM(BC34:BM36)</f>
        <v>0</v>
      </c>
      <c r="BO34" s="310">
        <f>BN34+BB34</f>
        <v>50000000</v>
      </c>
      <c r="BP34" s="321"/>
      <c r="BQ34" s="341"/>
      <c r="BR34" s="341"/>
      <c r="BS34" s="341"/>
      <c r="BT34" s="341"/>
      <c r="BU34" s="341"/>
      <c r="BV34" s="341">
        <f>SUM(BQ34:BU36)</f>
        <v>0</v>
      </c>
      <c r="BW34" s="310">
        <f>BV34+BP34</f>
        <v>0</v>
      </c>
      <c r="BX34" s="341">
        <v>25000000</v>
      </c>
      <c r="BY34" s="341"/>
      <c r="BZ34" s="341"/>
      <c r="CA34" s="341"/>
      <c r="CB34" s="341">
        <f>SUM(BY34:CA36)</f>
        <v>0</v>
      </c>
      <c r="CC34" s="310">
        <f>CB34+BX34</f>
        <v>25000000</v>
      </c>
      <c r="CD34" s="341"/>
      <c r="CE34" s="341"/>
      <c r="CF34" s="341"/>
      <c r="CG34" s="341">
        <f>SUM(CE34:CF36)</f>
        <v>0</v>
      </c>
      <c r="CH34" s="310">
        <f>CG34+CD34</f>
        <v>0</v>
      </c>
      <c r="CI34" s="341"/>
      <c r="CJ34" s="310">
        <f>CH34+CC34+BW34+BO34+CI34</f>
        <v>75000000</v>
      </c>
      <c r="CK34" s="310"/>
    </row>
    <row r="35" spans="1:90" s="4" customFormat="1" ht="48">
      <c r="A35" s="443"/>
      <c r="B35" s="333"/>
      <c r="C35" s="394"/>
      <c r="D35" s="488"/>
      <c r="E35" s="345"/>
      <c r="F35" s="345"/>
      <c r="G35" s="345"/>
      <c r="H35" s="346"/>
      <c r="I35" s="345"/>
      <c r="J35" s="346"/>
      <c r="K35" s="341"/>
      <c r="L35" s="341"/>
      <c r="M35" s="341"/>
      <c r="N35" s="341"/>
      <c r="O35" s="341"/>
      <c r="P35" s="341"/>
      <c r="Q35" s="341"/>
      <c r="R35" s="341"/>
      <c r="S35" s="341"/>
      <c r="T35" s="341"/>
      <c r="U35" s="341"/>
      <c r="V35" s="341"/>
      <c r="W35" s="341"/>
      <c r="X35" s="341"/>
      <c r="Y35" s="341"/>
      <c r="Z35" s="341"/>
      <c r="AA35" s="341"/>
      <c r="AB35" s="341"/>
      <c r="AC35" s="341"/>
      <c r="AD35" s="341"/>
      <c r="AE35" s="341"/>
      <c r="AF35" s="341"/>
      <c r="AG35" s="341"/>
      <c r="AH35" s="341"/>
      <c r="AI35" s="341"/>
      <c r="AJ35" s="341"/>
      <c r="AK35" s="341"/>
      <c r="AL35" s="341"/>
      <c r="AM35" s="346"/>
      <c r="AN35" s="352"/>
      <c r="AO35" s="127" t="s">
        <v>249</v>
      </c>
      <c r="AP35" s="97"/>
      <c r="AQ35" s="172"/>
      <c r="AR35" s="97"/>
      <c r="AS35" s="455"/>
      <c r="AT35" s="456"/>
      <c r="AU35" s="449"/>
      <c r="AV35" s="450"/>
      <c r="AW35" s="449"/>
      <c r="AX35" s="450"/>
      <c r="AY35" s="449"/>
      <c r="AZ35" s="450"/>
      <c r="BA35" s="363"/>
      <c r="BB35" s="341"/>
      <c r="BC35" s="341"/>
      <c r="BD35" s="341"/>
      <c r="BE35" s="341"/>
      <c r="BF35" s="341"/>
      <c r="BG35" s="341"/>
      <c r="BH35" s="341"/>
      <c r="BI35" s="341"/>
      <c r="BJ35" s="341"/>
      <c r="BK35" s="341"/>
      <c r="BL35" s="341"/>
      <c r="BM35" s="341"/>
      <c r="BN35" s="341"/>
      <c r="BO35" s="310"/>
      <c r="BP35" s="321"/>
      <c r="BQ35" s="341"/>
      <c r="BR35" s="341"/>
      <c r="BS35" s="341"/>
      <c r="BT35" s="341"/>
      <c r="BU35" s="341"/>
      <c r="BV35" s="341"/>
      <c r="BW35" s="310"/>
      <c r="BX35" s="341"/>
      <c r="BY35" s="341"/>
      <c r="BZ35" s="341"/>
      <c r="CA35" s="341"/>
      <c r="CB35" s="341"/>
      <c r="CC35" s="310"/>
      <c r="CD35" s="341"/>
      <c r="CE35" s="341"/>
      <c r="CF35" s="341"/>
      <c r="CG35" s="341"/>
      <c r="CH35" s="310"/>
      <c r="CI35" s="341"/>
      <c r="CJ35" s="310"/>
      <c r="CK35" s="310"/>
    </row>
    <row r="36" spans="1:90" s="4" customFormat="1" ht="24">
      <c r="A36" s="443"/>
      <c r="B36" s="333"/>
      <c r="C36" s="394"/>
      <c r="D36" s="488"/>
      <c r="E36" s="345"/>
      <c r="F36" s="345"/>
      <c r="G36" s="345"/>
      <c r="H36" s="346"/>
      <c r="I36" s="345"/>
      <c r="J36" s="346"/>
      <c r="K36" s="341"/>
      <c r="L36" s="341"/>
      <c r="M36" s="341"/>
      <c r="N36" s="341"/>
      <c r="O36" s="341"/>
      <c r="P36" s="341"/>
      <c r="Q36" s="341"/>
      <c r="R36" s="341"/>
      <c r="S36" s="341"/>
      <c r="T36" s="341"/>
      <c r="U36" s="341"/>
      <c r="V36" s="341"/>
      <c r="W36" s="341"/>
      <c r="X36" s="341"/>
      <c r="Y36" s="341"/>
      <c r="Z36" s="341"/>
      <c r="AA36" s="341"/>
      <c r="AB36" s="341"/>
      <c r="AC36" s="341"/>
      <c r="AD36" s="341"/>
      <c r="AE36" s="341"/>
      <c r="AF36" s="341"/>
      <c r="AG36" s="341"/>
      <c r="AH36" s="341"/>
      <c r="AI36" s="341"/>
      <c r="AJ36" s="341"/>
      <c r="AK36" s="341"/>
      <c r="AL36" s="341"/>
      <c r="AM36" s="346"/>
      <c r="AN36" s="352"/>
      <c r="AO36" s="127" t="s">
        <v>114</v>
      </c>
      <c r="AP36" s="97"/>
      <c r="AQ36" s="97"/>
      <c r="AR36" s="172"/>
      <c r="AS36" s="455"/>
      <c r="AT36" s="456"/>
      <c r="AU36" s="449"/>
      <c r="AV36" s="450"/>
      <c r="AW36" s="449"/>
      <c r="AX36" s="450"/>
      <c r="AY36" s="449"/>
      <c r="AZ36" s="450"/>
      <c r="BA36" s="363"/>
      <c r="BB36" s="341"/>
      <c r="BC36" s="341"/>
      <c r="BD36" s="341"/>
      <c r="BE36" s="341"/>
      <c r="BF36" s="341"/>
      <c r="BG36" s="341"/>
      <c r="BH36" s="341"/>
      <c r="BI36" s="341"/>
      <c r="BJ36" s="341"/>
      <c r="BK36" s="341"/>
      <c r="BL36" s="341"/>
      <c r="BM36" s="341"/>
      <c r="BN36" s="341"/>
      <c r="BO36" s="310"/>
      <c r="BP36" s="321"/>
      <c r="BQ36" s="341"/>
      <c r="BR36" s="341"/>
      <c r="BS36" s="341"/>
      <c r="BT36" s="341"/>
      <c r="BU36" s="341"/>
      <c r="BV36" s="341"/>
      <c r="BW36" s="310"/>
      <c r="BX36" s="341"/>
      <c r="BY36" s="341"/>
      <c r="BZ36" s="341"/>
      <c r="CA36" s="341"/>
      <c r="CB36" s="341"/>
      <c r="CC36" s="310"/>
      <c r="CD36" s="341"/>
      <c r="CE36" s="341"/>
      <c r="CF36" s="341"/>
      <c r="CG36" s="341"/>
      <c r="CH36" s="310"/>
      <c r="CI36" s="341"/>
      <c r="CJ36" s="310"/>
      <c r="CK36" s="310"/>
    </row>
    <row r="37" spans="1:90" s="4" customFormat="1" ht="60">
      <c r="A37" s="443"/>
      <c r="B37" s="333"/>
      <c r="C37" s="394"/>
      <c r="D37" s="470" t="s">
        <v>464</v>
      </c>
      <c r="E37" s="345">
        <v>0.5</v>
      </c>
      <c r="F37" s="345">
        <v>0.1</v>
      </c>
      <c r="G37" s="345">
        <v>0.1</v>
      </c>
      <c r="H37" s="345">
        <v>0.1</v>
      </c>
      <c r="I37" s="345">
        <v>0.1</v>
      </c>
      <c r="J37" s="345">
        <v>0.1</v>
      </c>
      <c r="K37" s="341"/>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346" t="s">
        <v>92</v>
      </c>
      <c r="AN37" s="352" t="s">
        <v>118</v>
      </c>
      <c r="AO37" s="127" t="s">
        <v>468</v>
      </c>
      <c r="AP37" s="172"/>
      <c r="AQ37" s="172"/>
      <c r="AR37" s="97"/>
      <c r="AS37" s="455"/>
      <c r="AT37" s="456"/>
      <c r="AU37" s="449"/>
      <c r="AV37" s="450"/>
      <c r="AW37" s="449"/>
      <c r="AX37" s="450"/>
      <c r="AY37" s="449"/>
      <c r="AZ37" s="450"/>
      <c r="BA37" s="363"/>
      <c r="BB37" s="341">
        <v>1015515000</v>
      </c>
      <c r="BC37" s="341"/>
      <c r="BD37" s="341"/>
      <c r="BE37" s="341"/>
      <c r="BF37" s="341"/>
      <c r="BG37" s="341"/>
      <c r="BH37" s="341"/>
      <c r="BI37" s="341"/>
      <c r="BJ37" s="341"/>
      <c r="BK37" s="341"/>
      <c r="BL37" s="341"/>
      <c r="BM37" s="341"/>
      <c r="BN37" s="341">
        <f>SUM(BC37:BM40)</f>
        <v>0</v>
      </c>
      <c r="BO37" s="310">
        <f>BN37+BB37</f>
        <v>1015515000</v>
      </c>
      <c r="BP37" s="321"/>
      <c r="BQ37" s="341"/>
      <c r="BR37" s="341"/>
      <c r="BS37" s="341"/>
      <c r="BT37" s="341"/>
      <c r="BU37" s="341"/>
      <c r="BV37" s="341">
        <f>SUM(BQ37:BU40)</f>
        <v>0</v>
      </c>
      <c r="BW37" s="310">
        <f>BV37+BP37</f>
        <v>0</v>
      </c>
      <c r="BX37" s="341">
        <v>60000000</v>
      </c>
      <c r="BY37" s="341"/>
      <c r="BZ37" s="341"/>
      <c r="CA37" s="341"/>
      <c r="CB37" s="341">
        <f>SUM(BY37:CA40)</f>
        <v>0</v>
      </c>
      <c r="CC37" s="310">
        <f>CB37+BX37</f>
        <v>60000000</v>
      </c>
      <c r="CD37" s="341"/>
      <c r="CE37" s="341"/>
      <c r="CF37" s="341"/>
      <c r="CG37" s="341">
        <f>SUM(CE37:CF40)</f>
        <v>0</v>
      </c>
      <c r="CH37" s="310">
        <f>CG37+CD37</f>
        <v>0</v>
      </c>
      <c r="CI37" s="341"/>
      <c r="CJ37" s="310">
        <f>CH37+CC37+BW37+BO37+CI37</f>
        <v>1075515000</v>
      </c>
      <c r="CK37" s="310"/>
    </row>
    <row r="38" spans="1:90" s="4" customFormat="1" ht="60">
      <c r="A38" s="443"/>
      <c r="B38" s="333"/>
      <c r="C38" s="394"/>
      <c r="D38" s="470"/>
      <c r="E38" s="345"/>
      <c r="F38" s="345"/>
      <c r="G38" s="345"/>
      <c r="H38" s="345"/>
      <c r="I38" s="345"/>
      <c r="J38" s="345"/>
      <c r="K38" s="341"/>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346"/>
      <c r="AN38" s="352"/>
      <c r="AO38" s="127" t="s">
        <v>250</v>
      </c>
      <c r="AP38" s="172"/>
      <c r="AQ38" s="97"/>
      <c r="AR38" s="97"/>
      <c r="AS38" s="455"/>
      <c r="AT38" s="456"/>
      <c r="AU38" s="449"/>
      <c r="AV38" s="450"/>
      <c r="AW38" s="449"/>
      <c r="AX38" s="450"/>
      <c r="AY38" s="449"/>
      <c r="AZ38" s="450"/>
      <c r="BA38" s="363"/>
      <c r="BB38" s="341"/>
      <c r="BC38" s="341"/>
      <c r="BD38" s="341"/>
      <c r="BE38" s="341"/>
      <c r="BF38" s="341"/>
      <c r="BG38" s="341"/>
      <c r="BH38" s="341"/>
      <c r="BI38" s="341"/>
      <c r="BJ38" s="341"/>
      <c r="BK38" s="341"/>
      <c r="BL38" s="341"/>
      <c r="BM38" s="341"/>
      <c r="BN38" s="341"/>
      <c r="BO38" s="310"/>
      <c r="BP38" s="321"/>
      <c r="BQ38" s="341"/>
      <c r="BR38" s="341"/>
      <c r="BS38" s="341"/>
      <c r="BT38" s="341"/>
      <c r="BU38" s="341"/>
      <c r="BV38" s="341"/>
      <c r="BW38" s="310"/>
      <c r="BX38" s="341"/>
      <c r="BY38" s="341"/>
      <c r="BZ38" s="341"/>
      <c r="CA38" s="341"/>
      <c r="CB38" s="341"/>
      <c r="CC38" s="310"/>
      <c r="CD38" s="341"/>
      <c r="CE38" s="341"/>
      <c r="CF38" s="341"/>
      <c r="CG38" s="341"/>
      <c r="CH38" s="310"/>
      <c r="CI38" s="341"/>
      <c r="CJ38" s="310"/>
      <c r="CK38" s="310"/>
    </row>
    <row r="39" spans="1:90" s="4" customFormat="1" ht="36">
      <c r="A39" s="443"/>
      <c r="B39" s="333"/>
      <c r="C39" s="394"/>
      <c r="D39" s="470"/>
      <c r="E39" s="345"/>
      <c r="F39" s="345"/>
      <c r="G39" s="345"/>
      <c r="H39" s="345"/>
      <c r="I39" s="345"/>
      <c r="J39" s="345"/>
      <c r="K39" s="341"/>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346"/>
      <c r="AN39" s="352"/>
      <c r="AO39" s="127" t="s">
        <v>115</v>
      </c>
      <c r="AP39" s="172"/>
      <c r="AQ39" s="172"/>
      <c r="AR39" s="97"/>
      <c r="AS39" s="455"/>
      <c r="AT39" s="456"/>
      <c r="AU39" s="449"/>
      <c r="AV39" s="450"/>
      <c r="AW39" s="449"/>
      <c r="AX39" s="450"/>
      <c r="AY39" s="449"/>
      <c r="AZ39" s="450"/>
      <c r="BA39" s="363"/>
      <c r="BB39" s="341"/>
      <c r="BC39" s="341"/>
      <c r="BD39" s="341"/>
      <c r="BE39" s="341"/>
      <c r="BF39" s="341"/>
      <c r="BG39" s="341"/>
      <c r="BH39" s="341"/>
      <c r="BI39" s="341"/>
      <c r="BJ39" s="341"/>
      <c r="BK39" s="341"/>
      <c r="BL39" s="341"/>
      <c r="BM39" s="341"/>
      <c r="BN39" s="341"/>
      <c r="BO39" s="310"/>
      <c r="BP39" s="321"/>
      <c r="BQ39" s="341"/>
      <c r="BR39" s="341"/>
      <c r="BS39" s="341"/>
      <c r="BT39" s="341"/>
      <c r="BU39" s="341"/>
      <c r="BV39" s="341"/>
      <c r="BW39" s="310"/>
      <c r="BX39" s="341"/>
      <c r="BY39" s="341"/>
      <c r="BZ39" s="341"/>
      <c r="CA39" s="341"/>
      <c r="CB39" s="341"/>
      <c r="CC39" s="310"/>
      <c r="CD39" s="341"/>
      <c r="CE39" s="341"/>
      <c r="CF39" s="341"/>
      <c r="CG39" s="341"/>
      <c r="CH39" s="310"/>
      <c r="CI39" s="341"/>
      <c r="CJ39" s="310"/>
      <c r="CK39" s="310"/>
    </row>
    <row r="40" spans="1:90" s="4" customFormat="1" ht="48">
      <c r="A40" s="443"/>
      <c r="B40" s="333"/>
      <c r="C40" s="394"/>
      <c r="D40" s="470"/>
      <c r="E40" s="345"/>
      <c r="F40" s="345"/>
      <c r="G40" s="345"/>
      <c r="H40" s="345"/>
      <c r="I40" s="345"/>
      <c r="J40" s="345"/>
      <c r="K40" s="341"/>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346"/>
      <c r="AN40" s="352"/>
      <c r="AO40" s="127" t="s">
        <v>116</v>
      </c>
      <c r="AP40" s="97"/>
      <c r="AQ40" s="172"/>
      <c r="AR40" s="97"/>
      <c r="AS40" s="455"/>
      <c r="AT40" s="456"/>
      <c r="AU40" s="449"/>
      <c r="AV40" s="450"/>
      <c r="AW40" s="449"/>
      <c r="AX40" s="450"/>
      <c r="AY40" s="449"/>
      <c r="AZ40" s="450"/>
      <c r="BA40" s="363"/>
      <c r="BB40" s="341"/>
      <c r="BC40" s="341"/>
      <c r="BD40" s="341"/>
      <c r="BE40" s="341"/>
      <c r="BF40" s="341"/>
      <c r="BG40" s="341"/>
      <c r="BH40" s="341"/>
      <c r="BI40" s="341"/>
      <c r="BJ40" s="341"/>
      <c r="BK40" s="341"/>
      <c r="BL40" s="341"/>
      <c r="BM40" s="341"/>
      <c r="BN40" s="341"/>
      <c r="BO40" s="310"/>
      <c r="BP40" s="321"/>
      <c r="BQ40" s="341"/>
      <c r="BR40" s="341"/>
      <c r="BS40" s="341"/>
      <c r="BT40" s="341"/>
      <c r="BU40" s="341"/>
      <c r="BV40" s="341"/>
      <c r="BW40" s="310"/>
      <c r="BX40" s="341"/>
      <c r="BY40" s="341"/>
      <c r="BZ40" s="341"/>
      <c r="CA40" s="341"/>
      <c r="CB40" s="341"/>
      <c r="CC40" s="310"/>
      <c r="CD40" s="341"/>
      <c r="CE40" s="341"/>
      <c r="CF40" s="341"/>
      <c r="CG40" s="341"/>
      <c r="CH40" s="310"/>
      <c r="CI40" s="341"/>
      <c r="CJ40" s="310"/>
      <c r="CK40" s="310"/>
    </row>
    <row r="41" spans="1:90" s="4" customFormat="1" ht="72">
      <c r="A41" s="443"/>
      <c r="B41" s="333"/>
      <c r="C41" s="394"/>
      <c r="D41" s="388" t="s">
        <v>465</v>
      </c>
      <c r="E41" s="329"/>
      <c r="F41" s="471">
        <v>60</v>
      </c>
      <c r="G41" s="329"/>
      <c r="H41" s="471">
        <v>70</v>
      </c>
      <c r="I41" s="329"/>
      <c r="J41" s="471">
        <v>70</v>
      </c>
      <c r="K41" s="341"/>
      <c r="L41" s="341"/>
      <c r="M41" s="341"/>
      <c r="N41" s="341"/>
      <c r="O41" s="341"/>
      <c r="P41" s="341"/>
      <c r="Q41" s="341"/>
      <c r="R41" s="341"/>
      <c r="S41" s="341"/>
      <c r="T41" s="341"/>
      <c r="U41" s="341"/>
      <c r="V41" s="341"/>
      <c r="W41" s="341"/>
      <c r="X41" s="341"/>
      <c r="Y41" s="341"/>
      <c r="Z41" s="341"/>
      <c r="AA41" s="341"/>
      <c r="AB41" s="341"/>
      <c r="AC41" s="341"/>
      <c r="AD41" s="341"/>
      <c r="AE41" s="341"/>
      <c r="AF41" s="341"/>
      <c r="AG41" s="341"/>
      <c r="AH41" s="341"/>
      <c r="AI41" s="341"/>
      <c r="AJ41" s="341"/>
      <c r="AK41" s="341"/>
      <c r="AL41" s="341"/>
      <c r="AM41" s="96" t="s">
        <v>101</v>
      </c>
      <c r="AN41" s="97" t="s">
        <v>106</v>
      </c>
      <c r="AO41" s="127" t="s">
        <v>469</v>
      </c>
      <c r="AP41" s="172"/>
      <c r="AQ41" s="172"/>
      <c r="AR41" s="172"/>
      <c r="AS41" s="455"/>
      <c r="AT41" s="456"/>
      <c r="AU41" s="449"/>
      <c r="AV41" s="450"/>
      <c r="AW41" s="449"/>
      <c r="AX41" s="450"/>
      <c r="AY41" s="449"/>
      <c r="AZ41" s="450"/>
      <c r="BA41" s="44"/>
      <c r="BB41" s="29">
        <v>5795515000</v>
      </c>
      <c r="BC41" s="23"/>
      <c r="BD41" s="23"/>
      <c r="BE41" s="23"/>
      <c r="BF41" s="23"/>
      <c r="BG41" s="23"/>
      <c r="BH41" s="23"/>
      <c r="BI41" s="23"/>
      <c r="BJ41" s="23"/>
      <c r="BK41" s="23"/>
      <c r="BL41" s="23"/>
      <c r="BM41" s="23"/>
      <c r="BN41" s="29">
        <f>SUM(BC41:BM41)</f>
        <v>0</v>
      </c>
      <c r="BO41" s="26">
        <f>BN41+BB41</f>
        <v>5795515000</v>
      </c>
      <c r="BP41" s="401"/>
      <c r="BQ41" s="23"/>
      <c r="BR41" s="23"/>
      <c r="BS41" s="23"/>
      <c r="BT41" s="23"/>
      <c r="BU41" s="23"/>
      <c r="BV41" s="29">
        <f>SUM(BQ41:BU41)</f>
        <v>0</v>
      </c>
      <c r="BW41" s="26">
        <f>BV41+BP41</f>
        <v>0</v>
      </c>
      <c r="BX41" s="29">
        <v>407000000</v>
      </c>
      <c r="BY41" s="23"/>
      <c r="BZ41" s="23"/>
      <c r="CA41" s="23"/>
      <c r="CB41" s="29">
        <f>SUM(BY41:CA41)</f>
        <v>0</v>
      </c>
      <c r="CC41" s="26">
        <f>CB41+BX41</f>
        <v>407000000</v>
      </c>
      <c r="CD41" s="29">
        <v>160000000</v>
      </c>
      <c r="CE41" s="23">
        <v>30000000</v>
      </c>
      <c r="CF41" s="23">
        <v>80000000</v>
      </c>
      <c r="CG41" s="29">
        <f>SUM(CE41:CF41)</f>
        <v>110000000</v>
      </c>
      <c r="CH41" s="26">
        <f>CG41+CD41</f>
        <v>270000000</v>
      </c>
      <c r="CI41" s="23"/>
      <c r="CJ41" s="26">
        <f>CH41+CC41+BW41+BO41+CI41</f>
        <v>6472515000</v>
      </c>
      <c r="CK41" s="26"/>
    </row>
    <row r="42" spans="1:90" s="4" customFormat="1" ht="48">
      <c r="A42" s="443"/>
      <c r="B42" s="333"/>
      <c r="C42" s="395"/>
      <c r="D42" s="390"/>
      <c r="E42" s="331"/>
      <c r="F42" s="472"/>
      <c r="G42" s="331"/>
      <c r="H42" s="472"/>
      <c r="I42" s="331"/>
      <c r="J42" s="472"/>
      <c r="K42" s="341"/>
      <c r="L42" s="341"/>
      <c r="M42" s="341"/>
      <c r="N42" s="341"/>
      <c r="O42" s="341"/>
      <c r="P42" s="341"/>
      <c r="Q42" s="341"/>
      <c r="R42" s="341"/>
      <c r="S42" s="341"/>
      <c r="T42" s="341"/>
      <c r="U42" s="341"/>
      <c r="V42" s="341"/>
      <c r="W42" s="341"/>
      <c r="X42" s="341"/>
      <c r="Y42" s="341"/>
      <c r="Z42" s="341"/>
      <c r="AA42" s="341"/>
      <c r="AB42" s="341"/>
      <c r="AC42" s="341"/>
      <c r="AD42" s="341"/>
      <c r="AE42" s="341"/>
      <c r="AF42" s="341"/>
      <c r="AG42" s="341"/>
      <c r="AH42" s="341"/>
      <c r="AI42" s="341"/>
      <c r="AJ42" s="341"/>
      <c r="AK42" s="341"/>
      <c r="AL42" s="341"/>
      <c r="AM42" s="96"/>
      <c r="AN42" s="97"/>
      <c r="AO42" s="127" t="s">
        <v>470</v>
      </c>
      <c r="AP42" s="172"/>
      <c r="AQ42" s="172"/>
      <c r="AR42" s="172"/>
      <c r="AS42" s="457"/>
      <c r="AT42" s="458"/>
      <c r="AU42" s="451"/>
      <c r="AV42" s="452"/>
      <c r="AW42" s="451"/>
      <c r="AX42" s="452"/>
      <c r="AY42" s="451"/>
      <c r="AZ42" s="452"/>
      <c r="BA42" s="141"/>
      <c r="BB42" s="29"/>
      <c r="BC42" s="23"/>
      <c r="BD42" s="23"/>
      <c r="BE42" s="23"/>
      <c r="BF42" s="23"/>
      <c r="BG42" s="23"/>
      <c r="BH42" s="23"/>
      <c r="BI42" s="23"/>
      <c r="BJ42" s="23"/>
      <c r="BK42" s="23"/>
      <c r="BL42" s="23"/>
      <c r="BM42" s="23"/>
      <c r="BN42" s="29"/>
      <c r="BO42" s="26"/>
      <c r="BP42" s="403"/>
      <c r="BQ42" s="23"/>
      <c r="BR42" s="23"/>
      <c r="BS42" s="23"/>
      <c r="BT42" s="23"/>
      <c r="BU42" s="23"/>
      <c r="BV42" s="29"/>
      <c r="BW42" s="26"/>
      <c r="BX42" s="29"/>
      <c r="BY42" s="23"/>
      <c r="BZ42" s="23"/>
      <c r="CA42" s="23"/>
      <c r="CB42" s="29"/>
      <c r="CC42" s="26"/>
      <c r="CD42" s="29"/>
      <c r="CE42" s="23"/>
      <c r="CF42" s="23"/>
      <c r="CG42" s="29"/>
      <c r="CH42" s="26"/>
      <c r="CI42" s="23"/>
      <c r="CJ42" s="26"/>
      <c r="CK42" s="26"/>
    </row>
    <row r="43" spans="1:90" s="4" customFormat="1" ht="36">
      <c r="A43" s="443"/>
      <c r="B43" s="333"/>
      <c r="C43" s="393" t="s">
        <v>251</v>
      </c>
      <c r="D43" s="470" t="s">
        <v>471</v>
      </c>
      <c r="E43" s="342">
        <v>0.4</v>
      </c>
      <c r="F43" s="342">
        <v>0.4</v>
      </c>
      <c r="G43" s="342"/>
      <c r="H43" s="342">
        <v>0.1</v>
      </c>
      <c r="I43" s="342"/>
      <c r="J43" s="342">
        <v>0.1</v>
      </c>
      <c r="K43" s="341"/>
      <c r="L43" s="341"/>
      <c r="M43" s="341"/>
      <c r="N43" s="341"/>
      <c r="O43" s="341"/>
      <c r="P43" s="341"/>
      <c r="Q43" s="341"/>
      <c r="R43" s="341"/>
      <c r="S43" s="341"/>
      <c r="T43" s="341"/>
      <c r="U43" s="341"/>
      <c r="V43" s="341"/>
      <c r="W43" s="341"/>
      <c r="X43" s="341"/>
      <c r="Y43" s="341"/>
      <c r="Z43" s="341"/>
      <c r="AA43" s="341"/>
      <c r="AB43" s="341"/>
      <c r="AC43" s="341"/>
      <c r="AD43" s="341"/>
      <c r="AE43" s="341"/>
      <c r="AF43" s="341"/>
      <c r="AG43" s="341"/>
      <c r="AH43" s="341"/>
      <c r="AI43" s="341"/>
      <c r="AJ43" s="341"/>
      <c r="AK43" s="341"/>
      <c r="AL43" s="341"/>
      <c r="AM43" s="352" t="s">
        <v>90</v>
      </c>
      <c r="AN43" s="352" t="s">
        <v>111</v>
      </c>
      <c r="AO43" s="127" t="s">
        <v>472</v>
      </c>
      <c r="AP43" s="172"/>
      <c r="AQ43" s="97"/>
      <c r="AR43" s="97"/>
      <c r="AS43" s="453">
        <v>30120000</v>
      </c>
      <c r="AT43" s="454"/>
      <c r="AU43" s="447">
        <v>63252000</v>
      </c>
      <c r="AV43" s="448"/>
      <c r="AW43" s="447">
        <v>60880050</v>
      </c>
      <c r="AX43" s="448"/>
      <c r="AY43" s="447">
        <f>SUM(AS43:AX45)</f>
        <v>154252050</v>
      </c>
      <c r="AZ43" s="448"/>
      <c r="BA43" s="363">
        <f>6000000000-56342</f>
        <v>5999943658</v>
      </c>
      <c r="BB43" s="341"/>
      <c r="BC43" s="341"/>
      <c r="BD43" s="341"/>
      <c r="BE43" s="341"/>
      <c r="BF43" s="341"/>
      <c r="BG43" s="341"/>
      <c r="BH43" s="341"/>
      <c r="BI43" s="341"/>
      <c r="BJ43" s="341"/>
      <c r="BK43" s="341"/>
      <c r="BL43" s="341"/>
      <c r="BM43" s="341"/>
      <c r="BN43" s="341">
        <f>SUM(BC43:BM45)</f>
        <v>0</v>
      </c>
      <c r="BO43" s="310">
        <f>BN43+BB43</f>
        <v>0</v>
      </c>
      <c r="BP43" s="321"/>
      <c r="BQ43" s="341"/>
      <c r="BR43" s="341"/>
      <c r="BS43" s="341"/>
      <c r="BT43" s="341"/>
      <c r="BU43" s="341"/>
      <c r="BV43" s="341">
        <f>SUM(BQ43:BU45)</f>
        <v>0</v>
      </c>
      <c r="BW43" s="310">
        <f>BV43+BP43</f>
        <v>0</v>
      </c>
      <c r="BX43" s="341"/>
      <c r="BY43" s="341"/>
      <c r="BZ43" s="341"/>
      <c r="CA43" s="341"/>
      <c r="CB43" s="341">
        <f>SUM(BY43:CA45)</f>
        <v>0</v>
      </c>
      <c r="CC43" s="310">
        <f>CB43+BX43</f>
        <v>0</v>
      </c>
      <c r="CD43" s="341"/>
      <c r="CE43" s="341"/>
      <c r="CF43" s="341"/>
      <c r="CG43" s="341">
        <f>SUM(CE43:CF45)</f>
        <v>0</v>
      </c>
      <c r="CH43" s="310">
        <f>CG43+CD43</f>
        <v>0</v>
      </c>
      <c r="CI43" s="341"/>
      <c r="CJ43" s="310">
        <f>CH43+CC43+BW43+BO43+CI43</f>
        <v>0</v>
      </c>
      <c r="CK43" s="310"/>
    </row>
    <row r="44" spans="1:90" s="4" customFormat="1" ht="48">
      <c r="A44" s="443"/>
      <c r="B44" s="333"/>
      <c r="C44" s="394"/>
      <c r="D44" s="389"/>
      <c r="E44" s="342"/>
      <c r="F44" s="342"/>
      <c r="G44" s="342"/>
      <c r="H44" s="342"/>
      <c r="I44" s="342"/>
      <c r="J44" s="342"/>
      <c r="K44" s="341"/>
      <c r="L44" s="341"/>
      <c r="M44" s="341"/>
      <c r="N44" s="341"/>
      <c r="O44" s="341"/>
      <c r="P44" s="341"/>
      <c r="Q44" s="341"/>
      <c r="R44" s="341"/>
      <c r="S44" s="341"/>
      <c r="T44" s="341"/>
      <c r="U44" s="341"/>
      <c r="V44" s="341"/>
      <c r="W44" s="341"/>
      <c r="X44" s="341"/>
      <c r="Y44" s="341"/>
      <c r="Z44" s="341"/>
      <c r="AA44" s="341"/>
      <c r="AB44" s="341"/>
      <c r="AC44" s="341"/>
      <c r="AD44" s="341"/>
      <c r="AE44" s="341"/>
      <c r="AF44" s="341"/>
      <c r="AG44" s="341"/>
      <c r="AH44" s="341"/>
      <c r="AI44" s="341"/>
      <c r="AJ44" s="341"/>
      <c r="AK44" s="341"/>
      <c r="AL44" s="341"/>
      <c r="AM44" s="352"/>
      <c r="AN44" s="352"/>
      <c r="AO44" s="127" t="s">
        <v>473</v>
      </c>
      <c r="AP44" s="172"/>
      <c r="AQ44" s="172"/>
      <c r="AR44" s="172"/>
      <c r="AS44" s="455"/>
      <c r="AT44" s="456"/>
      <c r="AU44" s="449"/>
      <c r="AV44" s="450"/>
      <c r="AW44" s="449"/>
      <c r="AX44" s="450"/>
      <c r="AY44" s="449"/>
      <c r="AZ44" s="450"/>
      <c r="BA44" s="363"/>
      <c r="BB44" s="341"/>
      <c r="BC44" s="341"/>
      <c r="BD44" s="341"/>
      <c r="BE44" s="341"/>
      <c r="BF44" s="341"/>
      <c r="BG44" s="341"/>
      <c r="BH44" s="341"/>
      <c r="BI44" s="341"/>
      <c r="BJ44" s="341"/>
      <c r="BK44" s="341"/>
      <c r="BL44" s="341"/>
      <c r="BM44" s="341"/>
      <c r="BN44" s="341"/>
      <c r="BO44" s="310"/>
      <c r="BP44" s="321"/>
      <c r="BQ44" s="341"/>
      <c r="BR44" s="341"/>
      <c r="BS44" s="341"/>
      <c r="BT44" s="341"/>
      <c r="BU44" s="341"/>
      <c r="BV44" s="341"/>
      <c r="BW44" s="310"/>
      <c r="BX44" s="341"/>
      <c r="BY44" s="341"/>
      <c r="BZ44" s="341"/>
      <c r="CA44" s="341"/>
      <c r="CB44" s="341"/>
      <c r="CC44" s="310"/>
      <c r="CD44" s="341"/>
      <c r="CE44" s="341"/>
      <c r="CF44" s="341"/>
      <c r="CG44" s="341"/>
      <c r="CH44" s="310"/>
      <c r="CI44" s="341"/>
      <c r="CJ44" s="310"/>
      <c r="CK44" s="310"/>
    </row>
    <row r="45" spans="1:90" s="4" customFormat="1" ht="48">
      <c r="A45" s="443"/>
      <c r="B45" s="334"/>
      <c r="C45" s="395"/>
      <c r="D45" s="390"/>
      <c r="E45" s="342"/>
      <c r="F45" s="342"/>
      <c r="G45" s="342"/>
      <c r="H45" s="342"/>
      <c r="I45" s="342"/>
      <c r="J45" s="342"/>
      <c r="K45" s="341"/>
      <c r="L45" s="341"/>
      <c r="M45" s="341"/>
      <c r="N45" s="341"/>
      <c r="O45" s="341"/>
      <c r="P45" s="341"/>
      <c r="Q45" s="341"/>
      <c r="R45" s="341"/>
      <c r="S45" s="341"/>
      <c r="T45" s="341"/>
      <c r="U45" s="341"/>
      <c r="V45" s="341"/>
      <c r="W45" s="341"/>
      <c r="X45" s="341"/>
      <c r="Y45" s="341"/>
      <c r="Z45" s="341"/>
      <c r="AA45" s="341"/>
      <c r="AB45" s="341"/>
      <c r="AC45" s="341"/>
      <c r="AD45" s="341"/>
      <c r="AE45" s="341"/>
      <c r="AF45" s="341"/>
      <c r="AG45" s="341"/>
      <c r="AH45" s="341"/>
      <c r="AI45" s="341"/>
      <c r="AJ45" s="341"/>
      <c r="AK45" s="341"/>
      <c r="AL45" s="341"/>
      <c r="AM45" s="352"/>
      <c r="AN45" s="352"/>
      <c r="AO45" s="127" t="s">
        <v>474</v>
      </c>
      <c r="AP45" s="172"/>
      <c r="AQ45" s="172"/>
      <c r="AR45" s="172"/>
      <c r="AS45" s="457"/>
      <c r="AT45" s="458"/>
      <c r="AU45" s="451"/>
      <c r="AV45" s="452"/>
      <c r="AW45" s="451"/>
      <c r="AX45" s="452"/>
      <c r="AY45" s="451"/>
      <c r="AZ45" s="452"/>
      <c r="BA45" s="363"/>
      <c r="BB45" s="341"/>
      <c r="BC45" s="341"/>
      <c r="BD45" s="341"/>
      <c r="BE45" s="341"/>
      <c r="BF45" s="341"/>
      <c r="BG45" s="341"/>
      <c r="BH45" s="341"/>
      <c r="BI45" s="341"/>
      <c r="BJ45" s="341"/>
      <c r="BK45" s="341"/>
      <c r="BL45" s="341"/>
      <c r="BM45" s="341"/>
      <c r="BN45" s="341"/>
      <c r="BO45" s="310"/>
      <c r="BP45" s="321"/>
      <c r="BQ45" s="341"/>
      <c r="BR45" s="341"/>
      <c r="BS45" s="341"/>
      <c r="BT45" s="341"/>
      <c r="BU45" s="341"/>
      <c r="BV45" s="341"/>
      <c r="BW45" s="310"/>
      <c r="BX45" s="341"/>
      <c r="BY45" s="341"/>
      <c r="BZ45" s="341"/>
      <c r="CA45" s="341"/>
      <c r="CB45" s="341"/>
      <c r="CC45" s="310"/>
      <c r="CD45" s="341"/>
      <c r="CE45" s="341"/>
      <c r="CF45" s="341"/>
      <c r="CG45" s="341"/>
      <c r="CH45" s="310"/>
      <c r="CI45" s="341"/>
      <c r="CJ45" s="310"/>
      <c r="CK45" s="310"/>
    </row>
    <row r="46" spans="1:90" s="34" customFormat="1">
      <c r="A46" s="443"/>
      <c r="B46" s="459" t="s">
        <v>134</v>
      </c>
      <c r="C46" s="459"/>
      <c r="D46" s="459"/>
      <c r="E46" s="41"/>
      <c r="F46" s="42"/>
      <c r="G46" s="41"/>
      <c r="H46" s="42"/>
      <c r="I46" s="41"/>
      <c r="J46" s="42"/>
      <c r="K46" s="152"/>
      <c r="L46" s="152"/>
      <c r="M46" s="152"/>
      <c r="N46" s="152"/>
      <c r="O46" s="152"/>
      <c r="P46" s="152"/>
      <c r="Q46" s="152"/>
      <c r="R46" s="152"/>
      <c r="S46" s="152"/>
      <c r="T46" s="152"/>
      <c r="U46" s="152"/>
      <c r="V46" s="152"/>
      <c r="W46" s="152"/>
      <c r="X46" s="152"/>
      <c r="Y46" s="152"/>
      <c r="Z46" s="152"/>
      <c r="AA46" s="152"/>
      <c r="AB46" s="152"/>
      <c r="AC46" s="152"/>
      <c r="AD46" s="152"/>
      <c r="AE46" s="152"/>
      <c r="AF46" s="152"/>
      <c r="AG46" s="152"/>
      <c r="AH46" s="152"/>
      <c r="AI46" s="152"/>
      <c r="AJ46" s="152"/>
      <c r="AK46" s="152"/>
      <c r="AL46" s="152"/>
      <c r="AM46" s="107"/>
      <c r="AN46" s="107"/>
      <c r="AO46" s="32"/>
      <c r="AP46" s="163"/>
      <c r="AQ46" s="163"/>
      <c r="AR46" s="163"/>
      <c r="AS46" s="473">
        <f>SUM(AS9:AS45)</f>
        <v>3351023973</v>
      </c>
      <c r="AT46" s="474"/>
      <c r="AU46" s="473">
        <f>SUM(AU9:AU45)</f>
        <v>7147593763</v>
      </c>
      <c r="AV46" s="474"/>
      <c r="AW46" s="473">
        <f>SUM(AW9:AW45)</f>
        <v>4501325922</v>
      </c>
      <c r="AX46" s="474"/>
      <c r="AY46" s="473">
        <f>SUM(AS46:AX46)</f>
        <v>14999943658</v>
      </c>
      <c r="AZ46" s="474"/>
      <c r="BA46" s="45">
        <f>SUM(BA9:BA45)</f>
        <v>14999943658</v>
      </c>
      <c r="BB46" s="45">
        <f t="shared" ref="BB46:BN46" si="0">SUM(BB9:BB41)</f>
        <v>7507060000</v>
      </c>
      <c r="BC46" s="45">
        <f t="shared" si="0"/>
        <v>0</v>
      </c>
      <c r="BD46" s="45">
        <f t="shared" si="0"/>
        <v>0</v>
      </c>
      <c r="BE46" s="45">
        <f t="shared" si="0"/>
        <v>0</v>
      </c>
      <c r="BF46" s="45">
        <f t="shared" si="0"/>
        <v>0</v>
      </c>
      <c r="BG46" s="45">
        <f t="shared" si="0"/>
        <v>0</v>
      </c>
      <c r="BH46" s="45">
        <f t="shared" si="0"/>
        <v>0</v>
      </c>
      <c r="BI46" s="45">
        <f t="shared" si="0"/>
        <v>0</v>
      </c>
      <c r="BJ46" s="45">
        <f t="shared" si="0"/>
        <v>0</v>
      </c>
      <c r="BK46" s="45">
        <f t="shared" si="0"/>
        <v>0</v>
      </c>
      <c r="BL46" s="45">
        <f t="shared" si="0"/>
        <v>0</v>
      </c>
      <c r="BM46" s="45">
        <f t="shared" si="0"/>
        <v>0</v>
      </c>
      <c r="BN46" s="45">
        <f t="shared" si="0"/>
        <v>0</v>
      </c>
      <c r="BO46" s="28">
        <f>BN46+BB46</f>
        <v>7507060000</v>
      </c>
      <c r="BP46" s="49">
        <f t="shared" ref="BP46:CJ46" si="1">SUM(BP9:BP41)</f>
        <v>600000000</v>
      </c>
      <c r="BQ46" s="69">
        <f t="shared" si="1"/>
        <v>0</v>
      </c>
      <c r="BR46" s="69">
        <f t="shared" si="1"/>
        <v>0</v>
      </c>
      <c r="BS46" s="69">
        <f t="shared" si="1"/>
        <v>0</v>
      </c>
      <c r="BT46" s="69">
        <f t="shared" si="1"/>
        <v>0</v>
      </c>
      <c r="BU46" s="69">
        <f t="shared" si="1"/>
        <v>0</v>
      </c>
      <c r="BV46" s="69">
        <f t="shared" si="1"/>
        <v>0</v>
      </c>
      <c r="BW46" s="69">
        <f t="shared" si="1"/>
        <v>600000000</v>
      </c>
      <c r="BX46" s="45">
        <f t="shared" si="1"/>
        <v>627000000</v>
      </c>
      <c r="BY46" s="45">
        <f t="shared" si="1"/>
        <v>0</v>
      </c>
      <c r="BZ46" s="45">
        <f t="shared" si="1"/>
        <v>0</v>
      </c>
      <c r="CA46" s="45">
        <f t="shared" si="1"/>
        <v>0</v>
      </c>
      <c r="CB46" s="45">
        <f t="shared" si="1"/>
        <v>0</v>
      </c>
      <c r="CC46" s="45">
        <f t="shared" si="1"/>
        <v>627000000</v>
      </c>
      <c r="CD46" s="45">
        <f t="shared" si="1"/>
        <v>210000000</v>
      </c>
      <c r="CE46" s="45">
        <f t="shared" si="1"/>
        <v>30000000</v>
      </c>
      <c r="CF46" s="45">
        <f t="shared" si="1"/>
        <v>80000000</v>
      </c>
      <c r="CG46" s="45">
        <f t="shared" si="1"/>
        <v>110000000</v>
      </c>
      <c r="CH46" s="45">
        <f t="shared" si="1"/>
        <v>320000000</v>
      </c>
      <c r="CI46" s="45">
        <f t="shared" si="1"/>
        <v>0</v>
      </c>
      <c r="CJ46" s="45">
        <f t="shared" si="1"/>
        <v>9054060000</v>
      </c>
      <c r="CK46" s="69"/>
      <c r="CL46" s="90">
        <f>CJ46-BA46</f>
        <v>-5945883658</v>
      </c>
    </row>
    <row r="47" spans="1:90" s="4" customFormat="1" ht="48">
      <c r="A47" s="443"/>
      <c r="B47" s="445" t="s">
        <v>385</v>
      </c>
      <c r="C47" s="379" t="s">
        <v>252</v>
      </c>
      <c r="D47" s="461" t="s">
        <v>218</v>
      </c>
      <c r="E47" s="322"/>
      <c r="F47" s="322">
        <v>500</v>
      </c>
      <c r="G47" s="322"/>
      <c r="H47" s="322">
        <v>500</v>
      </c>
      <c r="I47" s="322"/>
      <c r="J47" s="322">
        <v>500</v>
      </c>
      <c r="K47" s="321"/>
      <c r="L47" s="321"/>
      <c r="M47" s="321"/>
      <c r="N47" s="321"/>
      <c r="O47" s="339">
        <v>20</v>
      </c>
      <c r="P47" s="339">
        <v>40</v>
      </c>
      <c r="Q47" s="339">
        <v>40</v>
      </c>
      <c r="R47" s="339">
        <f>SUM(O47:Q50)</f>
        <v>100</v>
      </c>
      <c r="S47" s="321"/>
      <c r="T47" s="321"/>
      <c r="U47" s="321"/>
      <c r="V47" s="321"/>
      <c r="W47" s="321"/>
      <c r="X47" s="321"/>
      <c r="Y47" s="321"/>
      <c r="Z47" s="321"/>
      <c r="AA47" s="321"/>
      <c r="AB47" s="321"/>
      <c r="AC47" s="321"/>
      <c r="AD47" s="321"/>
      <c r="AE47" s="321"/>
      <c r="AF47" s="321"/>
      <c r="AG47" s="321"/>
      <c r="AH47" s="321"/>
      <c r="AI47" s="321"/>
      <c r="AJ47" s="321"/>
      <c r="AK47" s="321"/>
      <c r="AL47" s="321"/>
      <c r="AM47" s="322" t="s">
        <v>27</v>
      </c>
      <c r="AN47" s="325" t="s">
        <v>30</v>
      </c>
      <c r="AO47" s="5" t="s">
        <v>257</v>
      </c>
      <c r="AP47" s="310">
        <v>500000000</v>
      </c>
      <c r="AQ47" s="310">
        <v>500000000</v>
      </c>
      <c r="AR47" s="310">
        <v>500000000</v>
      </c>
      <c r="AS47" s="405">
        <v>5563978</v>
      </c>
      <c r="AT47" s="405">
        <v>500000000</v>
      </c>
      <c r="AU47" s="360">
        <v>9145163</v>
      </c>
      <c r="AV47" s="360">
        <v>500000000</v>
      </c>
      <c r="AW47" s="360">
        <v>8680550</v>
      </c>
      <c r="AX47" s="360">
        <v>500000000</v>
      </c>
      <c r="AY47" s="360">
        <f>AS47+AU47+AW47</f>
        <v>23389691</v>
      </c>
      <c r="AZ47" s="405">
        <f>AT47+AV47+AX47</f>
        <v>1500000000</v>
      </c>
      <c r="BA47" s="341">
        <f>AY47+AZ47</f>
        <v>1523389691</v>
      </c>
      <c r="BB47" s="360">
        <v>800000000</v>
      </c>
      <c r="BC47" s="341"/>
      <c r="BD47" s="341"/>
      <c r="BE47" s="341"/>
      <c r="BF47" s="341"/>
      <c r="BG47" s="310"/>
      <c r="BH47" s="310"/>
      <c r="BI47" s="310"/>
      <c r="BJ47" s="310"/>
      <c r="BK47" s="310"/>
      <c r="BL47" s="310"/>
      <c r="BM47" s="310"/>
      <c r="BN47" s="341">
        <f>SUM(BC47:BM48)</f>
        <v>0</v>
      </c>
      <c r="BO47" s="341">
        <f>BN47+BB47</f>
        <v>800000000</v>
      </c>
      <c r="BP47" s="341">
        <v>300000000</v>
      </c>
      <c r="BQ47" s="341"/>
      <c r="BR47" s="341"/>
      <c r="BS47" s="341"/>
      <c r="BT47" s="341"/>
      <c r="BU47" s="341"/>
      <c r="BV47" s="341">
        <f>SUM(BQ47:BU48)</f>
        <v>0</v>
      </c>
      <c r="BW47" s="341">
        <f>BV47+BP47</f>
        <v>300000000</v>
      </c>
      <c r="BX47" s="341">
        <v>135000000</v>
      </c>
      <c r="BY47" s="341"/>
      <c r="BZ47" s="341"/>
      <c r="CA47" s="341"/>
      <c r="CB47" s="341">
        <f>SUM(BY47:CA48)</f>
        <v>0</v>
      </c>
      <c r="CC47" s="341">
        <f>CB47+BX47</f>
        <v>135000000</v>
      </c>
      <c r="CD47" s="341">
        <v>90000000</v>
      </c>
      <c r="CE47" s="341">
        <v>45000000</v>
      </c>
      <c r="CF47" s="341">
        <v>45000000</v>
      </c>
      <c r="CG47" s="341">
        <f>SUM(CE47:CF48)</f>
        <v>90000000</v>
      </c>
      <c r="CH47" s="341">
        <f>CG47+CD47</f>
        <v>180000000</v>
      </c>
      <c r="CI47" s="341"/>
      <c r="CJ47" s="341">
        <f>CH47+CC47+BW47+BO47+CI47</f>
        <v>1415000000</v>
      </c>
      <c r="CK47" s="322" t="s">
        <v>156</v>
      </c>
    </row>
    <row r="48" spans="1:90" s="4" customFormat="1" ht="24">
      <c r="A48" s="443"/>
      <c r="B48" s="445"/>
      <c r="C48" s="380"/>
      <c r="D48" s="462"/>
      <c r="E48" s="323"/>
      <c r="F48" s="323"/>
      <c r="G48" s="323"/>
      <c r="H48" s="323"/>
      <c r="I48" s="323"/>
      <c r="J48" s="323"/>
      <c r="K48" s="321"/>
      <c r="L48" s="321"/>
      <c r="M48" s="321"/>
      <c r="N48" s="321"/>
      <c r="O48" s="339"/>
      <c r="P48" s="339"/>
      <c r="Q48" s="339"/>
      <c r="R48" s="339"/>
      <c r="S48" s="321"/>
      <c r="T48" s="321"/>
      <c r="U48" s="321"/>
      <c r="V48" s="321"/>
      <c r="W48" s="321"/>
      <c r="X48" s="321"/>
      <c r="Y48" s="321"/>
      <c r="Z48" s="321"/>
      <c r="AA48" s="321"/>
      <c r="AB48" s="321"/>
      <c r="AC48" s="321"/>
      <c r="AD48" s="321"/>
      <c r="AE48" s="321"/>
      <c r="AF48" s="321"/>
      <c r="AG48" s="321"/>
      <c r="AH48" s="321"/>
      <c r="AI48" s="321"/>
      <c r="AJ48" s="321"/>
      <c r="AK48" s="321"/>
      <c r="AL48" s="321"/>
      <c r="AM48" s="323"/>
      <c r="AN48" s="326"/>
      <c r="AO48" s="5" t="s">
        <v>253</v>
      </c>
      <c r="AP48" s="310"/>
      <c r="AQ48" s="310"/>
      <c r="AR48" s="310"/>
      <c r="AS48" s="408"/>
      <c r="AT48" s="408"/>
      <c r="AU48" s="362"/>
      <c r="AV48" s="362"/>
      <c r="AW48" s="362"/>
      <c r="AX48" s="361"/>
      <c r="AY48" s="361"/>
      <c r="AZ48" s="406"/>
      <c r="BA48" s="341"/>
      <c r="BB48" s="361"/>
      <c r="BC48" s="341"/>
      <c r="BD48" s="341"/>
      <c r="BE48" s="341"/>
      <c r="BF48" s="341"/>
      <c r="BG48" s="310"/>
      <c r="BH48" s="310"/>
      <c r="BI48" s="310"/>
      <c r="BJ48" s="310"/>
      <c r="BK48" s="310"/>
      <c r="BL48" s="310"/>
      <c r="BM48" s="310"/>
      <c r="BN48" s="341"/>
      <c r="BO48" s="341"/>
      <c r="BP48" s="341"/>
      <c r="BQ48" s="341"/>
      <c r="BR48" s="341"/>
      <c r="BS48" s="341"/>
      <c r="BT48" s="341"/>
      <c r="BU48" s="341"/>
      <c r="BV48" s="341"/>
      <c r="BW48" s="341"/>
      <c r="BX48" s="341"/>
      <c r="BY48" s="341"/>
      <c r="BZ48" s="341"/>
      <c r="CA48" s="341"/>
      <c r="CB48" s="341"/>
      <c r="CC48" s="341"/>
      <c r="CD48" s="341"/>
      <c r="CE48" s="341"/>
      <c r="CF48" s="341"/>
      <c r="CG48" s="341"/>
      <c r="CH48" s="341"/>
      <c r="CI48" s="341"/>
      <c r="CJ48" s="341"/>
      <c r="CK48" s="323"/>
    </row>
    <row r="49" spans="1:89" s="4" customFormat="1" ht="36">
      <c r="A49" s="443"/>
      <c r="B49" s="445"/>
      <c r="C49" s="380"/>
      <c r="D49" s="462"/>
      <c r="E49" s="323"/>
      <c r="F49" s="323"/>
      <c r="G49" s="323"/>
      <c r="H49" s="323"/>
      <c r="I49" s="323"/>
      <c r="J49" s="323"/>
      <c r="K49" s="321"/>
      <c r="L49" s="321"/>
      <c r="M49" s="321"/>
      <c r="N49" s="321"/>
      <c r="O49" s="339"/>
      <c r="P49" s="339"/>
      <c r="Q49" s="339"/>
      <c r="R49" s="339"/>
      <c r="S49" s="321"/>
      <c r="T49" s="321"/>
      <c r="U49" s="321"/>
      <c r="V49" s="321"/>
      <c r="W49" s="321"/>
      <c r="X49" s="321"/>
      <c r="Y49" s="321"/>
      <c r="Z49" s="321"/>
      <c r="AA49" s="321"/>
      <c r="AB49" s="321"/>
      <c r="AC49" s="321"/>
      <c r="AD49" s="321"/>
      <c r="AE49" s="321"/>
      <c r="AF49" s="321"/>
      <c r="AG49" s="321"/>
      <c r="AH49" s="321"/>
      <c r="AI49" s="321"/>
      <c r="AJ49" s="321"/>
      <c r="AK49" s="321"/>
      <c r="AL49" s="321"/>
      <c r="AM49" s="323"/>
      <c r="AN49" s="326"/>
      <c r="AO49" s="5" t="s">
        <v>254</v>
      </c>
      <c r="AP49" s="310"/>
      <c r="AQ49" s="310"/>
      <c r="AR49" s="310"/>
      <c r="AS49" s="408"/>
      <c r="AT49" s="408"/>
      <c r="AU49" s="362"/>
      <c r="AV49" s="362"/>
      <c r="AW49" s="117"/>
      <c r="AX49" s="117"/>
      <c r="AY49" s="117"/>
      <c r="AZ49" s="135"/>
      <c r="BA49" s="29"/>
      <c r="BB49" s="117"/>
      <c r="BC49" s="29"/>
      <c r="BD49" s="29"/>
      <c r="BE49" s="29"/>
      <c r="BF49" s="29"/>
      <c r="BG49" s="26"/>
      <c r="BH49" s="26"/>
      <c r="BI49" s="26"/>
      <c r="BJ49" s="26"/>
      <c r="BK49" s="26"/>
      <c r="BL49" s="26"/>
      <c r="BM49" s="26"/>
      <c r="BN49" s="29"/>
      <c r="BO49" s="29"/>
      <c r="BP49" s="29"/>
      <c r="BQ49" s="29"/>
      <c r="BR49" s="29"/>
      <c r="BS49" s="29"/>
      <c r="BT49" s="29"/>
      <c r="BU49" s="29"/>
      <c r="BV49" s="29"/>
      <c r="BW49" s="29"/>
      <c r="BX49" s="29"/>
      <c r="BY49" s="29"/>
      <c r="BZ49" s="29"/>
      <c r="CA49" s="29"/>
      <c r="CB49" s="29"/>
      <c r="CC49" s="29"/>
      <c r="CD49" s="29"/>
      <c r="CE49" s="29"/>
      <c r="CF49" s="29"/>
      <c r="CG49" s="29"/>
      <c r="CH49" s="29"/>
      <c r="CI49" s="29"/>
      <c r="CJ49" s="29"/>
      <c r="CK49" s="126"/>
    </row>
    <row r="50" spans="1:89" s="4" customFormat="1" ht="24">
      <c r="A50" s="443"/>
      <c r="B50" s="445"/>
      <c r="C50" s="381"/>
      <c r="D50" s="463"/>
      <c r="E50" s="324"/>
      <c r="F50" s="324"/>
      <c r="G50" s="324"/>
      <c r="H50" s="324"/>
      <c r="I50" s="324"/>
      <c r="J50" s="324"/>
      <c r="K50" s="321"/>
      <c r="L50" s="321"/>
      <c r="M50" s="321"/>
      <c r="N50" s="321"/>
      <c r="O50" s="339"/>
      <c r="P50" s="339"/>
      <c r="Q50" s="339"/>
      <c r="R50" s="339"/>
      <c r="S50" s="321"/>
      <c r="T50" s="321"/>
      <c r="U50" s="321"/>
      <c r="V50" s="321"/>
      <c r="W50" s="321"/>
      <c r="X50" s="321"/>
      <c r="Y50" s="321"/>
      <c r="Z50" s="321"/>
      <c r="AA50" s="321"/>
      <c r="AB50" s="321"/>
      <c r="AC50" s="321"/>
      <c r="AD50" s="321"/>
      <c r="AE50" s="321"/>
      <c r="AF50" s="321"/>
      <c r="AG50" s="321"/>
      <c r="AH50" s="321"/>
      <c r="AI50" s="321"/>
      <c r="AJ50" s="321"/>
      <c r="AK50" s="321"/>
      <c r="AL50" s="321"/>
      <c r="AM50" s="324"/>
      <c r="AN50" s="327"/>
      <c r="AO50" s="5" t="s">
        <v>255</v>
      </c>
      <c r="AP50" s="310"/>
      <c r="AQ50" s="310"/>
      <c r="AR50" s="310"/>
      <c r="AS50" s="406"/>
      <c r="AT50" s="406"/>
      <c r="AU50" s="361"/>
      <c r="AV50" s="361"/>
      <c r="AW50" s="117"/>
      <c r="AX50" s="117"/>
      <c r="AY50" s="117"/>
      <c r="AZ50" s="135"/>
      <c r="BA50" s="29"/>
      <c r="BB50" s="117"/>
      <c r="BC50" s="29"/>
      <c r="BD50" s="29"/>
      <c r="BE50" s="29"/>
      <c r="BF50" s="29"/>
      <c r="BG50" s="26"/>
      <c r="BH50" s="26"/>
      <c r="BI50" s="26"/>
      <c r="BJ50" s="26"/>
      <c r="BK50" s="26"/>
      <c r="BL50" s="26"/>
      <c r="BM50" s="26"/>
      <c r="BN50" s="29"/>
      <c r="BO50" s="29"/>
      <c r="BP50" s="29"/>
      <c r="BQ50" s="29"/>
      <c r="BR50" s="29"/>
      <c r="BS50" s="29"/>
      <c r="BT50" s="29"/>
      <c r="BU50" s="29"/>
      <c r="BV50" s="29"/>
      <c r="BW50" s="29"/>
      <c r="BX50" s="29"/>
      <c r="BY50" s="29"/>
      <c r="BZ50" s="29"/>
      <c r="CA50" s="29"/>
      <c r="CB50" s="29"/>
      <c r="CC50" s="29"/>
      <c r="CD50" s="29"/>
      <c r="CE50" s="29"/>
      <c r="CF50" s="29"/>
      <c r="CG50" s="29"/>
      <c r="CH50" s="29"/>
      <c r="CI50" s="29"/>
      <c r="CJ50" s="29"/>
      <c r="CK50" s="126"/>
    </row>
    <row r="51" spans="1:89" s="4" customFormat="1" ht="48">
      <c r="A51" s="443"/>
      <c r="B51" s="445"/>
      <c r="C51" s="379" t="s">
        <v>256</v>
      </c>
      <c r="D51" s="461" t="s">
        <v>219</v>
      </c>
      <c r="E51" s="322"/>
      <c r="F51" s="322" t="s">
        <v>97</v>
      </c>
      <c r="G51" s="322"/>
      <c r="H51" s="322" t="s">
        <v>97</v>
      </c>
      <c r="I51" s="322"/>
      <c r="J51" s="322" t="s">
        <v>97</v>
      </c>
      <c r="K51" s="321"/>
      <c r="L51" s="321"/>
      <c r="M51" s="321"/>
      <c r="N51" s="321"/>
      <c r="O51" s="339">
        <v>14</v>
      </c>
      <c r="P51" s="339">
        <v>28</v>
      </c>
      <c r="Q51" s="339">
        <v>28</v>
      </c>
      <c r="R51" s="339">
        <f>SUM(O51:Q54)</f>
        <v>70</v>
      </c>
      <c r="S51" s="321"/>
      <c r="T51" s="321"/>
      <c r="U51" s="321"/>
      <c r="V51" s="321"/>
      <c r="W51" s="321"/>
      <c r="X51" s="321"/>
      <c r="Y51" s="321"/>
      <c r="Z51" s="321"/>
      <c r="AA51" s="321"/>
      <c r="AB51" s="321"/>
      <c r="AC51" s="321"/>
      <c r="AD51" s="321"/>
      <c r="AE51" s="321"/>
      <c r="AF51" s="321"/>
      <c r="AG51" s="321"/>
      <c r="AH51" s="321"/>
      <c r="AI51" s="321"/>
      <c r="AJ51" s="321"/>
      <c r="AK51" s="321"/>
      <c r="AL51" s="321"/>
      <c r="AM51" s="322" t="s">
        <v>93</v>
      </c>
      <c r="AN51" s="325" t="s">
        <v>30</v>
      </c>
      <c r="AO51" s="5" t="s">
        <v>259</v>
      </c>
      <c r="AP51" s="310">
        <v>517553333</v>
      </c>
      <c r="AQ51" s="310">
        <v>517553333</v>
      </c>
      <c r="AR51" s="310">
        <v>517553333</v>
      </c>
      <c r="AS51" s="405">
        <v>5563978</v>
      </c>
      <c r="AT51" s="405">
        <v>517553333</v>
      </c>
      <c r="AU51" s="360">
        <v>9145163</v>
      </c>
      <c r="AV51" s="360">
        <v>517553333</v>
      </c>
      <c r="AW51" s="360">
        <v>8680550</v>
      </c>
      <c r="AX51" s="360">
        <v>517553333</v>
      </c>
      <c r="AY51" s="360">
        <f>AS51+AU51+AW51</f>
        <v>23389691</v>
      </c>
      <c r="AZ51" s="405">
        <f>AT51+AV51+AX51</f>
        <v>1552659999</v>
      </c>
      <c r="BA51" s="341">
        <f>AY51+AZ51</f>
        <v>1576049690</v>
      </c>
      <c r="BB51" s="360">
        <v>800000000</v>
      </c>
      <c r="BC51" s="341"/>
      <c r="BD51" s="341"/>
      <c r="BE51" s="341"/>
      <c r="BF51" s="341"/>
      <c r="BG51" s="310"/>
      <c r="BH51" s="310"/>
      <c r="BI51" s="310"/>
      <c r="BJ51" s="310"/>
      <c r="BK51" s="310"/>
      <c r="BL51" s="310"/>
      <c r="BM51" s="310"/>
      <c r="BN51" s="341">
        <f>SUM(BC51:BM52)</f>
        <v>0</v>
      </c>
      <c r="BO51" s="341">
        <f>BN51+BB51</f>
        <v>800000000</v>
      </c>
      <c r="BP51" s="341">
        <v>350000000</v>
      </c>
      <c r="BQ51" s="341"/>
      <c r="BR51" s="341"/>
      <c r="BS51" s="341"/>
      <c r="BT51" s="341"/>
      <c r="BU51" s="341"/>
      <c r="BV51" s="341">
        <f>SUM(BQ51:BU52)</f>
        <v>0</v>
      </c>
      <c r="BW51" s="341">
        <f>BV51+BP51</f>
        <v>350000000</v>
      </c>
      <c r="BX51" s="341">
        <v>195000000</v>
      </c>
      <c r="BY51" s="341"/>
      <c r="BZ51" s="341"/>
      <c r="CA51" s="341"/>
      <c r="CB51" s="341">
        <f>SUM(BY51:CA52)</f>
        <v>0</v>
      </c>
      <c r="CC51" s="341">
        <f>CB51+BX51</f>
        <v>195000000</v>
      </c>
      <c r="CD51" s="341">
        <v>207000000</v>
      </c>
      <c r="CE51" s="341">
        <v>75000000</v>
      </c>
      <c r="CF51" s="341">
        <v>132000000</v>
      </c>
      <c r="CG51" s="341">
        <f>SUM(CE51:CF52)</f>
        <v>207000000</v>
      </c>
      <c r="CH51" s="341">
        <f>CG51+CD51</f>
        <v>414000000</v>
      </c>
      <c r="CI51" s="341"/>
      <c r="CJ51" s="341">
        <f>CH51+CC51+BW51+BO51+CI51</f>
        <v>1759000000</v>
      </c>
      <c r="CK51" s="346" t="s">
        <v>157</v>
      </c>
    </row>
    <row r="52" spans="1:89" s="4" customFormat="1" ht="36">
      <c r="A52" s="443"/>
      <c r="B52" s="445"/>
      <c r="C52" s="380"/>
      <c r="D52" s="462"/>
      <c r="E52" s="323"/>
      <c r="F52" s="323"/>
      <c r="G52" s="323"/>
      <c r="H52" s="323"/>
      <c r="I52" s="323"/>
      <c r="J52" s="323"/>
      <c r="K52" s="321"/>
      <c r="L52" s="321"/>
      <c r="M52" s="321"/>
      <c r="N52" s="321"/>
      <c r="O52" s="339"/>
      <c r="P52" s="339"/>
      <c r="Q52" s="339"/>
      <c r="R52" s="339"/>
      <c r="S52" s="321"/>
      <c r="T52" s="321"/>
      <c r="U52" s="321"/>
      <c r="V52" s="321"/>
      <c r="W52" s="321"/>
      <c r="X52" s="321"/>
      <c r="Y52" s="321"/>
      <c r="Z52" s="321"/>
      <c r="AA52" s="321"/>
      <c r="AB52" s="321"/>
      <c r="AC52" s="321"/>
      <c r="AD52" s="321"/>
      <c r="AE52" s="321"/>
      <c r="AF52" s="321"/>
      <c r="AG52" s="321"/>
      <c r="AH52" s="321"/>
      <c r="AI52" s="321"/>
      <c r="AJ52" s="321"/>
      <c r="AK52" s="321"/>
      <c r="AL52" s="321"/>
      <c r="AM52" s="323"/>
      <c r="AN52" s="326"/>
      <c r="AO52" s="5" t="s">
        <v>258</v>
      </c>
      <c r="AP52" s="310"/>
      <c r="AQ52" s="310"/>
      <c r="AR52" s="310"/>
      <c r="AS52" s="406"/>
      <c r="AT52" s="406"/>
      <c r="AU52" s="361"/>
      <c r="AV52" s="361"/>
      <c r="AW52" s="361"/>
      <c r="AX52" s="361"/>
      <c r="AY52" s="361"/>
      <c r="AZ52" s="406"/>
      <c r="BA52" s="341"/>
      <c r="BB52" s="361"/>
      <c r="BC52" s="341"/>
      <c r="BD52" s="341"/>
      <c r="BE52" s="341"/>
      <c r="BF52" s="341"/>
      <c r="BG52" s="310"/>
      <c r="BH52" s="310"/>
      <c r="BI52" s="310"/>
      <c r="BJ52" s="310"/>
      <c r="BK52" s="310"/>
      <c r="BL52" s="310"/>
      <c r="BM52" s="310"/>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6"/>
    </row>
    <row r="53" spans="1:89" s="4" customFormat="1" ht="36">
      <c r="A53" s="443"/>
      <c r="B53" s="445"/>
      <c r="C53" s="380"/>
      <c r="D53" s="462"/>
      <c r="E53" s="323"/>
      <c r="F53" s="323"/>
      <c r="G53" s="323"/>
      <c r="H53" s="323"/>
      <c r="I53" s="323"/>
      <c r="J53" s="323"/>
      <c r="K53" s="321"/>
      <c r="L53" s="321"/>
      <c r="M53" s="321"/>
      <c r="N53" s="321"/>
      <c r="O53" s="339"/>
      <c r="P53" s="339"/>
      <c r="Q53" s="339"/>
      <c r="R53" s="339"/>
      <c r="S53" s="321"/>
      <c r="T53" s="321"/>
      <c r="U53" s="321"/>
      <c r="V53" s="321"/>
      <c r="W53" s="321"/>
      <c r="X53" s="321"/>
      <c r="Y53" s="321"/>
      <c r="Z53" s="321"/>
      <c r="AA53" s="321"/>
      <c r="AB53" s="321"/>
      <c r="AC53" s="321"/>
      <c r="AD53" s="321"/>
      <c r="AE53" s="321"/>
      <c r="AF53" s="321"/>
      <c r="AG53" s="321"/>
      <c r="AH53" s="321"/>
      <c r="AI53" s="321"/>
      <c r="AJ53" s="321"/>
      <c r="AK53" s="321"/>
      <c r="AL53" s="321"/>
      <c r="AM53" s="323"/>
      <c r="AN53" s="326"/>
      <c r="AO53" s="5" t="s">
        <v>254</v>
      </c>
      <c r="AP53" s="310"/>
      <c r="AQ53" s="310"/>
      <c r="AR53" s="310"/>
      <c r="AS53" s="135"/>
      <c r="AT53" s="135"/>
      <c r="AU53" s="117"/>
      <c r="AV53" s="117"/>
      <c r="AW53" s="117"/>
      <c r="AX53" s="117"/>
      <c r="AY53" s="117"/>
      <c r="AZ53" s="135"/>
      <c r="BA53" s="29"/>
      <c r="BB53" s="117"/>
      <c r="BC53" s="29"/>
      <c r="BD53" s="29"/>
      <c r="BE53" s="29"/>
      <c r="BF53" s="29"/>
      <c r="BG53" s="26"/>
      <c r="BH53" s="26"/>
      <c r="BI53" s="26"/>
      <c r="BJ53" s="26"/>
      <c r="BK53" s="26"/>
      <c r="BL53" s="26"/>
      <c r="BM53" s="26"/>
      <c r="BN53" s="29"/>
      <c r="BO53" s="29"/>
      <c r="BP53" s="29"/>
      <c r="BQ53" s="29"/>
      <c r="BR53" s="29"/>
      <c r="BS53" s="29"/>
      <c r="BT53" s="29"/>
      <c r="BU53" s="29"/>
      <c r="BV53" s="29"/>
      <c r="BW53" s="29"/>
      <c r="BX53" s="29"/>
      <c r="BY53" s="29"/>
      <c r="BZ53" s="29"/>
      <c r="CA53" s="29"/>
      <c r="CB53" s="29"/>
      <c r="CC53" s="29"/>
      <c r="CD53" s="29"/>
      <c r="CE53" s="29"/>
      <c r="CF53" s="29"/>
      <c r="CG53" s="29"/>
      <c r="CH53" s="29"/>
      <c r="CI53" s="29"/>
      <c r="CJ53" s="29"/>
      <c r="CK53" s="96"/>
    </row>
    <row r="54" spans="1:89" s="4" customFormat="1" ht="24">
      <c r="A54" s="443"/>
      <c r="B54" s="445"/>
      <c r="C54" s="381"/>
      <c r="D54" s="463"/>
      <c r="E54" s="324"/>
      <c r="F54" s="324"/>
      <c r="G54" s="324"/>
      <c r="H54" s="324"/>
      <c r="I54" s="324"/>
      <c r="J54" s="324"/>
      <c r="K54" s="321"/>
      <c r="L54" s="321"/>
      <c r="M54" s="321"/>
      <c r="N54" s="321"/>
      <c r="O54" s="339"/>
      <c r="P54" s="339"/>
      <c r="Q54" s="339"/>
      <c r="R54" s="339"/>
      <c r="S54" s="321"/>
      <c r="T54" s="321"/>
      <c r="U54" s="321"/>
      <c r="V54" s="321"/>
      <c r="W54" s="321"/>
      <c r="X54" s="321"/>
      <c r="Y54" s="321"/>
      <c r="Z54" s="321"/>
      <c r="AA54" s="321"/>
      <c r="AB54" s="321"/>
      <c r="AC54" s="321"/>
      <c r="AD54" s="321"/>
      <c r="AE54" s="321"/>
      <c r="AF54" s="321"/>
      <c r="AG54" s="321"/>
      <c r="AH54" s="321"/>
      <c r="AI54" s="321"/>
      <c r="AJ54" s="321"/>
      <c r="AK54" s="321"/>
      <c r="AL54" s="321"/>
      <c r="AM54" s="324"/>
      <c r="AN54" s="327"/>
      <c r="AO54" s="5" t="s">
        <v>255</v>
      </c>
      <c r="AP54" s="310"/>
      <c r="AQ54" s="310"/>
      <c r="AR54" s="310"/>
      <c r="AS54" s="135"/>
      <c r="AT54" s="135"/>
      <c r="AU54" s="117"/>
      <c r="AV54" s="117"/>
      <c r="AW54" s="117"/>
      <c r="AX54" s="117"/>
      <c r="AY54" s="117"/>
      <c r="AZ54" s="135"/>
      <c r="BA54" s="29"/>
      <c r="BB54" s="117"/>
      <c r="BC54" s="29"/>
      <c r="BD54" s="29"/>
      <c r="BE54" s="29"/>
      <c r="BF54" s="29"/>
      <c r="BG54" s="26"/>
      <c r="BH54" s="26"/>
      <c r="BI54" s="26"/>
      <c r="BJ54" s="26"/>
      <c r="BK54" s="26"/>
      <c r="BL54" s="26"/>
      <c r="BM54" s="26"/>
      <c r="BN54" s="29"/>
      <c r="BO54" s="29"/>
      <c r="BP54" s="29"/>
      <c r="BQ54" s="29"/>
      <c r="BR54" s="29"/>
      <c r="BS54" s="29"/>
      <c r="BT54" s="29"/>
      <c r="BU54" s="29"/>
      <c r="BV54" s="29"/>
      <c r="BW54" s="29"/>
      <c r="BX54" s="29"/>
      <c r="BY54" s="29"/>
      <c r="BZ54" s="29"/>
      <c r="CA54" s="29"/>
      <c r="CB54" s="29"/>
      <c r="CC54" s="29"/>
      <c r="CD54" s="29"/>
      <c r="CE54" s="29"/>
      <c r="CF54" s="29"/>
      <c r="CG54" s="29"/>
      <c r="CH54" s="29"/>
      <c r="CI54" s="29"/>
      <c r="CJ54" s="29"/>
      <c r="CK54" s="96"/>
    </row>
    <row r="55" spans="1:89" s="4" customFormat="1" ht="44.1" customHeight="1">
      <c r="A55" s="443"/>
      <c r="B55" s="445"/>
      <c r="C55" s="379" t="s">
        <v>260</v>
      </c>
      <c r="D55" s="461" t="s">
        <v>261</v>
      </c>
      <c r="E55" s="322"/>
      <c r="F55" s="322">
        <v>225</v>
      </c>
      <c r="G55" s="322"/>
      <c r="H55" s="322">
        <v>250</v>
      </c>
      <c r="I55" s="322"/>
      <c r="J55" s="322">
        <v>275</v>
      </c>
      <c r="K55" s="321"/>
      <c r="L55" s="321"/>
      <c r="M55" s="321"/>
      <c r="N55" s="321"/>
      <c r="O55" s="339"/>
      <c r="P55" s="467">
        <v>90</v>
      </c>
      <c r="Q55" s="467">
        <v>90</v>
      </c>
      <c r="R55" s="339">
        <f>SUM(O55:Q57)</f>
        <v>180</v>
      </c>
      <c r="S55" s="321"/>
      <c r="T55" s="321"/>
      <c r="U55" s="321"/>
      <c r="V55" s="321"/>
      <c r="W55" s="321"/>
      <c r="X55" s="321"/>
      <c r="Y55" s="321"/>
      <c r="Z55" s="321"/>
      <c r="AA55" s="321"/>
      <c r="AB55" s="321"/>
      <c r="AC55" s="321"/>
      <c r="AD55" s="321"/>
      <c r="AE55" s="321"/>
      <c r="AF55" s="321"/>
      <c r="AG55" s="321"/>
      <c r="AH55" s="321"/>
      <c r="AI55" s="321"/>
      <c r="AJ55" s="321"/>
      <c r="AK55" s="321"/>
      <c r="AL55" s="321"/>
      <c r="AM55" s="322" t="s">
        <v>94</v>
      </c>
      <c r="AN55" s="325" t="s">
        <v>31</v>
      </c>
      <c r="AO55" s="5" t="s">
        <v>262</v>
      </c>
      <c r="AP55" s="310">
        <v>477495000</v>
      </c>
      <c r="AQ55" s="310">
        <v>551772000</v>
      </c>
      <c r="AR55" s="310">
        <v>618393000</v>
      </c>
      <c r="AS55" s="405">
        <v>5563978</v>
      </c>
      <c r="AT55" s="405">
        <v>477495000</v>
      </c>
      <c r="AU55" s="360">
        <v>9145163</v>
      </c>
      <c r="AV55" s="360">
        <v>551772000</v>
      </c>
      <c r="AW55" s="360">
        <v>8680550</v>
      </c>
      <c r="AX55" s="360">
        <v>618393000</v>
      </c>
      <c r="AY55" s="360">
        <f>AS55+AU55+AW55</f>
        <v>23389691</v>
      </c>
      <c r="AZ55" s="405">
        <f>AT55+AV55+AX55</f>
        <v>1647660000</v>
      </c>
      <c r="BA55" s="341">
        <f>AY55+AZ55</f>
        <v>1671049691</v>
      </c>
      <c r="BB55" s="360">
        <v>797947200</v>
      </c>
      <c r="BC55" s="341"/>
      <c r="BD55" s="341"/>
      <c r="BE55" s="341"/>
      <c r="BF55" s="341"/>
      <c r="BG55" s="341"/>
      <c r="BH55" s="341"/>
      <c r="BI55" s="341"/>
      <c r="BJ55" s="341"/>
      <c r="BK55" s="341"/>
      <c r="BL55" s="341"/>
      <c r="BM55" s="341"/>
      <c r="BN55" s="341">
        <f>SUM(BC55:BM56)</f>
        <v>0</v>
      </c>
      <c r="BO55" s="341">
        <f>BN55+BB55</f>
        <v>797947200</v>
      </c>
      <c r="BP55" s="341">
        <v>432000000</v>
      </c>
      <c r="BQ55" s="341"/>
      <c r="BR55" s="341"/>
      <c r="BS55" s="341"/>
      <c r="BT55" s="341"/>
      <c r="BU55" s="341"/>
      <c r="BV55" s="341">
        <f>SUM(BQ55:BU56)</f>
        <v>0</v>
      </c>
      <c r="BW55" s="341">
        <f>BV55+BP55</f>
        <v>432000000</v>
      </c>
      <c r="BX55" s="341">
        <v>100000000</v>
      </c>
      <c r="BY55" s="341"/>
      <c r="BZ55" s="341"/>
      <c r="CA55" s="341"/>
      <c r="CB55" s="341">
        <f>SUM(BY55:CA56)</f>
        <v>0</v>
      </c>
      <c r="CC55" s="341">
        <f>CB55+BX55</f>
        <v>100000000</v>
      </c>
      <c r="CD55" s="341">
        <v>120000000</v>
      </c>
      <c r="CE55" s="341">
        <v>58000000</v>
      </c>
      <c r="CF55" s="341">
        <v>62000000</v>
      </c>
      <c r="CG55" s="341">
        <f>SUM(CE55:CF56)</f>
        <v>120000000</v>
      </c>
      <c r="CH55" s="341">
        <f>CG55+CD55</f>
        <v>240000000</v>
      </c>
      <c r="CI55" s="341"/>
      <c r="CJ55" s="341">
        <f>CH55+CC55+BW55+BO55+CI55</f>
        <v>1569947200</v>
      </c>
      <c r="CK55" s="346" t="s">
        <v>158</v>
      </c>
    </row>
    <row r="56" spans="1:89" s="4" customFormat="1" ht="48">
      <c r="A56" s="443"/>
      <c r="B56" s="445"/>
      <c r="C56" s="380"/>
      <c r="D56" s="462"/>
      <c r="E56" s="323"/>
      <c r="F56" s="323"/>
      <c r="G56" s="323"/>
      <c r="H56" s="323"/>
      <c r="I56" s="323"/>
      <c r="J56" s="323"/>
      <c r="K56" s="321"/>
      <c r="L56" s="321"/>
      <c r="M56" s="321"/>
      <c r="N56" s="321"/>
      <c r="O56" s="339"/>
      <c r="P56" s="468"/>
      <c r="Q56" s="468"/>
      <c r="R56" s="339"/>
      <c r="S56" s="321"/>
      <c r="T56" s="321"/>
      <c r="U56" s="321"/>
      <c r="V56" s="321"/>
      <c r="W56" s="321"/>
      <c r="X56" s="321"/>
      <c r="Y56" s="321"/>
      <c r="Z56" s="321"/>
      <c r="AA56" s="321"/>
      <c r="AB56" s="321"/>
      <c r="AC56" s="321"/>
      <c r="AD56" s="321"/>
      <c r="AE56" s="321"/>
      <c r="AF56" s="321"/>
      <c r="AG56" s="321"/>
      <c r="AH56" s="321"/>
      <c r="AI56" s="321"/>
      <c r="AJ56" s="321"/>
      <c r="AK56" s="321"/>
      <c r="AL56" s="321"/>
      <c r="AM56" s="323"/>
      <c r="AN56" s="326"/>
      <c r="AO56" s="5" t="s">
        <v>263</v>
      </c>
      <c r="AP56" s="310"/>
      <c r="AQ56" s="310"/>
      <c r="AR56" s="310"/>
      <c r="AS56" s="406"/>
      <c r="AT56" s="406"/>
      <c r="AU56" s="361"/>
      <c r="AV56" s="361"/>
      <c r="AW56" s="361"/>
      <c r="AX56" s="361"/>
      <c r="AY56" s="361"/>
      <c r="AZ56" s="406"/>
      <c r="BA56" s="341"/>
      <c r="BB56" s="361"/>
      <c r="BC56" s="341"/>
      <c r="BD56" s="341"/>
      <c r="BE56" s="341"/>
      <c r="BF56" s="341"/>
      <c r="BG56" s="341"/>
      <c r="BH56" s="341"/>
      <c r="BI56" s="341"/>
      <c r="BJ56" s="341"/>
      <c r="BK56" s="341"/>
      <c r="BL56" s="341"/>
      <c r="BM56" s="341"/>
      <c r="BN56" s="341"/>
      <c r="BO56" s="341"/>
      <c r="BP56" s="341"/>
      <c r="BQ56" s="341"/>
      <c r="BR56" s="341"/>
      <c r="BS56" s="341"/>
      <c r="BT56" s="341"/>
      <c r="BU56" s="341"/>
      <c r="BV56" s="341"/>
      <c r="BW56" s="341"/>
      <c r="BX56" s="341"/>
      <c r="BY56" s="341"/>
      <c r="BZ56" s="341"/>
      <c r="CA56" s="341"/>
      <c r="CB56" s="341"/>
      <c r="CC56" s="341"/>
      <c r="CD56" s="341"/>
      <c r="CE56" s="341"/>
      <c r="CF56" s="341"/>
      <c r="CG56" s="341"/>
      <c r="CH56" s="341"/>
      <c r="CI56" s="341"/>
      <c r="CJ56" s="341"/>
      <c r="CK56" s="346"/>
    </row>
    <row r="57" spans="1:89" s="4" customFormat="1" ht="24">
      <c r="A57" s="443"/>
      <c r="B57" s="445"/>
      <c r="C57" s="381"/>
      <c r="D57" s="463"/>
      <c r="E57" s="324"/>
      <c r="F57" s="324"/>
      <c r="G57" s="324"/>
      <c r="H57" s="324"/>
      <c r="I57" s="324"/>
      <c r="J57" s="324"/>
      <c r="K57" s="321"/>
      <c r="L57" s="321"/>
      <c r="M57" s="321"/>
      <c r="N57" s="321"/>
      <c r="O57" s="339"/>
      <c r="P57" s="469"/>
      <c r="Q57" s="469"/>
      <c r="R57" s="339"/>
      <c r="S57" s="321"/>
      <c r="T57" s="321"/>
      <c r="U57" s="321"/>
      <c r="V57" s="321"/>
      <c r="W57" s="321"/>
      <c r="X57" s="321"/>
      <c r="Y57" s="321"/>
      <c r="Z57" s="321"/>
      <c r="AA57" s="321"/>
      <c r="AB57" s="321"/>
      <c r="AC57" s="321"/>
      <c r="AD57" s="321"/>
      <c r="AE57" s="321"/>
      <c r="AF57" s="321"/>
      <c r="AG57" s="321"/>
      <c r="AH57" s="321"/>
      <c r="AI57" s="321"/>
      <c r="AJ57" s="321"/>
      <c r="AK57" s="321"/>
      <c r="AL57" s="321"/>
      <c r="AM57" s="324"/>
      <c r="AN57" s="327"/>
      <c r="AO57" s="5" t="s">
        <v>255</v>
      </c>
      <c r="AP57" s="310"/>
      <c r="AQ57" s="310"/>
      <c r="AR57" s="310"/>
      <c r="AS57" s="135"/>
      <c r="AT57" s="135"/>
      <c r="AU57" s="117"/>
      <c r="AV57" s="117"/>
      <c r="AW57" s="117"/>
      <c r="AX57" s="117"/>
      <c r="AY57" s="117"/>
      <c r="AZ57" s="135"/>
      <c r="BA57" s="29"/>
      <c r="BB57" s="117"/>
      <c r="BC57" s="29"/>
      <c r="BD57" s="29"/>
      <c r="BE57" s="29"/>
      <c r="BF57" s="29"/>
      <c r="BG57" s="29"/>
      <c r="BH57" s="29"/>
      <c r="BI57" s="29"/>
      <c r="BJ57" s="29"/>
      <c r="BK57" s="29"/>
      <c r="BL57" s="29"/>
      <c r="BM57" s="29"/>
      <c r="BN57" s="29"/>
      <c r="BO57" s="29"/>
      <c r="BP57" s="29"/>
      <c r="BQ57" s="29"/>
      <c r="BR57" s="29"/>
      <c r="BS57" s="29"/>
      <c r="BT57" s="29"/>
      <c r="BU57" s="29"/>
      <c r="BV57" s="29"/>
      <c r="BW57" s="29"/>
      <c r="BX57" s="29"/>
      <c r="BY57" s="29"/>
      <c r="BZ57" s="29"/>
      <c r="CA57" s="29"/>
      <c r="CB57" s="29"/>
      <c r="CC57" s="29"/>
      <c r="CD57" s="29"/>
      <c r="CE57" s="29"/>
      <c r="CF57" s="29"/>
      <c r="CG57" s="29"/>
      <c r="CH57" s="29"/>
      <c r="CI57" s="29"/>
      <c r="CJ57" s="29"/>
      <c r="CK57" s="96"/>
    </row>
    <row r="58" spans="1:89" s="4" customFormat="1" ht="33" customHeight="1">
      <c r="A58" s="443"/>
      <c r="B58" s="445"/>
      <c r="C58" s="379" t="s">
        <v>264</v>
      </c>
      <c r="D58" s="461" t="s">
        <v>265</v>
      </c>
      <c r="E58" s="322"/>
      <c r="F58" s="322">
        <v>400</v>
      </c>
      <c r="G58" s="322"/>
      <c r="H58" s="322">
        <v>400</v>
      </c>
      <c r="I58" s="322"/>
      <c r="J58" s="322">
        <v>400</v>
      </c>
      <c r="K58" s="321"/>
      <c r="L58" s="321"/>
      <c r="M58" s="321"/>
      <c r="N58" s="321"/>
      <c r="O58" s="347">
        <v>71</v>
      </c>
      <c r="P58" s="328"/>
      <c r="Q58" s="347">
        <v>29</v>
      </c>
      <c r="R58" s="347">
        <f>SUM(O58:Q61)</f>
        <v>100</v>
      </c>
      <c r="S58" s="321"/>
      <c r="T58" s="321"/>
      <c r="U58" s="321"/>
      <c r="V58" s="321"/>
      <c r="W58" s="321"/>
      <c r="X58" s="321"/>
      <c r="Y58" s="321"/>
      <c r="Z58" s="321"/>
      <c r="AA58" s="321"/>
      <c r="AB58" s="321"/>
      <c r="AC58" s="321"/>
      <c r="AD58" s="321"/>
      <c r="AE58" s="321"/>
      <c r="AF58" s="321"/>
      <c r="AG58" s="321"/>
      <c r="AH58" s="321"/>
      <c r="AI58" s="321"/>
      <c r="AJ58" s="321"/>
      <c r="AK58" s="321"/>
      <c r="AL58" s="321"/>
      <c r="AM58" s="364" t="s">
        <v>95</v>
      </c>
      <c r="AN58" s="325" t="s">
        <v>32</v>
      </c>
      <c r="AO58" s="5" t="s">
        <v>266</v>
      </c>
      <c r="AP58" s="310">
        <v>1333000000</v>
      </c>
      <c r="AQ58" s="310">
        <v>1333000000</v>
      </c>
      <c r="AR58" s="310">
        <v>1333000000</v>
      </c>
      <c r="AS58" s="405">
        <v>5563978</v>
      </c>
      <c r="AT58" s="405">
        <v>1333000000</v>
      </c>
      <c r="AU58" s="360">
        <v>9145163</v>
      </c>
      <c r="AV58" s="360">
        <v>1333000000</v>
      </c>
      <c r="AW58" s="360">
        <v>8680550</v>
      </c>
      <c r="AX58" s="360">
        <v>1333000000</v>
      </c>
      <c r="AY58" s="360">
        <f>AS58+AU58+AW58</f>
        <v>23389691</v>
      </c>
      <c r="AZ58" s="405">
        <f>AT58+AV58+AX58</f>
        <v>3999000000</v>
      </c>
      <c r="BA58" s="341">
        <f>AY58+AZ58</f>
        <v>4022389691</v>
      </c>
      <c r="BB58" s="360">
        <v>2100000420</v>
      </c>
      <c r="BC58" s="341"/>
      <c r="BD58" s="341"/>
      <c r="BE58" s="341"/>
      <c r="BF58" s="341"/>
      <c r="BG58" s="341"/>
      <c r="BH58" s="341"/>
      <c r="BI58" s="341"/>
      <c r="BJ58" s="341"/>
      <c r="BK58" s="341"/>
      <c r="BL58" s="341"/>
      <c r="BM58" s="341"/>
      <c r="BN58" s="341">
        <f>SUM(BC58:BM59)</f>
        <v>0</v>
      </c>
      <c r="BO58" s="341">
        <f>BN58+BB58</f>
        <v>2100000420</v>
      </c>
      <c r="BP58" s="341">
        <v>3110000000</v>
      </c>
      <c r="BQ58" s="341"/>
      <c r="BR58" s="341"/>
      <c r="BS58" s="341"/>
      <c r="BT58" s="341"/>
      <c r="BU58" s="341"/>
      <c r="BV58" s="341">
        <f>SUM(BQ58:BU59)</f>
        <v>0</v>
      </c>
      <c r="BW58" s="341">
        <f>BV58+BP58</f>
        <v>3110000000</v>
      </c>
      <c r="BX58" s="341">
        <v>300000000</v>
      </c>
      <c r="BY58" s="341"/>
      <c r="BZ58" s="341"/>
      <c r="CA58" s="341"/>
      <c r="CB58" s="341">
        <f>SUM(BY58:CA59)</f>
        <v>0</v>
      </c>
      <c r="CC58" s="341">
        <f>CB58+BX58</f>
        <v>300000000</v>
      </c>
      <c r="CD58" s="341">
        <v>1200000000</v>
      </c>
      <c r="CE58" s="341">
        <v>150000000</v>
      </c>
      <c r="CF58" s="341">
        <v>150000000</v>
      </c>
      <c r="CG58" s="341">
        <f>SUM(CE58:CF59)</f>
        <v>300000000</v>
      </c>
      <c r="CH58" s="341">
        <f>CG58+CD58</f>
        <v>1500000000</v>
      </c>
      <c r="CI58" s="341"/>
      <c r="CJ58" s="341">
        <f>CH58+CC58+BW58+BO58+CI58</f>
        <v>7010000420</v>
      </c>
      <c r="CK58" s="310" t="s">
        <v>159</v>
      </c>
    </row>
    <row r="59" spans="1:89" s="4" customFormat="1" ht="36">
      <c r="A59" s="443"/>
      <c r="B59" s="445"/>
      <c r="C59" s="380"/>
      <c r="D59" s="462"/>
      <c r="E59" s="323"/>
      <c r="F59" s="323"/>
      <c r="G59" s="323"/>
      <c r="H59" s="323"/>
      <c r="I59" s="323"/>
      <c r="J59" s="323"/>
      <c r="K59" s="321"/>
      <c r="L59" s="321"/>
      <c r="M59" s="321"/>
      <c r="N59" s="321"/>
      <c r="O59" s="347"/>
      <c r="P59" s="328"/>
      <c r="Q59" s="347"/>
      <c r="R59" s="347"/>
      <c r="S59" s="321"/>
      <c r="T59" s="321"/>
      <c r="U59" s="321"/>
      <c r="V59" s="321"/>
      <c r="W59" s="321"/>
      <c r="X59" s="321"/>
      <c r="Y59" s="321"/>
      <c r="Z59" s="321"/>
      <c r="AA59" s="321"/>
      <c r="AB59" s="321"/>
      <c r="AC59" s="321"/>
      <c r="AD59" s="321"/>
      <c r="AE59" s="321"/>
      <c r="AF59" s="321"/>
      <c r="AG59" s="321"/>
      <c r="AH59" s="321"/>
      <c r="AI59" s="321"/>
      <c r="AJ59" s="321"/>
      <c r="AK59" s="321"/>
      <c r="AL59" s="321"/>
      <c r="AM59" s="365"/>
      <c r="AN59" s="326"/>
      <c r="AO59" s="5" t="s">
        <v>267</v>
      </c>
      <c r="AP59" s="310"/>
      <c r="AQ59" s="310"/>
      <c r="AR59" s="310"/>
      <c r="AS59" s="406"/>
      <c r="AT59" s="406"/>
      <c r="AU59" s="361"/>
      <c r="AV59" s="361"/>
      <c r="AW59" s="361"/>
      <c r="AX59" s="361"/>
      <c r="AY59" s="361"/>
      <c r="AZ59" s="406"/>
      <c r="BA59" s="341"/>
      <c r="BB59" s="361"/>
      <c r="BC59" s="341"/>
      <c r="BD59" s="341"/>
      <c r="BE59" s="341"/>
      <c r="BF59" s="341"/>
      <c r="BG59" s="341"/>
      <c r="BH59" s="341"/>
      <c r="BI59" s="341"/>
      <c r="BJ59" s="341"/>
      <c r="BK59" s="341"/>
      <c r="BL59" s="341"/>
      <c r="BM59" s="341"/>
      <c r="BN59" s="341"/>
      <c r="BO59" s="341"/>
      <c r="BP59" s="341"/>
      <c r="BQ59" s="341"/>
      <c r="BR59" s="341"/>
      <c r="BS59" s="341"/>
      <c r="BT59" s="341"/>
      <c r="BU59" s="341"/>
      <c r="BV59" s="341"/>
      <c r="BW59" s="341"/>
      <c r="BX59" s="341"/>
      <c r="BY59" s="341"/>
      <c r="BZ59" s="341"/>
      <c r="CA59" s="341"/>
      <c r="CB59" s="341"/>
      <c r="CC59" s="341"/>
      <c r="CD59" s="341"/>
      <c r="CE59" s="341"/>
      <c r="CF59" s="341"/>
      <c r="CG59" s="341"/>
      <c r="CH59" s="341"/>
      <c r="CI59" s="341"/>
      <c r="CJ59" s="341"/>
      <c r="CK59" s="346"/>
    </row>
    <row r="60" spans="1:89" s="4" customFormat="1" ht="36">
      <c r="A60" s="443"/>
      <c r="B60" s="445"/>
      <c r="C60" s="380"/>
      <c r="D60" s="462"/>
      <c r="E60" s="323"/>
      <c r="F60" s="323"/>
      <c r="G60" s="323"/>
      <c r="H60" s="323"/>
      <c r="I60" s="323"/>
      <c r="J60" s="323"/>
      <c r="K60" s="321"/>
      <c r="L60" s="321"/>
      <c r="M60" s="321"/>
      <c r="N60" s="321"/>
      <c r="O60" s="347"/>
      <c r="P60" s="328"/>
      <c r="Q60" s="347"/>
      <c r="R60" s="347"/>
      <c r="S60" s="321"/>
      <c r="T60" s="321"/>
      <c r="U60" s="321"/>
      <c r="V60" s="321"/>
      <c r="W60" s="321"/>
      <c r="X60" s="321"/>
      <c r="Y60" s="321"/>
      <c r="Z60" s="321"/>
      <c r="AA60" s="321"/>
      <c r="AB60" s="321"/>
      <c r="AC60" s="321"/>
      <c r="AD60" s="321"/>
      <c r="AE60" s="321"/>
      <c r="AF60" s="321"/>
      <c r="AG60" s="321"/>
      <c r="AH60" s="321"/>
      <c r="AI60" s="321"/>
      <c r="AJ60" s="321"/>
      <c r="AK60" s="321"/>
      <c r="AL60" s="321"/>
      <c r="AM60" s="365"/>
      <c r="AN60" s="326"/>
      <c r="AO60" s="5" t="s">
        <v>254</v>
      </c>
      <c r="AP60" s="310"/>
      <c r="AQ60" s="310"/>
      <c r="AR60" s="310"/>
      <c r="AS60" s="135"/>
      <c r="AT60" s="135"/>
      <c r="AU60" s="117"/>
      <c r="AV60" s="117"/>
      <c r="AW60" s="117"/>
      <c r="AX60" s="117"/>
      <c r="AY60" s="117"/>
      <c r="AZ60" s="135"/>
      <c r="BA60" s="29"/>
      <c r="BB60" s="117"/>
      <c r="BC60" s="29"/>
      <c r="BD60" s="29"/>
      <c r="BE60" s="29"/>
      <c r="BF60" s="29"/>
      <c r="BG60" s="29"/>
      <c r="BH60" s="29"/>
      <c r="BI60" s="29"/>
      <c r="BJ60" s="29"/>
      <c r="BK60" s="29"/>
      <c r="BL60" s="29"/>
      <c r="BM60" s="29"/>
      <c r="BN60" s="29"/>
      <c r="BO60" s="29"/>
      <c r="BP60" s="29"/>
      <c r="BQ60" s="29"/>
      <c r="BR60" s="29"/>
      <c r="BS60" s="29"/>
      <c r="BT60" s="29"/>
      <c r="BU60" s="29"/>
      <c r="BV60" s="29"/>
      <c r="BW60" s="29"/>
      <c r="BX60" s="29"/>
      <c r="BY60" s="29"/>
      <c r="BZ60" s="29"/>
      <c r="CA60" s="29"/>
      <c r="CB60" s="29"/>
      <c r="CC60" s="29"/>
      <c r="CD60" s="29"/>
      <c r="CE60" s="29"/>
      <c r="CF60" s="29"/>
      <c r="CG60" s="29"/>
      <c r="CH60" s="29"/>
      <c r="CI60" s="29"/>
      <c r="CJ60" s="29"/>
      <c r="CK60" s="123"/>
    </row>
    <row r="61" spans="1:89" s="4" customFormat="1" ht="24">
      <c r="A61" s="443"/>
      <c r="B61" s="445"/>
      <c r="C61" s="381"/>
      <c r="D61" s="463"/>
      <c r="E61" s="324"/>
      <c r="F61" s="324"/>
      <c r="G61" s="324"/>
      <c r="H61" s="324"/>
      <c r="I61" s="324"/>
      <c r="J61" s="324"/>
      <c r="K61" s="321"/>
      <c r="L61" s="321"/>
      <c r="M61" s="321"/>
      <c r="N61" s="321"/>
      <c r="O61" s="347"/>
      <c r="P61" s="328"/>
      <c r="Q61" s="347"/>
      <c r="R61" s="347"/>
      <c r="S61" s="321"/>
      <c r="T61" s="321"/>
      <c r="U61" s="321"/>
      <c r="V61" s="321"/>
      <c r="W61" s="321"/>
      <c r="X61" s="321"/>
      <c r="Y61" s="321"/>
      <c r="Z61" s="321"/>
      <c r="AA61" s="321"/>
      <c r="AB61" s="321"/>
      <c r="AC61" s="321"/>
      <c r="AD61" s="321"/>
      <c r="AE61" s="321"/>
      <c r="AF61" s="321"/>
      <c r="AG61" s="321"/>
      <c r="AH61" s="321"/>
      <c r="AI61" s="321"/>
      <c r="AJ61" s="321"/>
      <c r="AK61" s="321"/>
      <c r="AL61" s="321"/>
      <c r="AM61" s="366"/>
      <c r="AN61" s="327"/>
      <c r="AO61" s="5" t="s">
        <v>268</v>
      </c>
      <c r="AP61" s="310"/>
      <c r="AQ61" s="310"/>
      <c r="AR61" s="310"/>
      <c r="AS61" s="135"/>
      <c r="AT61" s="135"/>
      <c r="AU61" s="117"/>
      <c r="AV61" s="117"/>
      <c r="AW61" s="117"/>
      <c r="AX61" s="117"/>
      <c r="AY61" s="117"/>
      <c r="AZ61" s="135"/>
      <c r="BA61" s="29"/>
      <c r="BB61" s="117"/>
      <c r="BC61" s="29"/>
      <c r="BD61" s="29"/>
      <c r="BE61" s="29"/>
      <c r="BF61" s="29"/>
      <c r="BG61" s="29"/>
      <c r="BH61" s="29"/>
      <c r="BI61" s="29"/>
      <c r="BJ61" s="29"/>
      <c r="BK61" s="29"/>
      <c r="BL61" s="29"/>
      <c r="BM61" s="29"/>
      <c r="BN61" s="29"/>
      <c r="BO61" s="29"/>
      <c r="BP61" s="29"/>
      <c r="BQ61" s="29"/>
      <c r="BR61" s="29"/>
      <c r="BS61" s="29"/>
      <c r="BT61" s="29"/>
      <c r="BU61" s="29"/>
      <c r="BV61" s="29"/>
      <c r="BW61" s="29"/>
      <c r="BX61" s="29"/>
      <c r="BY61" s="29"/>
      <c r="BZ61" s="29"/>
      <c r="CA61" s="29"/>
      <c r="CB61" s="29"/>
      <c r="CC61" s="29"/>
      <c r="CD61" s="29"/>
      <c r="CE61" s="29"/>
      <c r="CF61" s="29"/>
      <c r="CG61" s="29"/>
      <c r="CH61" s="29"/>
      <c r="CI61" s="29"/>
      <c r="CJ61" s="29"/>
      <c r="CK61" s="123"/>
    </row>
    <row r="62" spans="1:89" s="4" customFormat="1" ht="33" customHeight="1">
      <c r="A62" s="443"/>
      <c r="B62" s="445"/>
      <c r="C62" s="379" t="s">
        <v>273</v>
      </c>
      <c r="D62" s="332" t="s">
        <v>269</v>
      </c>
      <c r="E62" s="322"/>
      <c r="F62" s="322">
        <v>500</v>
      </c>
      <c r="G62" s="322"/>
      <c r="H62" s="322">
        <v>500</v>
      </c>
      <c r="I62" s="322"/>
      <c r="J62" s="322">
        <v>500</v>
      </c>
      <c r="K62" s="321"/>
      <c r="L62" s="321"/>
      <c r="M62" s="321"/>
      <c r="N62" s="321"/>
      <c r="O62" s="328"/>
      <c r="P62" s="328"/>
      <c r="Q62" s="328"/>
      <c r="R62" s="328"/>
      <c r="S62" s="321"/>
      <c r="T62" s="321"/>
      <c r="U62" s="321"/>
      <c r="V62" s="321"/>
      <c r="W62" s="321"/>
      <c r="X62" s="321"/>
      <c r="Y62" s="321"/>
      <c r="Z62" s="321"/>
      <c r="AA62" s="321"/>
      <c r="AB62" s="321"/>
      <c r="AC62" s="321"/>
      <c r="AD62" s="321"/>
      <c r="AE62" s="321"/>
      <c r="AF62" s="321"/>
      <c r="AG62" s="321"/>
      <c r="AH62" s="321"/>
      <c r="AI62" s="321"/>
      <c r="AJ62" s="321"/>
      <c r="AK62" s="321"/>
      <c r="AL62" s="321"/>
      <c r="AM62" s="322" t="s">
        <v>96</v>
      </c>
      <c r="AN62" s="322" t="s">
        <v>33</v>
      </c>
      <c r="AO62" s="5" t="s">
        <v>271</v>
      </c>
      <c r="AP62" s="310">
        <v>715000000</v>
      </c>
      <c r="AQ62" s="310">
        <v>715000000</v>
      </c>
      <c r="AR62" s="310">
        <v>715000000</v>
      </c>
      <c r="AS62" s="405">
        <v>4600738</v>
      </c>
      <c r="AT62" s="405">
        <v>715000000</v>
      </c>
      <c r="AU62" s="360">
        <v>7453623</v>
      </c>
      <c r="AV62" s="360">
        <v>715000000</v>
      </c>
      <c r="AW62" s="360">
        <v>7067949</v>
      </c>
      <c r="AX62" s="360">
        <v>715000000</v>
      </c>
      <c r="AY62" s="360">
        <f>AS62+AU62+AW62</f>
        <v>19122310</v>
      </c>
      <c r="AZ62" s="405">
        <f>AT62+AV62+AX62</f>
        <v>2145000000</v>
      </c>
      <c r="BA62" s="341">
        <f>AY62+AZ62</f>
        <v>2164122310</v>
      </c>
      <c r="BB62" s="360">
        <v>1200000060</v>
      </c>
      <c r="BC62" s="341"/>
      <c r="BD62" s="341"/>
      <c r="BE62" s="341"/>
      <c r="BF62" s="341"/>
      <c r="BG62" s="310"/>
      <c r="BH62" s="310"/>
      <c r="BI62" s="310"/>
      <c r="BJ62" s="310"/>
      <c r="BK62" s="310"/>
      <c r="BL62" s="310"/>
      <c r="BM62" s="310"/>
      <c r="BN62" s="341">
        <f>SUM(BC62:BM63)</f>
        <v>0</v>
      </c>
      <c r="BO62" s="341">
        <f>BN62+BB62</f>
        <v>1200000060</v>
      </c>
      <c r="BP62" s="341">
        <v>800000000</v>
      </c>
      <c r="BQ62" s="341"/>
      <c r="BR62" s="341"/>
      <c r="BS62" s="341"/>
      <c r="BT62" s="341"/>
      <c r="BU62" s="341"/>
      <c r="BV62" s="341">
        <f>SUM(BQ62:BU63)</f>
        <v>0</v>
      </c>
      <c r="BW62" s="341">
        <f>BV62+BP62</f>
        <v>800000000</v>
      </c>
      <c r="BX62" s="341">
        <v>300000000</v>
      </c>
      <c r="BY62" s="341"/>
      <c r="BZ62" s="341"/>
      <c r="CA62" s="341"/>
      <c r="CB62" s="341">
        <f>SUM(BY62:CA63)</f>
        <v>0</v>
      </c>
      <c r="CC62" s="341">
        <f>CB62+BX62</f>
        <v>300000000</v>
      </c>
      <c r="CD62" s="341">
        <v>84000000</v>
      </c>
      <c r="CE62" s="341">
        <v>45000000</v>
      </c>
      <c r="CF62" s="341">
        <v>80000000</v>
      </c>
      <c r="CG62" s="341">
        <f>SUM(CE62:CF63)</f>
        <v>125000000</v>
      </c>
      <c r="CH62" s="341">
        <f>CG62+CD62</f>
        <v>209000000</v>
      </c>
      <c r="CI62" s="341"/>
      <c r="CJ62" s="341">
        <f>CH62+CC62+BW62+BO62+CI62</f>
        <v>2509000060</v>
      </c>
      <c r="CK62" s="322" t="s">
        <v>160</v>
      </c>
    </row>
    <row r="63" spans="1:89" s="4" customFormat="1" ht="48">
      <c r="A63" s="443"/>
      <c r="B63" s="445"/>
      <c r="C63" s="380"/>
      <c r="D63" s="333"/>
      <c r="E63" s="323"/>
      <c r="F63" s="323"/>
      <c r="G63" s="323"/>
      <c r="H63" s="323"/>
      <c r="I63" s="323"/>
      <c r="J63" s="323"/>
      <c r="K63" s="321"/>
      <c r="L63" s="321"/>
      <c r="M63" s="321"/>
      <c r="N63" s="321"/>
      <c r="O63" s="328"/>
      <c r="P63" s="328"/>
      <c r="Q63" s="328"/>
      <c r="R63" s="328"/>
      <c r="S63" s="321"/>
      <c r="T63" s="321"/>
      <c r="U63" s="321"/>
      <c r="V63" s="321"/>
      <c r="W63" s="321"/>
      <c r="X63" s="321"/>
      <c r="Y63" s="321"/>
      <c r="Z63" s="321"/>
      <c r="AA63" s="321"/>
      <c r="AB63" s="321"/>
      <c r="AC63" s="321"/>
      <c r="AD63" s="321"/>
      <c r="AE63" s="321"/>
      <c r="AF63" s="321"/>
      <c r="AG63" s="321"/>
      <c r="AH63" s="321"/>
      <c r="AI63" s="321"/>
      <c r="AJ63" s="321"/>
      <c r="AK63" s="321"/>
      <c r="AL63" s="321"/>
      <c r="AM63" s="323"/>
      <c r="AN63" s="323"/>
      <c r="AO63" s="5" t="s">
        <v>272</v>
      </c>
      <c r="AP63" s="310"/>
      <c r="AQ63" s="310"/>
      <c r="AR63" s="310"/>
      <c r="AS63" s="406"/>
      <c r="AT63" s="406"/>
      <c r="AU63" s="361"/>
      <c r="AV63" s="361"/>
      <c r="AW63" s="361"/>
      <c r="AX63" s="361"/>
      <c r="AY63" s="361"/>
      <c r="AZ63" s="406"/>
      <c r="BA63" s="341"/>
      <c r="BB63" s="361"/>
      <c r="BC63" s="341"/>
      <c r="BD63" s="341"/>
      <c r="BE63" s="341"/>
      <c r="BF63" s="341"/>
      <c r="BG63" s="310"/>
      <c r="BH63" s="310"/>
      <c r="BI63" s="310"/>
      <c r="BJ63" s="310"/>
      <c r="BK63" s="310"/>
      <c r="BL63" s="310"/>
      <c r="BM63" s="310"/>
      <c r="BN63" s="341"/>
      <c r="BO63" s="341"/>
      <c r="BP63" s="341"/>
      <c r="BQ63" s="341"/>
      <c r="BR63" s="341"/>
      <c r="BS63" s="341"/>
      <c r="BT63" s="341"/>
      <c r="BU63" s="341"/>
      <c r="BV63" s="341"/>
      <c r="BW63" s="341"/>
      <c r="BX63" s="341"/>
      <c r="BY63" s="341"/>
      <c r="BZ63" s="341"/>
      <c r="CA63" s="341"/>
      <c r="CB63" s="341"/>
      <c r="CC63" s="341"/>
      <c r="CD63" s="341"/>
      <c r="CE63" s="341"/>
      <c r="CF63" s="341"/>
      <c r="CG63" s="341"/>
      <c r="CH63" s="341"/>
      <c r="CI63" s="341"/>
      <c r="CJ63" s="341"/>
      <c r="CK63" s="324"/>
    </row>
    <row r="64" spans="1:89" s="4" customFormat="1" ht="36">
      <c r="A64" s="443"/>
      <c r="B64" s="445"/>
      <c r="C64" s="380"/>
      <c r="D64" s="333"/>
      <c r="E64" s="323"/>
      <c r="F64" s="323"/>
      <c r="G64" s="323"/>
      <c r="H64" s="323"/>
      <c r="I64" s="323"/>
      <c r="J64" s="323"/>
      <c r="K64" s="321"/>
      <c r="L64" s="321"/>
      <c r="M64" s="321"/>
      <c r="N64" s="321"/>
      <c r="O64" s="328"/>
      <c r="P64" s="328"/>
      <c r="Q64" s="328"/>
      <c r="R64" s="328"/>
      <c r="S64" s="321"/>
      <c r="T64" s="321"/>
      <c r="U64" s="321"/>
      <c r="V64" s="321"/>
      <c r="W64" s="321"/>
      <c r="X64" s="321"/>
      <c r="Y64" s="321"/>
      <c r="Z64" s="321"/>
      <c r="AA64" s="321"/>
      <c r="AB64" s="321"/>
      <c r="AC64" s="321"/>
      <c r="AD64" s="321"/>
      <c r="AE64" s="321"/>
      <c r="AF64" s="321"/>
      <c r="AG64" s="321"/>
      <c r="AH64" s="321"/>
      <c r="AI64" s="321"/>
      <c r="AJ64" s="321"/>
      <c r="AK64" s="321"/>
      <c r="AL64" s="321"/>
      <c r="AM64" s="323"/>
      <c r="AN64" s="323"/>
      <c r="AO64" s="5" t="s">
        <v>254</v>
      </c>
      <c r="AP64" s="310"/>
      <c r="AQ64" s="310"/>
      <c r="AR64" s="310"/>
      <c r="AS64" s="135"/>
      <c r="AT64" s="135"/>
      <c r="AU64" s="117"/>
      <c r="AV64" s="117"/>
      <c r="AW64" s="117"/>
      <c r="AX64" s="117"/>
      <c r="AY64" s="117"/>
      <c r="AZ64" s="135"/>
      <c r="BA64" s="29"/>
      <c r="BB64" s="117"/>
      <c r="BC64" s="29"/>
      <c r="BD64" s="29"/>
      <c r="BE64" s="29"/>
      <c r="BF64" s="29"/>
      <c r="BG64" s="26"/>
      <c r="BH64" s="26"/>
      <c r="BI64" s="26"/>
      <c r="BJ64" s="26"/>
      <c r="BK64" s="26"/>
      <c r="BL64" s="26"/>
      <c r="BM64" s="26"/>
      <c r="BN64" s="29"/>
      <c r="BO64" s="29"/>
      <c r="BP64" s="29"/>
      <c r="BQ64" s="29"/>
      <c r="BR64" s="29"/>
      <c r="BS64" s="29"/>
      <c r="BT64" s="29"/>
      <c r="BU64" s="29"/>
      <c r="BV64" s="29"/>
      <c r="BW64" s="29"/>
      <c r="BX64" s="29"/>
      <c r="BY64" s="29"/>
      <c r="BZ64" s="29"/>
      <c r="CA64" s="29"/>
      <c r="CB64" s="29"/>
      <c r="CC64" s="29"/>
      <c r="CD64" s="29"/>
      <c r="CE64" s="29"/>
      <c r="CF64" s="29"/>
      <c r="CG64" s="29"/>
      <c r="CH64" s="29"/>
      <c r="CI64" s="29"/>
      <c r="CJ64" s="29"/>
      <c r="CK64" s="124"/>
    </row>
    <row r="65" spans="1:89" s="4" customFormat="1" ht="24">
      <c r="A65" s="443"/>
      <c r="B65" s="445"/>
      <c r="C65" s="380"/>
      <c r="D65" s="334"/>
      <c r="E65" s="324"/>
      <c r="F65" s="324"/>
      <c r="G65" s="324"/>
      <c r="H65" s="324"/>
      <c r="I65" s="324"/>
      <c r="J65" s="324"/>
      <c r="K65" s="321"/>
      <c r="L65" s="321"/>
      <c r="M65" s="321"/>
      <c r="N65" s="321"/>
      <c r="O65" s="328"/>
      <c r="P65" s="328"/>
      <c r="Q65" s="328"/>
      <c r="R65" s="328"/>
      <c r="S65" s="321"/>
      <c r="T65" s="321"/>
      <c r="U65" s="321"/>
      <c r="V65" s="321"/>
      <c r="W65" s="321"/>
      <c r="X65" s="321"/>
      <c r="Y65" s="321"/>
      <c r="Z65" s="321"/>
      <c r="AA65" s="321"/>
      <c r="AB65" s="321"/>
      <c r="AC65" s="321"/>
      <c r="AD65" s="321"/>
      <c r="AE65" s="321"/>
      <c r="AF65" s="321"/>
      <c r="AG65" s="321"/>
      <c r="AH65" s="321"/>
      <c r="AI65" s="321"/>
      <c r="AJ65" s="321"/>
      <c r="AK65" s="321"/>
      <c r="AL65" s="321"/>
      <c r="AM65" s="324"/>
      <c r="AN65" s="324"/>
      <c r="AO65" s="5" t="s">
        <v>268</v>
      </c>
      <c r="AP65" s="310"/>
      <c r="AQ65" s="310"/>
      <c r="AR65" s="310"/>
      <c r="AS65" s="135"/>
      <c r="AT65" s="135"/>
      <c r="AU65" s="117"/>
      <c r="AV65" s="117"/>
      <c r="AW65" s="117"/>
      <c r="AX65" s="117"/>
      <c r="AY65" s="117"/>
      <c r="AZ65" s="135"/>
      <c r="BA65" s="29"/>
      <c r="BB65" s="117"/>
      <c r="BC65" s="29"/>
      <c r="BD65" s="29"/>
      <c r="BE65" s="29"/>
      <c r="BF65" s="29"/>
      <c r="BG65" s="26"/>
      <c r="BH65" s="26"/>
      <c r="BI65" s="26"/>
      <c r="BJ65" s="26"/>
      <c r="BK65" s="26"/>
      <c r="BL65" s="26"/>
      <c r="BM65" s="26"/>
      <c r="BN65" s="29"/>
      <c r="BO65" s="29"/>
      <c r="BP65" s="29"/>
      <c r="BQ65" s="29"/>
      <c r="BR65" s="29"/>
      <c r="BS65" s="29"/>
      <c r="BT65" s="29"/>
      <c r="BU65" s="29"/>
      <c r="BV65" s="29"/>
      <c r="BW65" s="29"/>
      <c r="BX65" s="29"/>
      <c r="BY65" s="29"/>
      <c r="BZ65" s="29"/>
      <c r="CA65" s="29"/>
      <c r="CB65" s="29"/>
      <c r="CC65" s="29"/>
      <c r="CD65" s="29"/>
      <c r="CE65" s="29"/>
      <c r="CF65" s="29"/>
      <c r="CG65" s="29"/>
      <c r="CH65" s="29"/>
      <c r="CI65" s="29"/>
      <c r="CJ65" s="29"/>
      <c r="CK65" s="124"/>
    </row>
    <row r="66" spans="1:89" s="4" customFormat="1" ht="48">
      <c r="A66" s="443"/>
      <c r="B66" s="445"/>
      <c r="C66" s="380"/>
      <c r="D66" s="332" t="s">
        <v>270</v>
      </c>
      <c r="E66" s="322"/>
      <c r="F66" s="322">
        <v>500</v>
      </c>
      <c r="G66" s="322"/>
      <c r="H66" s="322">
        <v>500</v>
      </c>
      <c r="I66" s="322"/>
      <c r="J66" s="322">
        <v>500</v>
      </c>
      <c r="K66" s="321"/>
      <c r="L66" s="321"/>
      <c r="M66" s="321"/>
      <c r="N66" s="321"/>
      <c r="O66" s="328"/>
      <c r="P66" s="328"/>
      <c r="Q66" s="328"/>
      <c r="R66" s="328"/>
      <c r="S66" s="321"/>
      <c r="T66" s="321"/>
      <c r="U66" s="321"/>
      <c r="V66" s="321"/>
      <c r="W66" s="321"/>
      <c r="X66" s="321"/>
      <c r="Y66" s="321"/>
      <c r="Z66" s="321"/>
      <c r="AA66" s="321"/>
      <c r="AB66" s="321"/>
      <c r="AC66" s="321"/>
      <c r="AD66" s="321"/>
      <c r="AE66" s="321"/>
      <c r="AF66" s="321"/>
      <c r="AG66" s="321"/>
      <c r="AH66" s="321"/>
      <c r="AI66" s="321"/>
      <c r="AJ66" s="321"/>
      <c r="AK66" s="321"/>
      <c r="AL66" s="321"/>
      <c r="AM66" s="322" t="s">
        <v>27</v>
      </c>
      <c r="AN66" s="325" t="s">
        <v>34</v>
      </c>
      <c r="AO66" s="5" t="s">
        <v>274</v>
      </c>
      <c r="AP66" s="310">
        <v>160000000</v>
      </c>
      <c r="AQ66" s="310">
        <v>160000000</v>
      </c>
      <c r="AR66" s="310">
        <v>160000000</v>
      </c>
      <c r="AS66" s="405">
        <v>4600738</v>
      </c>
      <c r="AT66" s="405">
        <v>160000000</v>
      </c>
      <c r="AU66" s="360">
        <v>7453623</v>
      </c>
      <c r="AV66" s="360">
        <v>160000000</v>
      </c>
      <c r="AW66" s="360">
        <v>7067949</v>
      </c>
      <c r="AX66" s="360">
        <v>160000000</v>
      </c>
      <c r="AY66" s="360">
        <f>AS66+AU66+AW66</f>
        <v>19122310</v>
      </c>
      <c r="AZ66" s="405">
        <f>AT66+AV66+AX66</f>
        <v>480000000</v>
      </c>
      <c r="BA66" s="341">
        <f>AY66+AZ66</f>
        <v>499122310</v>
      </c>
      <c r="BB66" s="360">
        <v>300000060</v>
      </c>
      <c r="BC66" s="341"/>
      <c r="BD66" s="341"/>
      <c r="BE66" s="341"/>
      <c r="BF66" s="341"/>
      <c r="BG66" s="310"/>
      <c r="BH66" s="310"/>
      <c r="BI66" s="310"/>
      <c r="BJ66" s="310"/>
      <c r="BK66" s="310"/>
      <c r="BL66" s="310"/>
      <c r="BM66" s="310"/>
      <c r="BN66" s="341">
        <f>SUM(BC66:BM67)</f>
        <v>0</v>
      </c>
      <c r="BO66" s="341">
        <f>BN66+BB66</f>
        <v>300000060</v>
      </c>
      <c r="BP66" s="341">
        <v>110000000</v>
      </c>
      <c r="BQ66" s="341"/>
      <c r="BR66" s="341"/>
      <c r="BS66" s="341"/>
      <c r="BT66" s="341"/>
      <c r="BU66" s="341"/>
      <c r="BV66" s="341">
        <f>SUM(BQ66:BU67)</f>
        <v>0</v>
      </c>
      <c r="BW66" s="341">
        <f>BV66+BP66</f>
        <v>110000000</v>
      </c>
      <c r="BX66" s="341">
        <v>30000000</v>
      </c>
      <c r="BY66" s="341"/>
      <c r="BZ66" s="341"/>
      <c r="CA66" s="341"/>
      <c r="CB66" s="341">
        <f>SUM(BY66:CA67)</f>
        <v>0</v>
      </c>
      <c r="CC66" s="341">
        <f>CB66+BX66</f>
        <v>30000000</v>
      </c>
      <c r="CD66" s="341">
        <v>20000000</v>
      </c>
      <c r="CE66" s="341">
        <v>10000000</v>
      </c>
      <c r="CF66" s="341">
        <v>50000000</v>
      </c>
      <c r="CG66" s="341">
        <f>SUM(CE66:CF67)</f>
        <v>60000000</v>
      </c>
      <c r="CH66" s="341">
        <f>CG66+CD66</f>
        <v>80000000</v>
      </c>
      <c r="CI66" s="341"/>
      <c r="CJ66" s="341">
        <f>CH66+CC66+BW66+BO66+CI66</f>
        <v>520000060</v>
      </c>
      <c r="CK66" s="346" t="s">
        <v>161</v>
      </c>
    </row>
    <row r="67" spans="1:89" s="4" customFormat="1" ht="36">
      <c r="A67" s="443"/>
      <c r="B67" s="445"/>
      <c r="C67" s="380"/>
      <c r="D67" s="333"/>
      <c r="E67" s="323"/>
      <c r="F67" s="323"/>
      <c r="G67" s="323"/>
      <c r="H67" s="323"/>
      <c r="I67" s="323"/>
      <c r="J67" s="323"/>
      <c r="K67" s="321"/>
      <c r="L67" s="321"/>
      <c r="M67" s="321"/>
      <c r="N67" s="321"/>
      <c r="O67" s="328"/>
      <c r="P67" s="328"/>
      <c r="Q67" s="328"/>
      <c r="R67" s="328"/>
      <c r="S67" s="321"/>
      <c r="T67" s="321"/>
      <c r="U67" s="321"/>
      <c r="V67" s="321"/>
      <c r="W67" s="321"/>
      <c r="X67" s="321"/>
      <c r="Y67" s="321"/>
      <c r="Z67" s="321"/>
      <c r="AA67" s="321"/>
      <c r="AB67" s="321"/>
      <c r="AC67" s="321"/>
      <c r="AD67" s="321"/>
      <c r="AE67" s="321"/>
      <c r="AF67" s="321"/>
      <c r="AG67" s="321"/>
      <c r="AH67" s="321"/>
      <c r="AI67" s="321"/>
      <c r="AJ67" s="321"/>
      <c r="AK67" s="321"/>
      <c r="AL67" s="321"/>
      <c r="AM67" s="323"/>
      <c r="AN67" s="326"/>
      <c r="AO67" s="5" t="s">
        <v>453</v>
      </c>
      <c r="AP67" s="310"/>
      <c r="AQ67" s="310"/>
      <c r="AR67" s="310"/>
      <c r="AS67" s="406"/>
      <c r="AT67" s="406"/>
      <c r="AU67" s="361"/>
      <c r="AV67" s="361"/>
      <c r="AW67" s="361"/>
      <c r="AX67" s="361"/>
      <c r="AY67" s="361"/>
      <c r="AZ67" s="406"/>
      <c r="BA67" s="341"/>
      <c r="BB67" s="361"/>
      <c r="BC67" s="341"/>
      <c r="BD67" s="341"/>
      <c r="BE67" s="341"/>
      <c r="BF67" s="341"/>
      <c r="BG67" s="310"/>
      <c r="BH67" s="310"/>
      <c r="BI67" s="310"/>
      <c r="BJ67" s="310"/>
      <c r="BK67" s="310"/>
      <c r="BL67" s="310"/>
      <c r="BM67" s="310"/>
      <c r="BN67" s="341"/>
      <c r="BO67" s="341"/>
      <c r="BP67" s="341"/>
      <c r="BQ67" s="341"/>
      <c r="BR67" s="341"/>
      <c r="BS67" s="341"/>
      <c r="BT67" s="341"/>
      <c r="BU67" s="341"/>
      <c r="BV67" s="341"/>
      <c r="BW67" s="341"/>
      <c r="BX67" s="341"/>
      <c r="BY67" s="341"/>
      <c r="BZ67" s="341"/>
      <c r="CA67" s="341"/>
      <c r="CB67" s="341"/>
      <c r="CC67" s="341"/>
      <c r="CD67" s="341"/>
      <c r="CE67" s="341"/>
      <c r="CF67" s="341"/>
      <c r="CG67" s="341"/>
      <c r="CH67" s="341"/>
      <c r="CI67" s="341"/>
      <c r="CJ67" s="341"/>
      <c r="CK67" s="346"/>
    </row>
    <row r="68" spans="1:89" s="4" customFormat="1" ht="36">
      <c r="A68" s="443"/>
      <c r="B68" s="445"/>
      <c r="C68" s="380"/>
      <c r="D68" s="333"/>
      <c r="E68" s="323"/>
      <c r="F68" s="323"/>
      <c r="G68" s="323"/>
      <c r="H68" s="323"/>
      <c r="I68" s="323"/>
      <c r="J68" s="323"/>
      <c r="K68" s="321"/>
      <c r="L68" s="321"/>
      <c r="M68" s="321"/>
      <c r="N68" s="321"/>
      <c r="O68" s="328"/>
      <c r="P68" s="328"/>
      <c r="Q68" s="328"/>
      <c r="R68" s="328"/>
      <c r="S68" s="321"/>
      <c r="T68" s="321"/>
      <c r="U68" s="321"/>
      <c r="V68" s="321"/>
      <c r="W68" s="321"/>
      <c r="X68" s="321"/>
      <c r="Y68" s="321"/>
      <c r="Z68" s="321"/>
      <c r="AA68" s="321"/>
      <c r="AB68" s="321"/>
      <c r="AC68" s="321"/>
      <c r="AD68" s="321"/>
      <c r="AE68" s="321"/>
      <c r="AF68" s="321"/>
      <c r="AG68" s="321"/>
      <c r="AH68" s="321"/>
      <c r="AI68" s="321"/>
      <c r="AJ68" s="321"/>
      <c r="AK68" s="321"/>
      <c r="AL68" s="321"/>
      <c r="AM68" s="323"/>
      <c r="AN68" s="326"/>
      <c r="AO68" s="5" t="s">
        <v>254</v>
      </c>
      <c r="AP68" s="310"/>
      <c r="AQ68" s="310"/>
      <c r="AR68" s="310"/>
      <c r="AS68" s="135"/>
      <c r="AT68" s="135"/>
      <c r="AU68" s="117"/>
      <c r="AV68" s="117"/>
      <c r="AW68" s="117"/>
      <c r="AX68" s="117"/>
      <c r="AY68" s="117"/>
      <c r="AZ68" s="135"/>
      <c r="BA68" s="29"/>
      <c r="BB68" s="117"/>
      <c r="BC68" s="29"/>
      <c r="BD68" s="29"/>
      <c r="BE68" s="29"/>
      <c r="BF68" s="29"/>
      <c r="BG68" s="26"/>
      <c r="BH68" s="26"/>
      <c r="BI68" s="26"/>
      <c r="BJ68" s="26"/>
      <c r="BK68" s="26"/>
      <c r="BL68" s="26"/>
      <c r="BM68" s="26"/>
      <c r="BN68" s="29"/>
      <c r="BO68" s="29"/>
      <c r="BP68" s="29"/>
      <c r="BQ68" s="29"/>
      <c r="BR68" s="29"/>
      <c r="BS68" s="29"/>
      <c r="BT68" s="29"/>
      <c r="BU68" s="29"/>
      <c r="BV68" s="29"/>
      <c r="BW68" s="29"/>
      <c r="BX68" s="29"/>
      <c r="BY68" s="29"/>
      <c r="BZ68" s="29"/>
      <c r="CA68" s="29"/>
      <c r="CB68" s="29"/>
      <c r="CC68" s="29"/>
      <c r="CD68" s="29"/>
      <c r="CE68" s="29"/>
      <c r="CF68" s="29"/>
      <c r="CG68" s="29"/>
      <c r="CH68" s="29"/>
      <c r="CI68" s="29"/>
      <c r="CJ68" s="29"/>
      <c r="CK68" s="96"/>
    </row>
    <row r="69" spans="1:89" s="4" customFormat="1" ht="24">
      <c r="A69" s="443"/>
      <c r="B69" s="445"/>
      <c r="C69" s="381"/>
      <c r="D69" s="334"/>
      <c r="E69" s="324"/>
      <c r="F69" s="324"/>
      <c r="G69" s="324"/>
      <c r="H69" s="324"/>
      <c r="I69" s="324"/>
      <c r="J69" s="324"/>
      <c r="K69" s="321"/>
      <c r="L69" s="321"/>
      <c r="M69" s="321"/>
      <c r="N69" s="321"/>
      <c r="O69" s="328"/>
      <c r="P69" s="328"/>
      <c r="Q69" s="328"/>
      <c r="R69" s="328"/>
      <c r="S69" s="321"/>
      <c r="T69" s="321"/>
      <c r="U69" s="321"/>
      <c r="V69" s="321"/>
      <c r="W69" s="321"/>
      <c r="X69" s="321"/>
      <c r="Y69" s="321"/>
      <c r="Z69" s="321"/>
      <c r="AA69" s="321"/>
      <c r="AB69" s="321"/>
      <c r="AC69" s="321"/>
      <c r="AD69" s="321"/>
      <c r="AE69" s="321"/>
      <c r="AF69" s="321"/>
      <c r="AG69" s="321"/>
      <c r="AH69" s="321"/>
      <c r="AI69" s="321"/>
      <c r="AJ69" s="321"/>
      <c r="AK69" s="321"/>
      <c r="AL69" s="321"/>
      <c r="AM69" s="324"/>
      <c r="AN69" s="327"/>
      <c r="AO69" s="5" t="s">
        <v>255</v>
      </c>
      <c r="AP69" s="310"/>
      <c r="AQ69" s="310"/>
      <c r="AR69" s="310"/>
      <c r="AS69" s="135"/>
      <c r="AT69" s="135"/>
      <c r="AU69" s="117"/>
      <c r="AV69" s="117"/>
      <c r="AW69" s="117"/>
      <c r="AX69" s="117"/>
      <c r="AY69" s="117"/>
      <c r="AZ69" s="135"/>
      <c r="BA69" s="29"/>
      <c r="BB69" s="117"/>
      <c r="BC69" s="29"/>
      <c r="BD69" s="29"/>
      <c r="BE69" s="29"/>
      <c r="BF69" s="29"/>
      <c r="BG69" s="26"/>
      <c r="BH69" s="26"/>
      <c r="BI69" s="26"/>
      <c r="BJ69" s="26"/>
      <c r="BK69" s="26"/>
      <c r="BL69" s="26"/>
      <c r="BM69" s="26"/>
      <c r="BN69" s="29"/>
      <c r="BO69" s="29"/>
      <c r="BP69" s="29"/>
      <c r="BQ69" s="29"/>
      <c r="BR69" s="29"/>
      <c r="BS69" s="29"/>
      <c r="BT69" s="29"/>
      <c r="BU69" s="29"/>
      <c r="BV69" s="29"/>
      <c r="BW69" s="29"/>
      <c r="BX69" s="29"/>
      <c r="BY69" s="29"/>
      <c r="BZ69" s="29"/>
      <c r="CA69" s="29"/>
      <c r="CB69" s="29"/>
      <c r="CC69" s="29"/>
      <c r="CD69" s="29"/>
      <c r="CE69" s="29"/>
      <c r="CF69" s="29"/>
      <c r="CG69" s="29"/>
      <c r="CH69" s="29"/>
      <c r="CI69" s="29"/>
      <c r="CJ69" s="29"/>
      <c r="CK69" s="96"/>
    </row>
    <row r="70" spans="1:89" s="4" customFormat="1" ht="60">
      <c r="A70" s="443"/>
      <c r="B70" s="445"/>
      <c r="C70" s="393" t="s">
        <v>275</v>
      </c>
      <c r="D70" s="461" t="s">
        <v>276</v>
      </c>
      <c r="E70" s="322"/>
      <c r="F70" s="329">
        <v>0.33</v>
      </c>
      <c r="G70" s="329"/>
      <c r="H70" s="329">
        <v>0.33</v>
      </c>
      <c r="I70" s="329"/>
      <c r="J70" s="329">
        <v>0.34</v>
      </c>
      <c r="K70" s="321"/>
      <c r="L70" s="321"/>
      <c r="M70" s="321"/>
      <c r="N70" s="321"/>
      <c r="O70" s="339">
        <v>1</v>
      </c>
      <c r="P70" s="339">
        <v>1</v>
      </c>
      <c r="Q70" s="339">
        <v>1</v>
      </c>
      <c r="R70" s="339">
        <f>SUM(O70:Q73)</f>
        <v>3</v>
      </c>
      <c r="S70" s="321"/>
      <c r="T70" s="321"/>
      <c r="U70" s="321"/>
      <c r="V70" s="321"/>
      <c r="W70" s="321"/>
      <c r="X70" s="321"/>
      <c r="Y70" s="321"/>
      <c r="Z70" s="321"/>
      <c r="AA70" s="321"/>
      <c r="AB70" s="321"/>
      <c r="AC70" s="321"/>
      <c r="AD70" s="321"/>
      <c r="AE70" s="321"/>
      <c r="AF70" s="321"/>
      <c r="AG70" s="321"/>
      <c r="AH70" s="321"/>
      <c r="AI70" s="321"/>
      <c r="AJ70" s="321"/>
      <c r="AK70" s="321"/>
      <c r="AL70" s="321"/>
      <c r="AM70" s="329" t="s">
        <v>35</v>
      </c>
      <c r="AN70" s="325" t="s">
        <v>46</v>
      </c>
      <c r="AO70" s="5" t="s">
        <v>279</v>
      </c>
      <c r="AP70" s="310">
        <v>171886667</v>
      </c>
      <c r="AQ70" s="310">
        <v>171886667</v>
      </c>
      <c r="AR70" s="310">
        <v>171886667</v>
      </c>
      <c r="AS70" s="405">
        <v>5100738</v>
      </c>
      <c r="AT70" s="405">
        <v>171886667</v>
      </c>
      <c r="AU70" s="360">
        <v>7953623</v>
      </c>
      <c r="AV70" s="360">
        <v>171886667</v>
      </c>
      <c r="AW70" s="360">
        <v>7567949</v>
      </c>
      <c r="AX70" s="360">
        <v>171886667</v>
      </c>
      <c r="AY70" s="360">
        <f>AS70+AU70+AW70</f>
        <v>20622310</v>
      </c>
      <c r="AZ70" s="405">
        <f>AT70+AV70+AX70</f>
        <v>515660001</v>
      </c>
      <c r="BA70" s="341">
        <f>AY70+AZ70</f>
        <v>536282311</v>
      </c>
      <c r="BB70" s="360">
        <v>175000000</v>
      </c>
      <c r="BC70" s="341"/>
      <c r="BD70" s="341"/>
      <c r="BE70" s="341"/>
      <c r="BF70" s="341"/>
      <c r="BG70" s="310"/>
      <c r="BH70" s="310"/>
      <c r="BI70" s="310"/>
      <c r="BJ70" s="310"/>
      <c r="BK70" s="310"/>
      <c r="BL70" s="310"/>
      <c r="BM70" s="310"/>
      <c r="BN70" s="341">
        <f>SUM(BC70:BM72)</f>
        <v>0</v>
      </c>
      <c r="BO70" s="310">
        <f>BN70+BB70</f>
        <v>175000000</v>
      </c>
      <c r="BP70" s="341">
        <v>50000000</v>
      </c>
      <c r="BQ70" s="341"/>
      <c r="BR70" s="341"/>
      <c r="BS70" s="341"/>
      <c r="BT70" s="341"/>
      <c r="BU70" s="341"/>
      <c r="BV70" s="341">
        <f>SUM(BQ70:BU72)</f>
        <v>0</v>
      </c>
      <c r="BW70" s="310">
        <f>BV70+BP70</f>
        <v>50000000</v>
      </c>
      <c r="BX70" s="341">
        <v>55000000</v>
      </c>
      <c r="BY70" s="341"/>
      <c r="BZ70" s="341"/>
      <c r="CA70" s="341"/>
      <c r="CB70" s="341">
        <f>SUM(BY70:CA72)</f>
        <v>0</v>
      </c>
      <c r="CC70" s="310">
        <f>CB70+BX70</f>
        <v>55000000</v>
      </c>
      <c r="CD70" s="341">
        <v>25000000</v>
      </c>
      <c r="CE70" s="341"/>
      <c r="CF70" s="341"/>
      <c r="CG70" s="341">
        <f>SUM(CE70:CF72)</f>
        <v>0</v>
      </c>
      <c r="CH70" s="310">
        <f>CG70+CD70</f>
        <v>25000000</v>
      </c>
      <c r="CI70" s="341"/>
      <c r="CJ70" s="310">
        <f>CH70+CC70+BW70+BO70+CI70</f>
        <v>305000000</v>
      </c>
      <c r="CK70" s="346" t="s">
        <v>413</v>
      </c>
    </row>
    <row r="71" spans="1:89" s="4" customFormat="1" ht="24">
      <c r="A71" s="443"/>
      <c r="B71" s="445"/>
      <c r="C71" s="394"/>
      <c r="D71" s="462"/>
      <c r="E71" s="323"/>
      <c r="F71" s="330"/>
      <c r="G71" s="330"/>
      <c r="H71" s="330"/>
      <c r="I71" s="330"/>
      <c r="J71" s="330"/>
      <c r="K71" s="321"/>
      <c r="L71" s="321"/>
      <c r="M71" s="321"/>
      <c r="N71" s="321"/>
      <c r="O71" s="339"/>
      <c r="P71" s="339"/>
      <c r="Q71" s="339"/>
      <c r="R71" s="339"/>
      <c r="S71" s="321"/>
      <c r="T71" s="321"/>
      <c r="U71" s="321"/>
      <c r="V71" s="321"/>
      <c r="W71" s="321"/>
      <c r="X71" s="321"/>
      <c r="Y71" s="321"/>
      <c r="Z71" s="321"/>
      <c r="AA71" s="321"/>
      <c r="AB71" s="321"/>
      <c r="AC71" s="321"/>
      <c r="AD71" s="321"/>
      <c r="AE71" s="321"/>
      <c r="AF71" s="321"/>
      <c r="AG71" s="321"/>
      <c r="AH71" s="321"/>
      <c r="AI71" s="321"/>
      <c r="AJ71" s="321"/>
      <c r="AK71" s="321"/>
      <c r="AL71" s="321"/>
      <c r="AM71" s="330"/>
      <c r="AN71" s="326"/>
      <c r="AO71" s="5" t="s">
        <v>280</v>
      </c>
      <c r="AP71" s="310"/>
      <c r="AQ71" s="310"/>
      <c r="AR71" s="310"/>
      <c r="AS71" s="408"/>
      <c r="AT71" s="408"/>
      <c r="AU71" s="362"/>
      <c r="AV71" s="362"/>
      <c r="AW71" s="362"/>
      <c r="AX71" s="362"/>
      <c r="AY71" s="362"/>
      <c r="AZ71" s="408"/>
      <c r="BA71" s="341"/>
      <c r="BB71" s="362"/>
      <c r="BC71" s="341"/>
      <c r="BD71" s="341"/>
      <c r="BE71" s="341"/>
      <c r="BF71" s="341"/>
      <c r="BG71" s="310"/>
      <c r="BH71" s="310"/>
      <c r="BI71" s="310"/>
      <c r="BJ71" s="310"/>
      <c r="BK71" s="310"/>
      <c r="BL71" s="310"/>
      <c r="BM71" s="310"/>
      <c r="BN71" s="341"/>
      <c r="BO71" s="310"/>
      <c r="BP71" s="341"/>
      <c r="BQ71" s="341"/>
      <c r="BR71" s="341"/>
      <c r="BS71" s="341"/>
      <c r="BT71" s="341"/>
      <c r="BU71" s="341"/>
      <c r="BV71" s="341"/>
      <c r="BW71" s="310"/>
      <c r="BX71" s="341"/>
      <c r="BY71" s="341"/>
      <c r="BZ71" s="341"/>
      <c r="CA71" s="341"/>
      <c r="CB71" s="341"/>
      <c r="CC71" s="310"/>
      <c r="CD71" s="341"/>
      <c r="CE71" s="341"/>
      <c r="CF71" s="341"/>
      <c r="CG71" s="341"/>
      <c r="CH71" s="310"/>
      <c r="CI71" s="341"/>
      <c r="CJ71" s="310"/>
      <c r="CK71" s="346"/>
    </row>
    <row r="72" spans="1:89" s="4" customFormat="1" ht="36">
      <c r="A72" s="443"/>
      <c r="B72" s="445"/>
      <c r="C72" s="394"/>
      <c r="D72" s="462"/>
      <c r="E72" s="323"/>
      <c r="F72" s="330"/>
      <c r="G72" s="330"/>
      <c r="H72" s="330"/>
      <c r="I72" s="330"/>
      <c r="J72" s="330"/>
      <c r="K72" s="321"/>
      <c r="L72" s="321"/>
      <c r="M72" s="321"/>
      <c r="N72" s="321"/>
      <c r="O72" s="339"/>
      <c r="P72" s="339"/>
      <c r="Q72" s="339"/>
      <c r="R72" s="339"/>
      <c r="S72" s="321"/>
      <c r="T72" s="321"/>
      <c r="U72" s="321"/>
      <c r="V72" s="321"/>
      <c r="W72" s="321"/>
      <c r="X72" s="321"/>
      <c r="Y72" s="321"/>
      <c r="Z72" s="321"/>
      <c r="AA72" s="321"/>
      <c r="AB72" s="321"/>
      <c r="AC72" s="321"/>
      <c r="AD72" s="321"/>
      <c r="AE72" s="321"/>
      <c r="AF72" s="321"/>
      <c r="AG72" s="321"/>
      <c r="AH72" s="321"/>
      <c r="AI72" s="321"/>
      <c r="AJ72" s="321"/>
      <c r="AK72" s="321"/>
      <c r="AL72" s="321"/>
      <c r="AM72" s="330"/>
      <c r="AN72" s="326"/>
      <c r="AO72" s="5" t="s">
        <v>254</v>
      </c>
      <c r="AP72" s="310"/>
      <c r="AQ72" s="310"/>
      <c r="AR72" s="310"/>
      <c r="AS72" s="406"/>
      <c r="AT72" s="406"/>
      <c r="AU72" s="361"/>
      <c r="AV72" s="361"/>
      <c r="AW72" s="361"/>
      <c r="AX72" s="361"/>
      <c r="AY72" s="361"/>
      <c r="AZ72" s="406"/>
      <c r="BA72" s="341"/>
      <c r="BB72" s="361"/>
      <c r="BC72" s="341"/>
      <c r="BD72" s="341"/>
      <c r="BE72" s="341"/>
      <c r="BF72" s="341"/>
      <c r="BG72" s="310"/>
      <c r="BH72" s="310"/>
      <c r="BI72" s="310"/>
      <c r="BJ72" s="310"/>
      <c r="BK72" s="310"/>
      <c r="BL72" s="310"/>
      <c r="BM72" s="310"/>
      <c r="BN72" s="341"/>
      <c r="BO72" s="310"/>
      <c r="BP72" s="341"/>
      <c r="BQ72" s="341"/>
      <c r="BR72" s="341"/>
      <c r="BS72" s="341"/>
      <c r="BT72" s="341"/>
      <c r="BU72" s="341"/>
      <c r="BV72" s="341"/>
      <c r="BW72" s="310"/>
      <c r="BX72" s="341"/>
      <c r="BY72" s="341"/>
      <c r="BZ72" s="341"/>
      <c r="CA72" s="341"/>
      <c r="CB72" s="341"/>
      <c r="CC72" s="310"/>
      <c r="CD72" s="341"/>
      <c r="CE72" s="341"/>
      <c r="CF72" s="341"/>
      <c r="CG72" s="341"/>
      <c r="CH72" s="310"/>
      <c r="CI72" s="341"/>
      <c r="CJ72" s="310"/>
      <c r="CK72" s="346"/>
    </row>
    <row r="73" spans="1:89" s="4" customFormat="1" ht="24">
      <c r="A73" s="443"/>
      <c r="B73" s="445"/>
      <c r="C73" s="394"/>
      <c r="D73" s="463"/>
      <c r="E73" s="324"/>
      <c r="F73" s="331"/>
      <c r="G73" s="331"/>
      <c r="H73" s="331"/>
      <c r="I73" s="331"/>
      <c r="J73" s="331"/>
      <c r="K73" s="321"/>
      <c r="L73" s="321"/>
      <c r="M73" s="321"/>
      <c r="N73" s="321"/>
      <c r="O73" s="339"/>
      <c r="P73" s="339"/>
      <c r="Q73" s="339"/>
      <c r="R73" s="339"/>
      <c r="S73" s="321"/>
      <c r="T73" s="321"/>
      <c r="U73" s="321"/>
      <c r="V73" s="321"/>
      <c r="W73" s="321"/>
      <c r="X73" s="321"/>
      <c r="Y73" s="321"/>
      <c r="Z73" s="321"/>
      <c r="AA73" s="321"/>
      <c r="AB73" s="321"/>
      <c r="AC73" s="321"/>
      <c r="AD73" s="321"/>
      <c r="AE73" s="321"/>
      <c r="AF73" s="321"/>
      <c r="AG73" s="321"/>
      <c r="AH73" s="321"/>
      <c r="AI73" s="321"/>
      <c r="AJ73" s="321"/>
      <c r="AK73" s="321"/>
      <c r="AL73" s="321"/>
      <c r="AM73" s="331"/>
      <c r="AN73" s="327"/>
      <c r="AO73" s="5" t="s">
        <v>268</v>
      </c>
      <c r="AP73" s="310"/>
      <c r="AQ73" s="310"/>
      <c r="AR73" s="310"/>
      <c r="AS73" s="135"/>
      <c r="AT73" s="135"/>
      <c r="AU73" s="117"/>
      <c r="AV73" s="117"/>
      <c r="AW73" s="117"/>
      <c r="AX73" s="117"/>
      <c r="AY73" s="117"/>
      <c r="AZ73" s="135"/>
      <c r="BA73" s="29"/>
      <c r="BB73" s="118"/>
      <c r="BC73" s="29"/>
      <c r="BD73" s="29"/>
      <c r="BE73" s="29"/>
      <c r="BF73" s="29"/>
      <c r="BG73" s="26"/>
      <c r="BH73" s="26"/>
      <c r="BI73" s="26"/>
      <c r="BJ73" s="26"/>
      <c r="BK73" s="26"/>
      <c r="BL73" s="26"/>
      <c r="BM73" s="26"/>
      <c r="BN73" s="29"/>
      <c r="BO73" s="26"/>
      <c r="BP73" s="29"/>
      <c r="BQ73" s="29"/>
      <c r="BR73" s="29"/>
      <c r="BS73" s="29"/>
      <c r="BT73" s="29"/>
      <c r="BU73" s="29"/>
      <c r="BV73" s="29"/>
      <c r="BW73" s="26"/>
      <c r="BX73" s="29"/>
      <c r="BY73" s="29"/>
      <c r="BZ73" s="29"/>
      <c r="CA73" s="29"/>
      <c r="CB73" s="29"/>
      <c r="CC73" s="26"/>
      <c r="CD73" s="29"/>
      <c r="CE73" s="29"/>
      <c r="CF73" s="29"/>
      <c r="CG73" s="29"/>
      <c r="CH73" s="26"/>
      <c r="CI73" s="29"/>
      <c r="CJ73" s="26"/>
      <c r="CK73" s="96"/>
    </row>
    <row r="74" spans="1:89" s="4" customFormat="1" ht="36">
      <c r="A74" s="443"/>
      <c r="B74" s="445"/>
      <c r="C74" s="394"/>
      <c r="D74" s="461" t="s">
        <v>277</v>
      </c>
      <c r="E74" s="322"/>
      <c r="F74" s="329">
        <v>0.33</v>
      </c>
      <c r="G74" s="322"/>
      <c r="H74" s="329">
        <v>0.33</v>
      </c>
      <c r="I74" s="329"/>
      <c r="J74" s="329">
        <v>0.34</v>
      </c>
      <c r="K74" s="321"/>
      <c r="L74" s="321"/>
      <c r="M74" s="321"/>
      <c r="N74" s="321"/>
      <c r="O74" s="339">
        <v>1</v>
      </c>
      <c r="P74" s="339"/>
      <c r="Q74" s="339"/>
      <c r="R74" s="339">
        <f>SUM(O74:Q76)</f>
        <v>1</v>
      </c>
      <c r="S74" s="321"/>
      <c r="T74" s="321"/>
      <c r="U74" s="321"/>
      <c r="V74" s="321"/>
      <c r="W74" s="321"/>
      <c r="X74" s="321"/>
      <c r="Y74" s="321"/>
      <c r="Z74" s="321"/>
      <c r="AA74" s="321"/>
      <c r="AB74" s="321"/>
      <c r="AC74" s="321"/>
      <c r="AD74" s="321"/>
      <c r="AE74" s="321"/>
      <c r="AF74" s="321"/>
      <c r="AG74" s="321"/>
      <c r="AH74" s="321"/>
      <c r="AI74" s="321"/>
      <c r="AJ74" s="321"/>
      <c r="AK74" s="321"/>
      <c r="AL74" s="321"/>
      <c r="AM74" s="329" t="s">
        <v>35</v>
      </c>
      <c r="AN74" s="325" t="s">
        <v>36</v>
      </c>
      <c r="AO74" s="5" t="s">
        <v>281</v>
      </c>
      <c r="AP74" s="310">
        <v>64886666</v>
      </c>
      <c r="AQ74" s="310">
        <v>64886667</v>
      </c>
      <c r="AR74" s="310">
        <v>64886667</v>
      </c>
      <c r="AS74" s="405">
        <v>5100738</v>
      </c>
      <c r="AT74" s="405">
        <v>64886667</v>
      </c>
      <c r="AU74" s="360">
        <v>7953623</v>
      </c>
      <c r="AV74" s="360">
        <v>64886667</v>
      </c>
      <c r="AW74" s="360">
        <v>7567949</v>
      </c>
      <c r="AX74" s="360">
        <v>64886667</v>
      </c>
      <c r="AY74" s="360">
        <f>AS74+AU74+AW74</f>
        <v>20622310</v>
      </c>
      <c r="AZ74" s="405">
        <f>AT74+AV74+AX74</f>
        <v>194660001</v>
      </c>
      <c r="BA74" s="341">
        <f>AY74+AZ74</f>
        <v>215282311</v>
      </c>
      <c r="BB74" s="341">
        <v>30000000</v>
      </c>
      <c r="BC74" s="404"/>
      <c r="BD74" s="404"/>
      <c r="BE74" s="404"/>
      <c r="BF74" s="341"/>
      <c r="BG74" s="310"/>
      <c r="BH74" s="310"/>
      <c r="BI74" s="310"/>
      <c r="BJ74" s="310"/>
      <c r="BK74" s="310"/>
      <c r="BL74" s="310"/>
      <c r="BM74" s="310"/>
      <c r="BN74" s="341">
        <f>SUM(BC74:BM75)</f>
        <v>0</v>
      </c>
      <c r="BO74" s="310">
        <f>BN74+BB74</f>
        <v>30000000</v>
      </c>
      <c r="BP74" s="310">
        <v>30000000</v>
      </c>
      <c r="BQ74" s="404"/>
      <c r="BR74" s="404"/>
      <c r="BS74" s="404"/>
      <c r="BT74" s="404"/>
      <c r="BU74" s="404"/>
      <c r="BV74" s="341">
        <f>SUM(BQ74:BU75)</f>
        <v>0</v>
      </c>
      <c r="BW74" s="310">
        <f>BV74+BP74</f>
        <v>30000000</v>
      </c>
      <c r="BX74" s="341">
        <v>24000000</v>
      </c>
      <c r="BY74" s="404"/>
      <c r="BZ74" s="404"/>
      <c r="CA74" s="404"/>
      <c r="CB74" s="341">
        <f>SUM(BY74:CA75)</f>
        <v>0</v>
      </c>
      <c r="CC74" s="310">
        <f>CB74+BX74</f>
        <v>24000000</v>
      </c>
      <c r="CD74" s="341">
        <v>30000000</v>
      </c>
      <c r="CE74" s="404"/>
      <c r="CF74" s="404"/>
      <c r="CG74" s="341">
        <f>SUM(CE74:CF75)</f>
        <v>0</v>
      </c>
      <c r="CH74" s="310">
        <f>CG74+CD74</f>
        <v>30000000</v>
      </c>
      <c r="CI74" s="404"/>
      <c r="CJ74" s="310">
        <f>CH74+CC74+BW74+BO74+CI74</f>
        <v>114000000</v>
      </c>
      <c r="CK74" s="346" t="s">
        <v>162</v>
      </c>
    </row>
    <row r="75" spans="1:89" s="4" customFormat="1">
      <c r="A75" s="443"/>
      <c r="B75" s="445"/>
      <c r="C75" s="394"/>
      <c r="D75" s="462"/>
      <c r="E75" s="323"/>
      <c r="F75" s="330"/>
      <c r="G75" s="323"/>
      <c r="H75" s="330"/>
      <c r="I75" s="330"/>
      <c r="J75" s="330"/>
      <c r="K75" s="321"/>
      <c r="L75" s="321"/>
      <c r="M75" s="321"/>
      <c r="N75" s="321"/>
      <c r="O75" s="339"/>
      <c r="P75" s="339"/>
      <c r="Q75" s="339"/>
      <c r="R75" s="339"/>
      <c r="S75" s="321"/>
      <c r="T75" s="321"/>
      <c r="U75" s="321"/>
      <c r="V75" s="321"/>
      <c r="W75" s="321"/>
      <c r="X75" s="321"/>
      <c r="Y75" s="321"/>
      <c r="Z75" s="321"/>
      <c r="AA75" s="321"/>
      <c r="AB75" s="321"/>
      <c r="AC75" s="321"/>
      <c r="AD75" s="321"/>
      <c r="AE75" s="321"/>
      <c r="AF75" s="321"/>
      <c r="AG75" s="321"/>
      <c r="AH75" s="321"/>
      <c r="AI75" s="321"/>
      <c r="AJ75" s="321"/>
      <c r="AK75" s="321"/>
      <c r="AL75" s="321"/>
      <c r="AM75" s="330"/>
      <c r="AN75" s="326"/>
      <c r="AO75" s="5" t="s">
        <v>282</v>
      </c>
      <c r="AP75" s="310"/>
      <c r="AQ75" s="310"/>
      <c r="AR75" s="310"/>
      <c r="AS75" s="406"/>
      <c r="AT75" s="406"/>
      <c r="AU75" s="361"/>
      <c r="AV75" s="361"/>
      <c r="AW75" s="361"/>
      <c r="AX75" s="361"/>
      <c r="AY75" s="361"/>
      <c r="AZ75" s="406"/>
      <c r="BA75" s="341"/>
      <c r="BB75" s="341"/>
      <c r="BC75" s="404"/>
      <c r="BD75" s="404"/>
      <c r="BE75" s="404"/>
      <c r="BF75" s="341"/>
      <c r="BG75" s="310"/>
      <c r="BH75" s="310"/>
      <c r="BI75" s="310"/>
      <c r="BJ75" s="310"/>
      <c r="BK75" s="310"/>
      <c r="BL75" s="310"/>
      <c r="BM75" s="310"/>
      <c r="BN75" s="341"/>
      <c r="BO75" s="310"/>
      <c r="BP75" s="310"/>
      <c r="BQ75" s="404"/>
      <c r="BR75" s="404"/>
      <c r="BS75" s="404"/>
      <c r="BT75" s="404"/>
      <c r="BU75" s="404"/>
      <c r="BV75" s="341"/>
      <c r="BW75" s="310"/>
      <c r="BX75" s="341"/>
      <c r="BY75" s="404"/>
      <c r="BZ75" s="404"/>
      <c r="CA75" s="404"/>
      <c r="CB75" s="341"/>
      <c r="CC75" s="310"/>
      <c r="CD75" s="341"/>
      <c r="CE75" s="404"/>
      <c r="CF75" s="404"/>
      <c r="CG75" s="341"/>
      <c r="CH75" s="310"/>
      <c r="CI75" s="404"/>
      <c r="CJ75" s="310"/>
      <c r="CK75" s="346"/>
    </row>
    <row r="76" spans="1:89" s="4" customFormat="1" ht="24">
      <c r="A76" s="443"/>
      <c r="B76" s="445"/>
      <c r="C76" s="394"/>
      <c r="D76" s="463"/>
      <c r="E76" s="324"/>
      <c r="F76" s="331"/>
      <c r="G76" s="324"/>
      <c r="H76" s="331"/>
      <c r="I76" s="331"/>
      <c r="J76" s="331"/>
      <c r="K76" s="321"/>
      <c r="L76" s="321"/>
      <c r="M76" s="321"/>
      <c r="N76" s="321"/>
      <c r="O76" s="339"/>
      <c r="P76" s="339"/>
      <c r="Q76" s="339"/>
      <c r="R76" s="339"/>
      <c r="S76" s="321"/>
      <c r="T76" s="321"/>
      <c r="U76" s="321"/>
      <c r="V76" s="321"/>
      <c r="W76" s="321"/>
      <c r="X76" s="321"/>
      <c r="Y76" s="321"/>
      <c r="Z76" s="321"/>
      <c r="AA76" s="321"/>
      <c r="AB76" s="321"/>
      <c r="AC76" s="321"/>
      <c r="AD76" s="321"/>
      <c r="AE76" s="321"/>
      <c r="AF76" s="321"/>
      <c r="AG76" s="321"/>
      <c r="AH76" s="321"/>
      <c r="AI76" s="321"/>
      <c r="AJ76" s="321"/>
      <c r="AK76" s="321"/>
      <c r="AL76" s="321"/>
      <c r="AM76" s="331"/>
      <c r="AN76" s="327"/>
      <c r="AO76" s="5" t="s">
        <v>255</v>
      </c>
      <c r="AP76" s="310"/>
      <c r="AQ76" s="310"/>
      <c r="AR76" s="310"/>
      <c r="AS76" s="135"/>
      <c r="AT76" s="135"/>
      <c r="AU76" s="117"/>
      <c r="AV76" s="117"/>
      <c r="AW76" s="117"/>
      <c r="AX76" s="117"/>
      <c r="AY76" s="117"/>
      <c r="AZ76" s="135"/>
      <c r="BA76" s="29"/>
      <c r="BB76" s="116"/>
      <c r="BC76" s="120"/>
      <c r="BD76" s="120"/>
      <c r="BE76" s="120"/>
      <c r="BF76" s="29"/>
      <c r="BG76" s="26"/>
      <c r="BH76" s="26"/>
      <c r="BI76" s="26"/>
      <c r="BJ76" s="26"/>
      <c r="BK76" s="26"/>
      <c r="BL76" s="26"/>
      <c r="BM76" s="26"/>
      <c r="BN76" s="29"/>
      <c r="BO76" s="26"/>
      <c r="BP76" s="26"/>
      <c r="BQ76" s="120"/>
      <c r="BR76" s="120"/>
      <c r="BS76" s="120"/>
      <c r="BT76" s="120"/>
      <c r="BU76" s="120"/>
      <c r="BV76" s="29"/>
      <c r="BW76" s="26"/>
      <c r="BX76" s="29"/>
      <c r="BY76" s="120"/>
      <c r="BZ76" s="120"/>
      <c r="CA76" s="120"/>
      <c r="CB76" s="29"/>
      <c r="CC76" s="26"/>
      <c r="CD76" s="29"/>
      <c r="CE76" s="120"/>
      <c r="CF76" s="120"/>
      <c r="CG76" s="29"/>
      <c r="CH76" s="26"/>
      <c r="CI76" s="120"/>
      <c r="CJ76" s="26"/>
      <c r="CK76" s="96"/>
    </row>
    <row r="77" spans="1:89" s="4" customFormat="1" ht="21.75" customHeight="1">
      <c r="A77" s="443"/>
      <c r="B77" s="445"/>
      <c r="C77" s="394"/>
      <c r="D77" s="464" t="s">
        <v>278</v>
      </c>
      <c r="E77" s="329">
        <v>0.15</v>
      </c>
      <c r="F77" s="329">
        <v>0.2</v>
      </c>
      <c r="G77" s="329">
        <v>0.15</v>
      </c>
      <c r="H77" s="329">
        <v>0.2</v>
      </c>
      <c r="I77" s="329">
        <v>0.15</v>
      </c>
      <c r="J77" s="329">
        <v>0.15</v>
      </c>
      <c r="K77" s="321"/>
      <c r="L77" s="321"/>
      <c r="M77" s="321"/>
      <c r="N77" s="321"/>
      <c r="O77" s="339">
        <v>3</v>
      </c>
      <c r="P77" s="339">
        <v>6</v>
      </c>
      <c r="Q77" s="339">
        <v>6</v>
      </c>
      <c r="R77" s="339">
        <f>SUM(O77:Q79)</f>
        <v>15</v>
      </c>
      <c r="S77" s="321"/>
      <c r="T77" s="321"/>
      <c r="U77" s="321"/>
      <c r="V77" s="321"/>
      <c r="W77" s="321"/>
      <c r="X77" s="321"/>
      <c r="Y77" s="321"/>
      <c r="Z77" s="321"/>
      <c r="AA77" s="321"/>
      <c r="AB77" s="321"/>
      <c r="AC77" s="321"/>
      <c r="AD77" s="321"/>
      <c r="AE77" s="321"/>
      <c r="AF77" s="321"/>
      <c r="AG77" s="321"/>
      <c r="AH77" s="321"/>
      <c r="AI77" s="321"/>
      <c r="AJ77" s="321"/>
      <c r="AK77" s="321"/>
      <c r="AL77" s="321"/>
      <c r="AM77" s="322" t="s">
        <v>99</v>
      </c>
      <c r="AN77" s="325" t="s">
        <v>100</v>
      </c>
      <c r="AO77" s="5" t="s">
        <v>283</v>
      </c>
      <c r="AP77" s="310">
        <v>300000000</v>
      </c>
      <c r="AQ77" s="310">
        <v>300000000</v>
      </c>
      <c r="AR77" s="310">
        <v>300000000</v>
      </c>
      <c r="AS77" s="405">
        <v>4600738</v>
      </c>
      <c r="AT77" s="405">
        <v>300000000</v>
      </c>
      <c r="AU77" s="360">
        <v>7453623</v>
      </c>
      <c r="AV77" s="360">
        <v>300000000</v>
      </c>
      <c r="AW77" s="360">
        <v>7067949</v>
      </c>
      <c r="AX77" s="360">
        <v>300000000</v>
      </c>
      <c r="AY77" s="360">
        <f>AS77+AU77+AW77</f>
        <v>19122310</v>
      </c>
      <c r="AZ77" s="405">
        <f>AT77+AV77+AX77</f>
        <v>900000000</v>
      </c>
      <c r="BA77" s="514">
        <f>AY77+AZ77</f>
        <v>919122310</v>
      </c>
      <c r="BB77" s="360">
        <v>355000000</v>
      </c>
      <c r="BC77" s="341"/>
      <c r="BD77" s="341"/>
      <c r="BE77" s="341"/>
      <c r="BF77" s="341"/>
      <c r="BG77" s="310"/>
      <c r="BH77" s="310"/>
      <c r="BI77" s="310"/>
      <c r="BJ77" s="310"/>
      <c r="BK77" s="310"/>
      <c r="BL77" s="310"/>
      <c r="BM77" s="310"/>
      <c r="BN77" s="310">
        <f>SUM(BC77:BM78)</f>
        <v>0</v>
      </c>
      <c r="BO77" s="310">
        <f>BN77+BB77</f>
        <v>355000000</v>
      </c>
      <c r="BP77" s="341">
        <v>100000000</v>
      </c>
      <c r="BQ77" s="341"/>
      <c r="BR77" s="341"/>
      <c r="BS77" s="341"/>
      <c r="BT77" s="341"/>
      <c r="BU77" s="341"/>
      <c r="BV77" s="310">
        <f>SUM(BQ77:BU78)</f>
        <v>0</v>
      </c>
      <c r="BW77" s="310">
        <f>BV77+BP77</f>
        <v>100000000</v>
      </c>
      <c r="BX77" s="341">
        <v>90000000</v>
      </c>
      <c r="BY77" s="341"/>
      <c r="BZ77" s="341"/>
      <c r="CA77" s="341"/>
      <c r="CB77" s="310">
        <f>SUM(BY77:CA78)</f>
        <v>0</v>
      </c>
      <c r="CC77" s="310">
        <f>CB77+BX77</f>
        <v>90000000</v>
      </c>
      <c r="CD77" s="341">
        <v>30000000</v>
      </c>
      <c r="CE77" s="341">
        <v>10000000</v>
      </c>
      <c r="CF77" s="341">
        <v>20000000</v>
      </c>
      <c r="CG77" s="310">
        <f>SUM(CE77:CF78)</f>
        <v>30000000</v>
      </c>
      <c r="CH77" s="310">
        <f>CG77+CD77</f>
        <v>60000000</v>
      </c>
      <c r="CI77" s="341"/>
      <c r="CJ77" s="310">
        <f>CH77+CC77+BW77+BO77+CI77</f>
        <v>605000000</v>
      </c>
      <c r="CK77" s="346"/>
    </row>
    <row r="78" spans="1:89" s="4" customFormat="1" ht="36">
      <c r="A78" s="443"/>
      <c r="B78" s="445"/>
      <c r="C78" s="394"/>
      <c r="D78" s="465"/>
      <c r="E78" s="330"/>
      <c r="F78" s="330"/>
      <c r="G78" s="330"/>
      <c r="H78" s="330"/>
      <c r="I78" s="330"/>
      <c r="J78" s="330"/>
      <c r="K78" s="321"/>
      <c r="L78" s="321"/>
      <c r="M78" s="321"/>
      <c r="N78" s="321"/>
      <c r="O78" s="339"/>
      <c r="P78" s="339"/>
      <c r="Q78" s="339"/>
      <c r="R78" s="339"/>
      <c r="S78" s="321"/>
      <c r="T78" s="321"/>
      <c r="U78" s="321"/>
      <c r="V78" s="321"/>
      <c r="W78" s="321"/>
      <c r="X78" s="321"/>
      <c r="Y78" s="321"/>
      <c r="Z78" s="321"/>
      <c r="AA78" s="321"/>
      <c r="AB78" s="321"/>
      <c r="AC78" s="321"/>
      <c r="AD78" s="321"/>
      <c r="AE78" s="321"/>
      <c r="AF78" s="321"/>
      <c r="AG78" s="321"/>
      <c r="AH78" s="321"/>
      <c r="AI78" s="321"/>
      <c r="AJ78" s="321"/>
      <c r="AK78" s="321"/>
      <c r="AL78" s="321"/>
      <c r="AM78" s="323"/>
      <c r="AN78" s="326"/>
      <c r="AO78" s="5" t="s">
        <v>284</v>
      </c>
      <c r="AP78" s="310"/>
      <c r="AQ78" s="310"/>
      <c r="AR78" s="310"/>
      <c r="AS78" s="406"/>
      <c r="AT78" s="406"/>
      <c r="AU78" s="361"/>
      <c r="AV78" s="361"/>
      <c r="AW78" s="361"/>
      <c r="AX78" s="361"/>
      <c r="AY78" s="361"/>
      <c r="AZ78" s="406"/>
      <c r="BA78" s="514"/>
      <c r="BB78" s="361"/>
      <c r="BC78" s="341"/>
      <c r="BD78" s="341"/>
      <c r="BE78" s="341"/>
      <c r="BF78" s="341"/>
      <c r="BG78" s="310"/>
      <c r="BH78" s="310"/>
      <c r="BI78" s="310"/>
      <c r="BJ78" s="310"/>
      <c r="BK78" s="310"/>
      <c r="BL78" s="310"/>
      <c r="BM78" s="310"/>
      <c r="BN78" s="310"/>
      <c r="BO78" s="310"/>
      <c r="BP78" s="341"/>
      <c r="BQ78" s="341"/>
      <c r="BR78" s="341"/>
      <c r="BS78" s="341"/>
      <c r="BT78" s="341"/>
      <c r="BU78" s="341"/>
      <c r="BV78" s="310"/>
      <c r="BW78" s="310"/>
      <c r="BX78" s="341"/>
      <c r="BY78" s="341"/>
      <c r="BZ78" s="341"/>
      <c r="CA78" s="341"/>
      <c r="CB78" s="310"/>
      <c r="CC78" s="310"/>
      <c r="CD78" s="341"/>
      <c r="CE78" s="341"/>
      <c r="CF78" s="341"/>
      <c r="CG78" s="310"/>
      <c r="CH78" s="310"/>
      <c r="CI78" s="341"/>
      <c r="CJ78" s="310"/>
      <c r="CK78" s="346"/>
    </row>
    <row r="79" spans="1:89" s="4" customFormat="1" ht="24">
      <c r="A79" s="443"/>
      <c r="B79" s="445"/>
      <c r="C79" s="395"/>
      <c r="D79" s="466"/>
      <c r="E79" s="331"/>
      <c r="F79" s="331"/>
      <c r="G79" s="331"/>
      <c r="H79" s="331"/>
      <c r="I79" s="331"/>
      <c r="J79" s="331"/>
      <c r="K79" s="321"/>
      <c r="L79" s="321"/>
      <c r="M79" s="321"/>
      <c r="N79" s="321"/>
      <c r="O79" s="339"/>
      <c r="P79" s="339"/>
      <c r="Q79" s="339"/>
      <c r="R79" s="339"/>
      <c r="S79" s="321"/>
      <c r="T79" s="321"/>
      <c r="U79" s="321"/>
      <c r="V79" s="321"/>
      <c r="W79" s="321"/>
      <c r="X79" s="321"/>
      <c r="Y79" s="321"/>
      <c r="Z79" s="321"/>
      <c r="AA79" s="321"/>
      <c r="AB79" s="321"/>
      <c r="AC79" s="321"/>
      <c r="AD79" s="321"/>
      <c r="AE79" s="321"/>
      <c r="AF79" s="321"/>
      <c r="AG79" s="321"/>
      <c r="AH79" s="321"/>
      <c r="AI79" s="321"/>
      <c r="AJ79" s="321"/>
      <c r="AK79" s="321"/>
      <c r="AL79" s="321"/>
      <c r="AM79" s="324"/>
      <c r="AN79" s="327"/>
      <c r="AO79" s="5" t="s">
        <v>255</v>
      </c>
      <c r="AP79" s="310"/>
      <c r="AQ79" s="310"/>
      <c r="AR79" s="310"/>
      <c r="AS79" s="135"/>
      <c r="AT79" s="135"/>
      <c r="AU79" s="117"/>
      <c r="AV79" s="117"/>
      <c r="AW79" s="117"/>
      <c r="AX79" s="117"/>
      <c r="AY79" s="117"/>
      <c r="AZ79" s="135"/>
      <c r="BA79" s="29"/>
      <c r="BB79" s="118"/>
      <c r="BC79" s="29"/>
      <c r="BD79" s="29"/>
      <c r="BE79" s="29"/>
      <c r="BF79" s="29"/>
      <c r="BG79" s="26"/>
      <c r="BH79" s="26"/>
      <c r="BI79" s="26"/>
      <c r="BJ79" s="26"/>
      <c r="BK79" s="26"/>
      <c r="BL79" s="26"/>
      <c r="BM79" s="26"/>
      <c r="BN79" s="26"/>
      <c r="BO79" s="26"/>
      <c r="BP79" s="29"/>
      <c r="BQ79" s="29"/>
      <c r="BR79" s="29"/>
      <c r="BS79" s="29"/>
      <c r="BT79" s="29"/>
      <c r="BU79" s="29"/>
      <c r="BV79" s="26"/>
      <c r="BW79" s="26"/>
      <c r="BX79" s="29"/>
      <c r="BY79" s="29"/>
      <c r="BZ79" s="29"/>
      <c r="CA79" s="29"/>
      <c r="CB79" s="26"/>
      <c r="CC79" s="26"/>
      <c r="CD79" s="29"/>
      <c r="CE79" s="29"/>
      <c r="CF79" s="29"/>
      <c r="CG79" s="26"/>
      <c r="CH79" s="26"/>
      <c r="CI79" s="29"/>
      <c r="CJ79" s="26"/>
      <c r="CK79" s="96"/>
    </row>
    <row r="80" spans="1:89" s="4" customFormat="1" ht="24">
      <c r="A80" s="443"/>
      <c r="B80" s="445"/>
      <c r="C80" s="73" t="s">
        <v>412</v>
      </c>
      <c r="D80" s="127" t="s">
        <v>502</v>
      </c>
      <c r="E80" s="26"/>
      <c r="F80" s="26"/>
      <c r="G80" s="26"/>
      <c r="H80" s="26"/>
      <c r="I80" s="26"/>
      <c r="J80" s="26"/>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96"/>
      <c r="AN80" s="97"/>
      <c r="AO80" s="5"/>
      <c r="AP80" s="131"/>
      <c r="AQ80" s="131"/>
      <c r="AR80" s="131"/>
      <c r="AS80" s="17"/>
      <c r="AT80" s="17"/>
      <c r="AU80" s="16"/>
      <c r="AV80" s="16"/>
      <c r="AW80" s="16"/>
      <c r="AX80" s="17"/>
      <c r="AY80" s="14"/>
      <c r="AZ80" s="18"/>
      <c r="BA80" s="26">
        <v>3272500000</v>
      </c>
      <c r="BB80" s="26"/>
      <c r="BC80" s="22"/>
      <c r="BD80" s="22"/>
      <c r="BE80" s="22"/>
      <c r="BF80" s="22"/>
      <c r="BG80" s="15"/>
      <c r="BH80" s="15"/>
      <c r="BI80" s="15"/>
      <c r="BJ80" s="15"/>
      <c r="BK80" s="15"/>
      <c r="BL80" s="15"/>
      <c r="BM80" s="15"/>
      <c r="BN80" s="26">
        <f>SUM(BC80:BM80)</f>
        <v>0</v>
      </c>
      <c r="BO80" s="26">
        <f>BN80+BB80</f>
        <v>0</v>
      </c>
      <c r="BP80" s="59"/>
      <c r="BQ80" s="22"/>
      <c r="BR80" s="22"/>
      <c r="BS80" s="22"/>
      <c r="BT80" s="22"/>
      <c r="BU80" s="22"/>
      <c r="BV80" s="26">
        <f>SUM(BQ80:BU80)</f>
        <v>0</v>
      </c>
      <c r="BW80" s="26">
        <f>BV80+BP80</f>
        <v>0</v>
      </c>
      <c r="BX80" s="26"/>
      <c r="BY80" s="22"/>
      <c r="BZ80" s="22"/>
      <c r="CA80" s="22"/>
      <c r="CB80" s="26">
        <f>SUM(BY80:CA80)</f>
        <v>0</v>
      </c>
      <c r="CC80" s="26">
        <f>CB80+BX80</f>
        <v>0</v>
      </c>
      <c r="CD80" s="26"/>
      <c r="CE80" s="22"/>
      <c r="CF80" s="22"/>
      <c r="CG80" s="26">
        <f>SUM(CE80:CF80)</f>
        <v>0</v>
      </c>
      <c r="CH80" s="26">
        <f>CG80+CD80</f>
        <v>0</v>
      </c>
      <c r="CI80" s="22"/>
      <c r="CJ80" s="65">
        <f>CH80+CC80+BW80+BO80+CI80</f>
        <v>0</v>
      </c>
      <c r="CK80" s="5"/>
    </row>
    <row r="81" spans="1:89" s="34" customFormat="1">
      <c r="A81" s="443"/>
      <c r="B81" s="446" t="s">
        <v>136</v>
      </c>
      <c r="C81" s="446"/>
      <c r="D81" s="446"/>
      <c r="E81" s="28"/>
      <c r="F81" s="28"/>
      <c r="G81" s="28"/>
      <c r="H81" s="28"/>
      <c r="I81" s="28"/>
      <c r="J81" s="28"/>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107"/>
      <c r="AN81" s="107"/>
      <c r="AO81" s="32"/>
      <c r="AP81" s="158">
        <f t="shared" ref="AP81:AX81" si="2">SUM(AP47:AP80)</f>
        <v>4239821666</v>
      </c>
      <c r="AQ81" s="158">
        <f t="shared" si="2"/>
        <v>4314098667</v>
      </c>
      <c r="AR81" s="158">
        <f t="shared" si="2"/>
        <v>4380719667</v>
      </c>
      <c r="AS81" s="159">
        <f t="shared" si="2"/>
        <v>46259602</v>
      </c>
      <c r="AT81" s="142">
        <f t="shared" si="2"/>
        <v>4239821667</v>
      </c>
      <c r="AU81" s="159">
        <f t="shared" si="2"/>
        <v>74848767</v>
      </c>
      <c r="AV81" s="159">
        <f t="shared" si="2"/>
        <v>4314098667</v>
      </c>
      <c r="AW81" s="159">
        <f t="shared" si="2"/>
        <v>71061945</v>
      </c>
      <c r="AX81" s="159">
        <f t="shared" si="2"/>
        <v>4380719667</v>
      </c>
      <c r="AY81" s="30">
        <f>SUM(AY47:AY79)</f>
        <v>192170314</v>
      </c>
      <c r="AZ81" s="30">
        <f>SUM(AZ47:AZ79)</f>
        <v>12934640001</v>
      </c>
      <c r="BA81" s="113">
        <f>SUM(BA47:BA79)</f>
        <v>13126810315</v>
      </c>
      <c r="BB81" s="28">
        <f t="shared" ref="BB81:BM81" si="3">SUM(BB47:BB80)</f>
        <v>6557947740</v>
      </c>
      <c r="BC81" s="27">
        <f t="shared" si="3"/>
        <v>0</v>
      </c>
      <c r="BD81" s="27">
        <f t="shared" si="3"/>
        <v>0</v>
      </c>
      <c r="BE81" s="27">
        <f t="shared" si="3"/>
        <v>0</v>
      </c>
      <c r="BF81" s="27">
        <f t="shared" si="3"/>
        <v>0</v>
      </c>
      <c r="BG81" s="27">
        <f t="shared" si="3"/>
        <v>0</v>
      </c>
      <c r="BH81" s="27">
        <f t="shared" si="3"/>
        <v>0</v>
      </c>
      <c r="BI81" s="27">
        <f t="shared" si="3"/>
        <v>0</v>
      </c>
      <c r="BJ81" s="27">
        <f t="shared" si="3"/>
        <v>0</v>
      </c>
      <c r="BK81" s="27">
        <f t="shared" si="3"/>
        <v>0</v>
      </c>
      <c r="BL81" s="27">
        <f t="shared" si="3"/>
        <v>0</v>
      </c>
      <c r="BM81" s="27">
        <f t="shared" si="3"/>
        <v>0</v>
      </c>
      <c r="BN81" s="28">
        <f>SUM(BC81:BM81)</f>
        <v>0</v>
      </c>
      <c r="BO81" s="28">
        <f t="shared" ref="BO81:CJ81" si="4">SUM(BO47:BO80)</f>
        <v>6557947740</v>
      </c>
      <c r="BP81" s="49">
        <f t="shared" si="4"/>
        <v>5282000000</v>
      </c>
      <c r="BQ81" s="69">
        <f t="shared" si="4"/>
        <v>0</v>
      </c>
      <c r="BR81" s="69">
        <f t="shared" si="4"/>
        <v>0</v>
      </c>
      <c r="BS81" s="69">
        <f t="shared" si="4"/>
        <v>0</v>
      </c>
      <c r="BT81" s="69">
        <f t="shared" si="4"/>
        <v>0</v>
      </c>
      <c r="BU81" s="69">
        <f t="shared" si="4"/>
        <v>0</v>
      </c>
      <c r="BV81" s="69">
        <f t="shared" si="4"/>
        <v>0</v>
      </c>
      <c r="BW81" s="69">
        <f t="shared" si="4"/>
        <v>5282000000</v>
      </c>
      <c r="BX81" s="62">
        <f t="shared" si="4"/>
        <v>1229000000</v>
      </c>
      <c r="BY81" s="69">
        <f t="shared" si="4"/>
        <v>0</v>
      </c>
      <c r="BZ81" s="69">
        <f t="shared" si="4"/>
        <v>0</v>
      </c>
      <c r="CA81" s="69">
        <f t="shared" si="4"/>
        <v>0</v>
      </c>
      <c r="CB81" s="69">
        <f t="shared" si="4"/>
        <v>0</v>
      </c>
      <c r="CC81" s="69">
        <f t="shared" si="4"/>
        <v>1229000000</v>
      </c>
      <c r="CD81" s="69">
        <f t="shared" si="4"/>
        <v>1806000000</v>
      </c>
      <c r="CE81" s="69">
        <f t="shared" si="4"/>
        <v>393000000</v>
      </c>
      <c r="CF81" s="69">
        <f t="shared" si="4"/>
        <v>539000000</v>
      </c>
      <c r="CG81" s="69">
        <f t="shared" si="4"/>
        <v>932000000</v>
      </c>
      <c r="CH81" s="69">
        <f t="shared" si="4"/>
        <v>2738000000</v>
      </c>
      <c r="CI81" s="106">
        <f t="shared" si="4"/>
        <v>0</v>
      </c>
      <c r="CJ81" s="69">
        <f t="shared" si="4"/>
        <v>15806947740</v>
      </c>
      <c r="CK81" s="32"/>
    </row>
    <row r="82" spans="1:89" s="4" customFormat="1" ht="48">
      <c r="A82" s="443"/>
      <c r="B82" s="476" t="s">
        <v>386</v>
      </c>
      <c r="C82" s="384" t="s">
        <v>220</v>
      </c>
      <c r="D82" s="488" t="s">
        <v>221</v>
      </c>
      <c r="E82" s="316">
        <v>0.05</v>
      </c>
      <c r="F82" s="316">
        <v>0.2</v>
      </c>
      <c r="G82" s="316">
        <v>0.2</v>
      </c>
      <c r="H82" s="316">
        <v>0.3</v>
      </c>
      <c r="I82" s="316">
        <v>0.2</v>
      </c>
      <c r="J82" s="316">
        <v>0.05</v>
      </c>
      <c r="K82" s="80"/>
      <c r="L82" s="80"/>
      <c r="M82" s="80"/>
      <c r="N82" s="80"/>
      <c r="O82" s="80"/>
      <c r="P82" s="80"/>
      <c r="Q82" s="80"/>
      <c r="R82" s="80"/>
      <c r="S82" s="80"/>
      <c r="T82" s="80"/>
      <c r="U82" s="80"/>
      <c r="V82" s="80"/>
      <c r="W82" s="80"/>
      <c r="X82" s="80"/>
      <c r="Y82" s="80"/>
      <c r="Z82" s="80"/>
      <c r="AA82" s="80"/>
      <c r="AB82" s="80"/>
      <c r="AC82" s="80"/>
      <c r="AD82" s="80"/>
      <c r="AE82" s="80"/>
      <c r="AF82" s="80"/>
      <c r="AG82" s="80"/>
      <c r="AH82" s="80"/>
      <c r="AI82" s="80"/>
      <c r="AJ82" s="80"/>
      <c r="AK82" s="80"/>
      <c r="AL82" s="80"/>
      <c r="AM82" s="356" t="s">
        <v>37</v>
      </c>
      <c r="AN82" s="348" t="s">
        <v>103</v>
      </c>
      <c r="AO82" s="73" t="s">
        <v>164</v>
      </c>
      <c r="AP82" s="414">
        <v>1</v>
      </c>
      <c r="AQ82" s="414">
        <v>2</v>
      </c>
      <c r="AR82" s="414">
        <v>3</v>
      </c>
      <c r="AS82" s="80">
        <v>8233251</v>
      </c>
      <c r="AT82" s="80"/>
      <c r="AU82" s="77">
        <v>4864500</v>
      </c>
      <c r="AV82" s="26"/>
      <c r="AW82" s="77">
        <v>1500000</v>
      </c>
      <c r="AX82" s="78"/>
      <c r="AY82" s="74">
        <f t="shared" ref="AY82:AY87" si="5">AU82+AW82+AS82</f>
        <v>14597751</v>
      </c>
      <c r="AZ82" s="418"/>
      <c r="BA82" s="310">
        <f>SUM(AY82:AY85)</f>
        <v>795364471</v>
      </c>
      <c r="BB82" s="310"/>
      <c r="BC82" s="310"/>
      <c r="BD82" s="310"/>
      <c r="BE82" s="310"/>
      <c r="BF82" s="310"/>
      <c r="BG82" s="310"/>
      <c r="BH82" s="310"/>
      <c r="BI82" s="310"/>
      <c r="BJ82" s="310"/>
      <c r="BK82" s="310"/>
      <c r="BL82" s="310"/>
      <c r="BM82" s="310"/>
      <c r="BN82" s="310">
        <f>SUM(BC82:BM85)</f>
        <v>0</v>
      </c>
      <c r="BO82" s="310">
        <f>BN82+BB82</f>
        <v>0</v>
      </c>
      <c r="BP82" s="310">
        <v>143000000</v>
      </c>
      <c r="BQ82" s="310"/>
      <c r="BR82" s="310"/>
      <c r="BS82" s="310"/>
      <c r="BT82" s="310"/>
      <c r="BU82" s="310"/>
      <c r="BV82" s="310">
        <f>SUM(BQ82:BU85)</f>
        <v>0</v>
      </c>
      <c r="BW82" s="310">
        <f>BV82+BP82</f>
        <v>143000000</v>
      </c>
      <c r="BX82" s="310">
        <v>9000000</v>
      </c>
      <c r="BY82" s="310"/>
      <c r="BZ82" s="310"/>
      <c r="CA82" s="310"/>
      <c r="CB82" s="310">
        <f>SUM(BY82:CA85)</f>
        <v>0</v>
      </c>
      <c r="CC82" s="310">
        <f>CB82+BX82</f>
        <v>9000000</v>
      </c>
      <c r="CD82" s="310">
        <v>10000000</v>
      </c>
      <c r="CE82" s="310"/>
      <c r="CF82" s="310">
        <v>30000000</v>
      </c>
      <c r="CG82" s="310">
        <f>SUM(CE82:CF85)</f>
        <v>30000000</v>
      </c>
      <c r="CH82" s="310">
        <f>CG82+CD82</f>
        <v>40000000</v>
      </c>
      <c r="CI82" s="310"/>
      <c r="CJ82" s="310">
        <f>CH82+CC82+BW82+BO82+CI82</f>
        <v>192000000</v>
      </c>
      <c r="CK82" s="346" t="s">
        <v>163</v>
      </c>
    </row>
    <row r="83" spans="1:89" s="4" customFormat="1" ht="48">
      <c r="A83" s="443"/>
      <c r="B83" s="477"/>
      <c r="C83" s="385"/>
      <c r="D83" s="488"/>
      <c r="E83" s="317"/>
      <c r="F83" s="317"/>
      <c r="G83" s="317"/>
      <c r="H83" s="317"/>
      <c r="I83" s="317"/>
      <c r="J83" s="317"/>
      <c r="K83" s="80"/>
      <c r="L83" s="80"/>
      <c r="M83" s="80"/>
      <c r="N83" s="80"/>
      <c r="O83" s="80"/>
      <c r="P83" s="80"/>
      <c r="Q83" s="80"/>
      <c r="R83" s="80"/>
      <c r="S83" s="80"/>
      <c r="T83" s="80"/>
      <c r="U83" s="80"/>
      <c r="V83" s="80"/>
      <c r="W83" s="80"/>
      <c r="X83" s="80"/>
      <c r="Y83" s="80"/>
      <c r="Z83" s="80"/>
      <c r="AA83" s="80"/>
      <c r="AB83" s="80"/>
      <c r="AC83" s="80"/>
      <c r="AD83" s="80"/>
      <c r="AE83" s="80"/>
      <c r="AF83" s="80"/>
      <c r="AG83" s="80"/>
      <c r="AH83" s="80"/>
      <c r="AI83" s="80"/>
      <c r="AJ83" s="80"/>
      <c r="AK83" s="80"/>
      <c r="AL83" s="80"/>
      <c r="AM83" s="356"/>
      <c r="AN83" s="348"/>
      <c r="AO83" s="73" t="s">
        <v>165</v>
      </c>
      <c r="AP83" s="415"/>
      <c r="AQ83" s="415"/>
      <c r="AR83" s="415"/>
      <c r="AS83" s="80">
        <v>21252672</v>
      </c>
      <c r="AT83" s="80"/>
      <c r="AU83" s="77">
        <v>76509619</v>
      </c>
      <c r="AV83" s="26"/>
      <c r="AW83" s="77">
        <v>29753741</v>
      </c>
      <c r="AX83" s="26"/>
      <c r="AY83" s="74">
        <f t="shared" si="5"/>
        <v>127516032</v>
      </c>
      <c r="AZ83" s="419"/>
      <c r="BA83" s="310"/>
      <c r="BB83" s="310"/>
      <c r="BC83" s="310"/>
      <c r="BD83" s="310"/>
      <c r="BE83" s="310"/>
      <c r="BF83" s="310"/>
      <c r="BG83" s="310"/>
      <c r="BH83" s="310"/>
      <c r="BI83" s="310"/>
      <c r="BJ83" s="310"/>
      <c r="BK83" s="310"/>
      <c r="BL83" s="310"/>
      <c r="BM83" s="310"/>
      <c r="BN83" s="310"/>
      <c r="BO83" s="310"/>
      <c r="BP83" s="310"/>
      <c r="BQ83" s="310"/>
      <c r="BR83" s="310"/>
      <c r="BS83" s="310"/>
      <c r="BT83" s="310"/>
      <c r="BU83" s="310"/>
      <c r="BV83" s="310"/>
      <c r="BW83" s="310"/>
      <c r="BX83" s="310"/>
      <c r="BY83" s="310"/>
      <c r="BZ83" s="310"/>
      <c r="CA83" s="310"/>
      <c r="CB83" s="310"/>
      <c r="CC83" s="310"/>
      <c r="CD83" s="310"/>
      <c r="CE83" s="310"/>
      <c r="CF83" s="310"/>
      <c r="CG83" s="310"/>
      <c r="CH83" s="310"/>
      <c r="CI83" s="310"/>
      <c r="CJ83" s="310"/>
      <c r="CK83" s="346"/>
    </row>
    <row r="84" spans="1:89" s="4" customFormat="1" ht="24">
      <c r="A84" s="443"/>
      <c r="B84" s="477"/>
      <c r="C84" s="385"/>
      <c r="D84" s="488"/>
      <c r="E84" s="317"/>
      <c r="F84" s="317"/>
      <c r="G84" s="317"/>
      <c r="H84" s="317"/>
      <c r="I84" s="317"/>
      <c r="J84" s="317"/>
      <c r="K84" s="80"/>
      <c r="L84" s="80"/>
      <c r="M84" s="80"/>
      <c r="N84" s="80"/>
      <c r="O84" s="80"/>
      <c r="P84" s="80"/>
      <c r="Q84" s="80"/>
      <c r="R84" s="80"/>
      <c r="S84" s="80"/>
      <c r="T84" s="80"/>
      <c r="U84" s="80"/>
      <c r="V84" s="80"/>
      <c r="W84" s="80"/>
      <c r="X84" s="80"/>
      <c r="Y84" s="80"/>
      <c r="Z84" s="80"/>
      <c r="AA84" s="80"/>
      <c r="AB84" s="80"/>
      <c r="AC84" s="80"/>
      <c r="AD84" s="80"/>
      <c r="AE84" s="80"/>
      <c r="AF84" s="80"/>
      <c r="AG84" s="80"/>
      <c r="AH84" s="80"/>
      <c r="AI84" s="80"/>
      <c r="AJ84" s="80"/>
      <c r="AK84" s="80"/>
      <c r="AL84" s="80"/>
      <c r="AM84" s="356"/>
      <c r="AN84" s="348"/>
      <c r="AO84" s="73" t="s">
        <v>38</v>
      </c>
      <c r="AP84" s="415"/>
      <c r="AQ84" s="415"/>
      <c r="AR84" s="415"/>
      <c r="AS84" s="76">
        <v>76753920</v>
      </c>
      <c r="AT84" s="140"/>
      <c r="AU84" s="75">
        <v>326204160</v>
      </c>
      <c r="AV84" s="79"/>
      <c r="AW84" s="75">
        <v>232180608</v>
      </c>
      <c r="AX84" s="26"/>
      <c r="AY84" s="74">
        <f t="shared" si="5"/>
        <v>635138688</v>
      </c>
      <c r="AZ84" s="419"/>
      <c r="BA84" s="310"/>
      <c r="BB84" s="310"/>
      <c r="BC84" s="310"/>
      <c r="BD84" s="310"/>
      <c r="BE84" s="310"/>
      <c r="BF84" s="310"/>
      <c r="BG84" s="310"/>
      <c r="BH84" s="310"/>
      <c r="BI84" s="310"/>
      <c r="BJ84" s="310"/>
      <c r="BK84" s="310"/>
      <c r="BL84" s="310"/>
      <c r="BM84" s="310"/>
      <c r="BN84" s="310"/>
      <c r="BO84" s="310"/>
      <c r="BP84" s="310"/>
      <c r="BQ84" s="310"/>
      <c r="BR84" s="310"/>
      <c r="BS84" s="310"/>
      <c r="BT84" s="310"/>
      <c r="BU84" s="310"/>
      <c r="BV84" s="310"/>
      <c r="BW84" s="310"/>
      <c r="BX84" s="310"/>
      <c r="BY84" s="310"/>
      <c r="BZ84" s="310"/>
      <c r="CA84" s="310"/>
      <c r="CB84" s="310"/>
      <c r="CC84" s="310"/>
      <c r="CD84" s="310"/>
      <c r="CE84" s="310"/>
      <c r="CF84" s="310"/>
      <c r="CG84" s="310"/>
      <c r="CH84" s="310"/>
      <c r="CI84" s="310"/>
      <c r="CJ84" s="310"/>
      <c r="CK84" s="346"/>
    </row>
    <row r="85" spans="1:89" s="4" customFormat="1" ht="24">
      <c r="A85" s="443"/>
      <c r="B85" s="477"/>
      <c r="C85" s="385"/>
      <c r="D85" s="488"/>
      <c r="E85" s="318"/>
      <c r="F85" s="318"/>
      <c r="G85" s="318"/>
      <c r="H85" s="318"/>
      <c r="I85" s="318"/>
      <c r="J85" s="318"/>
      <c r="K85" s="80"/>
      <c r="L85" s="80"/>
      <c r="M85" s="80"/>
      <c r="N85" s="80"/>
      <c r="O85" s="80"/>
      <c r="P85" s="80"/>
      <c r="Q85" s="80"/>
      <c r="R85" s="80"/>
      <c r="S85" s="80"/>
      <c r="T85" s="80"/>
      <c r="U85" s="80"/>
      <c r="V85" s="80"/>
      <c r="W85" s="80"/>
      <c r="X85" s="80"/>
      <c r="Y85" s="80"/>
      <c r="Z85" s="80"/>
      <c r="AA85" s="80"/>
      <c r="AB85" s="80"/>
      <c r="AC85" s="80"/>
      <c r="AD85" s="80"/>
      <c r="AE85" s="80"/>
      <c r="AF85" s="80"/>
      <c r="AG85" s="80"/>
      <c r="AH85" s="80"/>
      <c r="AI85" s="80"/>
      <c r="AJ85" s="80"/>
      <c r="AK85" s="80"/>
      <c r="AL85" s="80"/>
      <c r="AM85" s="356"/>
      <c r="AN85" s="348"/>
      <c r="AO85" s="73" t="s">
        <v>166</v>
      </c>
      <c r="AP85" s="416"/>
      <c r="AQ85" s="416"/>
      <c r="AR85" s="416"/>
      <c r="AS85" s="76">
        <v>4112000</v>
      </c>
      <c r="AT85" s="140"/>
      <c r="AU85" s="75">
        <v>6500000</v>
      </c>
      <c r="AV85" s="79"/>
      <c r="AW85" s="75">
        <v>7500000</v>
      </c>
      <c r="AX85" s="26"/>
      <c r="AY85" s="74">
        <f t="shared" si="5"/>
        <v>18112000</v>
      </c>
      <c r="AZ85" s="420"/>
      <c r="BA85" s="310"/>
      <c r="BB85" s="310"/>
      <c r="BC85" s="310"/>
      <c r="BD85" s="310"/>
      <c r="BE85" s="310"/>
      <c r="BF85" s="310"/>
      <c r="BG85" s="310"/>
      <c r="BH85" s="310"/>
      <c r="BI85" s="310"/>
      <c r="BJ85" s="310"/>
      <c r="BK85" s="310"/>
      <c r="BL85" s="310"/>
      <c r="BM85" s="310"/>
      <c r="BN85" s="310"/>
      <c r="BO85" s="310"/>
      <c r="BP85" s="310"/>
      <c r="BQ85" s="310"/>
      <c r="BR85" s="310"/>
      <c r="BS85" s="310"/>
      <c r="BT85" s="310"/>
      <c r="BU85" s="310"/>
      <c r="BV85" s="310"/>
      <c r="BW85" s="310"/>
      <c r="BX85" s="310"/>
      <c r="BY85" s="310"/>
      <c r="BZ85" s="310"/>
      <c r="CA85" s="310"/>
      <c r="CB85" s="310"/>
      <c r="CC85" s="310"/>
      <c r="CD85" s="310"/>
      <c r="CE85" s="310"/>
      <c r="CF85" s="310"/>
      <c r="CG85" s="310"/>
      <c r="CH85" s="310"/>
      <c r="CI85" s="310"/>
      <c r="CJ85" s="310"/>
      <c r="CK85" s="346"/>
    </row>
    <row r="86" spans="1:89" s="4" customFormat="1" ht="33" customHeight="1">
      <c r="A86" s="443"/>
      <c r="B86" s="477"/>
      <c r="C86" s="385"/>
      <c r="D86" s="388" t="s">
        <v>222</v>
      </c>
      <c r="E86" s="336">
        <v>0.05</v>
      </c>
      <c r="F86" s="336">
        <v>0.31</v>
      </c>
      <c r="G86" s="336">
        <v>0.14000000000000001</v>
      </c>
      <c r="H86" s="336">
        <v>0.14000000000000001</v>
      </c>
      <c r="I86" s="336">
        <v>0.05</v>
      </c>
      <c r="J86" s="336">
        <v>0.05</v>
      </c>
      <c r="K86" s="319"/>
      <c r="L86" s="319"/>
      <c r="M86" s="319"/>
      <c r="N86" s="319"/>
      <c r="O86" s="319"/>
      <c r="P86" s="319"/>
      <c r="Q86" s="319"/>
      <c r="R86" s="319"/>
      <c r="S86" s="319"/>
      <c r="T86" s="319"/>
      <c r="U86" s="319"/>
      <c r="V86" s="319"/>
      <c r="W86" s="319"/>
      <c r="X86" s="319"/>
      <c r="Y86" s="319"/>
      <c r="Z86" s="319"/>
      <c r="AA86" s="319"/>
      <c r="AB86" s="319"/>
      <c r="AC86" s="319"/>
      <c r="AD86" s="319"/>
      <c r="AE86" s="319"/>
      <c r="AF86" s="319"/>
      <c r="AG86" s="319"/>
      <c r="AH86" s="319"/>
      <c r="AI86" s="319"/>
      <c r="AJ86" s="319"/>
      <c r="AK86" s="319"/>
      <c r="AL86" s="319"/>
      <c r="AM86" s="336" t="s">
        <v>414</v>
      </c>
      <c r="AN86" s="105" t="s">
        <v>167</v>
      </c>
      <c r="AO86" s="73" t="s">
        <v>285</v>
      </c>
      <c r="AP86" s="343">
        <v>0.31</v>
      </c>
      <c r="AQ86" s="343">
        <v>0.37</v>
      </c>
      <c r="AR86" s="343">
        <v>0.32</v>
      </c>
      <c r="AS86" s="76">
        <v>12000000</v>
      </c>
      <c r="AT86" s="140"/>
      <c r="AU86" s="76">
        <v>14000000</v>
      </c>
      <c r="AV86" s="71"/>
      <c r="AW86" s="76">
        <v>16000000</v>
      </c>
      <c r="AX86" s="80"/>
      <c r="AY86" s="74">
        <f t="shared" si="5"/>
        <v>42000000</v>
      </c>
      <c r="AZ86" s="418"/>
      <c r="BA86" s="310">
        <f>SUM(AY86:AY87)</f>
        <v>49500000</v>
      </c>
      <c r="BB86" s="310"/>
      <c r="BC86" s="310"/>
      <c r="BD86" s="310"/>
      <c r="BE86" s="310"/>
      <c r="BF86" s="310"/>
      <c r="BG86" s="310"/>
      <c r="BH86" s="310"/>
      <c r="BI86" s="310"/>
      <c r="BJ86" s="310"/>
      <c r="BK86" s="310"/>
      <c r="BL86" s="310"/>
      <c r="BM86" s="310"/>
      <c r="BN86" s="310">
        <f>SUM(BC86:BM87)</f>
        <v>0</v>
      </c>
      <c r="BO86" s="310">
        <f>BN86+BB86</f>
        <v>0</v>
      </c>
      <c r="BP86" s="310"/>
      <c r="BQ86" s="310"/>
      <c r="BR86" s="310"/>
      <c r="BS86" s="310"/>
      <c r="BT86" s="310"/>
      <c r="BU86" s="310"/>
      <c r="BV86" s="310">
        <f>SUM(BQ86:BU87)</f>
        <v>0</v>
      </c>
      <c r="BW86" s="310">
        <f>BV86+BP86</f>
        <v>0</v>
      </c>
      <c r="BX86" s="310"/>
      <c r="BY86" s="310"/>
      <c r="BZ86" s="310"/>
      <c r="CA86" s="310"/>
      <c r="CB86" s="310">
        <f>SUM(BY86:CA87)</f>
        <v>0</v>
      </c>
      <c r="CC86" s="310">
        <f>CB86+BX86</f>
        <v>0</v>
      </c>
      <c r="CD86" s="310"/>
      <c r="CE86" s="310"/>
      <c r="CF86" s="310"/>
      <c r="CG86" s="310">
        <f>SUM(CE86:CF87)</f>
        <v>0</v>
      </c>
      <c r="CH86" s="310">
        <f>CG86+CD86</f>
        <v>0</v>
      </c>
      <c r="CI86" s="310"/>
      <c r="CJ86" s="310">
        <f>CH86+CC86+BW86+BO86+CI86</f>
        <v>0</v>
      </c>
      <c r="CK86" s="310"/>
    </row>
    <row r="87" spans="1:89" s="4" customFormat="1" ht="60">
      <c r="A87" s="443"/>
      <c r="B87" s="477"/>
      <c r="C87" s="385"/>
      <c r="D87" s="389"/>
      <c r="E87" s="337"/>
      <c r="F87" s="337"/>
      <c r="G87" s="337"/>
      <c r="H87" s="337"/>
      <c r="I87" s="337"/>
      <c r="J87" s="337"/>
      <c r="K87" s="319"/>
      <c r="L87" s="319"/>
      <c r="M87" s="319"/>
      <c r="N87" s="319"/>
      <c r="O87" s="319"/>
      <c r="P87" s="319"/>
      <c r="Q87" s="319"/>
      <c r="R87" s="319"/>
      <c r="S87" s="319"/>
      <c r="T87" s="319"/>
      <c r="U87" s="319"/>
      <c r="V87" s="319"/>
      <c r="W87" s="319"/>
      <c r="X87" s="319"/>
      <c r="Y87" s="319"/>
      <c r="Z87" s="319"/>
      <c r="AA87" s="319"/>
      <c r="AB87" s="319"/>
      <c r="AC87" s="319"/>
      <c r="AD87" s="319"/>
      <c r="AE87" s="319"/>
      <c r="AF87" s="319"/>
      <c r="AG87" s="319"/>
      <c r="AH87" s="319"/>
      <c r="AI87" s="319"/>
      <c r="AJ87" s="319"/>
      <c r="AK87" s="319"/>
      <c r="AL87" s="319"/>
      <c r="AM87" s="337"/>
      <c r="AN87" s="325" t="s">
        <v>168</v>
      </c>
      <c r="AO87" s="73" t="s">
        <v>286</v>
      </c>
      <c r="AP87" s="413"/>
      <c r="AQ87" s="413"/>
      <c r="AR87" s="413"/>
      <c r="AS87" s="76">
        <v>2000000</v>
      </c>
      <c r="AT87" s="140"/>
      <c r="AU87" s="76">
        <v>2500000</v>
      </c>
      <c r="AV87" s="71"/>
      <c r="AW87" s="76">
        <v>3000000</v>
      </c>
      <c r="AX87" s="80"/>
      <c r="AY87" s="74">
        <f t="shared" si="5"/>
        <v>7500000</v>
      </c>
      <c r="AZ87" s="420"/>
      <c r="BA87" s="310"/>
      <c r="BB87" s="310"/>
      <c r="BC87" s="310"/>
      <c r="BD87" s="310"/>
      <c r="BE87" s="310"/>
      <c r="BF87" s="310"/>
      <c r="BG87" s="310"/>
      <c r="BH87" s="310"/>
      <c r="BI87" s="310"/>
      <c r="BJ87" s="310"/>
      <c r="BK87" s="310"/>
      <c r="BL87" s="310"/>
      <c r="BM87" s="310"/>
      <c r="BN87" s="310"/>
      <c r="BO87" s="310"/>
      <c r="BP87" s="310"/>
      <c r="BQ87" s="310"/>
      <c r="BR87" s="310"/>
      <c r="BS87" s="310"/>
      <c r="BT87" s="310"/>
      <c r="BU87" s="310"/>
      <c r="BV87" s="310"/>
      <c r="BW87" s="310"/>
      <c r="BX87" s="310"/>
      <c r="BY87" s="310"/>
      <c r="BZ87" s="310"/>
      <c r="CA87" s="310"/>
      <c r="CB87" s="310"/>
      <c r="CC87" s="310"/>
      <c r="CD87" s="310"/>
      <c r="CE87" s="310"/>
      <c r="CF87" s="310"/>
      <c r="CG87" s="310"/>
      <c r="CH87" s="310"/>
      <c r="CI87" s="310"/>
      <c r="CJ87" s="310"/>
      <c r="CK87" s="310"/>
    </row>
    <row r="88" spans="1:89" s="4" customFormat="1" ht="60">
      <c r="A88" s="443"/>
      <c r="B88" s="477"/>
      <c r="C88" s="385"/>
      <c r="D88" s="390"/>
      <c r="E88" s="338"/>
      <c r="F88" s="338"/>
      <c r="G88" s="338"/>
      <c r="H88" s="338"/>
      <c r="I88" s="338"/>
      <c r="J88" s="338"/>
      <c r="K88" s="319"/>
      <c r="L88" s="319"/>
      <c r="M88" s="319"/>
      <c r="N88" s="319"/>
      <c r="O88" s="319"/>
      <c r="P88" s="319"/>
      <c r="Q88" s="319"/>
      <c r="R88" s="319"/>
      <c r="S88" s="319"/>
      <c r="T88" s="319"/>
      <c r="U88" s="319"/>
      <c r="V88" s="319"/>
      <c r="W88" s="319"/>
      <c r="X88" s="319"/>
      <c r="Y88" s="319"/>
      <c r="Z88" s="319"/>
      <c r="AA88" s="319"/>
      <c r="AB88" s="319"/>
      <c r="AC88" s="319"/>
      <c r="AD88" s="319"/>
      <c r="AE88" s="319"/>
      <c r="AF88" s="319"/>
      <c r="AG88" s="319"/>
      <c r="AH88" s="319"/>
      <c r="AI88" s="319"/>
      <c r="AJ88" s="319"/>
      <c r="AK88" s="319"/>
      <c r="AL88" s="319"/>
      <c r="AM88" s="338"/>
      <c r="AN88" s="327"/>
      <c r="AO88" s="73" t="s">
        <v>287</v>
      </c>
      <c r="AP88" s="344"/>
      <c r="AQ88" s="344"/>
      <c r="AR88" s="344"/>
      <c r="AS88" s="76"/>
      <c r="AT88" s="140"/>
      <c r="AU88" s="76"/>
      <c r="AV88" s="71"/>
      <c r="AW88" s="76"/>
      <c r="AX88" s="80"/>
      <c r="AY88" s="74"/>
      <c r="AZ88" s="125"/>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row>
    <row r="89" spans="1:89" s="4" customFormat="1" ht="36">
      <c r="A89" s="443"/>
      <c r="B89" s="477"/>
      <c r="C89" s="385"/>
      <c r="D89" s="488" t="s">
        <v>223</v>
      </c>
      <c r="E89" s="336">
        <v>0.05</v>
      </c>
      <c r="F89" s="336">
        <v>0.15</v>
      </c>
      <c r="G89" s="336">
        <v>0.25</v>
      </c>
      <c r="H89" s="336">
        <v>0.25</v>
      </c>
      <c r="I89" s="336">
        <v>0.25</v>
      </c>
      <c r="J89" s="336">
        <v>0.05</v>
      </c>
      <c r="K89" s="319"/>
      <c r="L89" s="319"/>
      <c r="M89" s="319"/>
      <c r="N89" s="319"/>
      <c r="O89" s="319"/>
      <c r="P89" s="319"/>
      <c r="Q89" s="319"/>
      <c r="R89" s="319"/>
      <c r="S89" s="319"/>
      <c r="T89" s="319"/>
      <c r="U89" s="319"/>
      <c r="V89" s="319"/>
      <c r="W89" s="319"/>
      <c r="X89" s="319"/>
      <c r="Y89" s="319"/>
      <c r="Z89" s="319"/>
      <c r="AA89" s="319"/>
      <c r="AB89" s="319"/>
      <c r="AC89" s="319"/>
      <c r="AD89" s="319"/>
      <c r="AE89" s="319"/>
      <c r="AF89" s="319"/>
      <c r="AG89" s="319"/>
      <c r="AH89" s="319"/>
      <c r="AI89" s="319"/>
      <c r="AJ89" s="319"/>
      <c r="AK89" s="319"/>
      <c r="AL89" s="319"/>
      <c r="AM89" s="336" t="s">
        <v>56</v>
      </c>
      <c r="AN89" s="512" t="s">
        <v>415</v>
      </c>
      <c r="AO89" s="73" t="s">
        <v>288</v>
      </c>
      <c r="AP89" s="343">
        <v>0.6</v>
      </c>
      <c r="AQ89" s="343">
        <v>0.2</v>
      </c>
      <c r="AR89" s="343">
        <v>0.2</v>
      </c>
      <c r="AS89" s="76">
        <v>100000000</v>
      </c>
      <c r="AT89" s="140"/>
      <c r="AU89" s="76">
        <v>64000000</v>
      </c>
      <c r="AV89" s="71"/>
      <c r="AW89" s="76">
        <v>40000000</v>
      </c>
      <c r="AX89" s="80"/>
      <c r="AY89" s="74">
        <f>AU89+AW89+AS89</f>
        <v>204000000</v>
      </c>
      <c r="AZ89" s="418"/>
      <c r="BA89" s="310">
        <f>SUM(AY89:AY91)</f>
        <v>265000000</v>
      </c>
      <c r="BB89" s="310"/>
      <c r="BC89" s="310"/>
      <c r="BD89" s="310"/>
      <c r="BE89" s="310"/>
      <c r="BF89" s="310"/>
      <c r="BG89" s="310"/>
      <c r="BH89" s="310"/>
      <c r="BI89" s="310"/>
      <c r="BJ89" s="310"/>
      <c r="BK89" s="310"/>
      <c r="BL89" s="310"/>
      <c r="BM89" s="310"/>
      <c r="BN89" s="310">
        <f>SUM(BC89:BM91)</f>
        <v>0</v>
      </c>
      <c r="BO89" s="310">
        <f>BN89+BB89</f>
        <v>0</v>
      </c>
      <c r="BP89" s="310"/>
      <c r="BQ89" s="310"/>
      <c r="BR89" s="310"/>
      <c r="BS89" s="310"/>
      <c r="BT89" s="310"/>
      <c r="BU89" s="310"/>
      <c r="BV89" s="310">
        <f>SUM(BQ89:BU91)</f>
        <v>0</v>
      </c>
      <c r="BW89" s="310">
        <f>BV89+BP89</f>
        <v>0</v>
      </c>
      <c r="BX89" s="310"/>
      <c r="BY89" s="310"/>
      <c r="BZ89" s="310"/>
      <c r="CA89" s="310"/>
      <c r="CB89" s="310">
        <f>SUM(BY89:CA91)</f>
        <v>0</v>
      </c>
      <c r="CC89" s="310">
        <f>CB89+BX89</f>
        <v>0</v>
      </c>
      <c r="CD89" s="310"/>
      <c r="CE89" s="310"/>
      <c r="CF89" s="310"/>
      <c r="CG89" s="310">
        <f>SUM(CE89:CF91)</f>
        <v>0</v>
      </c>
      <c r="CH89" s="310">
        <f>CG89+CD89</f>
        <v>0</v>
      </c>
      <c r="CI89" s="310"/>
      <c r="CJ89" s="310">
        <f>CH89+CC89+BW89+BO89+CI89</f>
        <v>0</v>
      </c>
      <c r="CK89" s="310"/>
    </row>
    <row r="90" spans="1:89" s="4" customFormat="1" ht="48">
      <c r="A90" s="443"/>
      <c r="B90" s="477"/>
      <c r="C90" s="385"/>
      <c r="D90" s="488"/>
      <c r="E90" s="337"/>
      <c r="F90" s="337"/>
      <c r="G90" s="337"/>
      <c r="H90" s="337"/>
      <c r="I90" s="337"/>
      <c r="J90" s="337"/>
      <c r="K90" s="319"/>
      <c r="L90" s="319"/>
      <c r="M90" s="319"/>
      <c r="N90" s="319"/>
      <c r="O90" s="319"/>
      <c r="P90" s="319"/>
      <c r="Q90" s="319"/>
      <c r="R90" s="319"/>
      <c r="S90" s="319"/>
      <c r="T90" s="319"/>
      <c r="U90" s="319"/>
      <c r="V90" s="319"/>
      <c r="W90" s="319"/>
      <c r="X90" s="319"/>
      <c r="Y90" s="319"/>
      <c r="Z90" s="319"/>
      <c r="AA90" s="319"/>
      <c r="AB90" s="319"/>
      <c r="AC90" s="319"/>
      <c r="AD90" s="319"/>
      <c r="AE90" s="319"/>
      <c r="AF90" s="319"/>
      <c r="AG90" s="319"/>
      <c r="AH90" s="319"/>
      <c r="AI90" s="319"/>
      <c r="AJ90" s="319"/>
      <c r="AK90" s="319"/>
      <c r="AL90" s="319"/>
      <c r="AM90" s="337"/>
      <c r="AN90" s="513"/>
      <c r="AO90" s="73" t="s">
        <v>169</v>
      </c>
      <c r="AP90" s="413"/>
      <c r="AQ90" s="413"/>
      <c r="AR90" s="413"/>
      <c r="AS90" s="76">
        <v>30000000</v>
      </c>
      <c r="AT90" s="407"/>
      <c r="AU90" s="76">
        <v>3000000</v>
      </c>
      <c r="AV90" s="407"/>
      <c r="AW90" s="76">
        <v>3000000</v>
      </c>
      <c r="AX90" s="407"/>
      <c r="AY90" s="74">
        <f>AU90+AW90+AS90</f>
        <v>36000000</v>
      </c>
      <c r="AZ90" s="419"/>
      <c r="BA90" s="310"/>
      <c r="BB90" s="310"/>
      <c r="BC90" s="310"/>
      <c r="BD90" s="310"/>
      <c r="BE90" s="310"/>
      <c r="BF90" s="310"/>
      <c r="BG90" s="310"/>
      <c r="BH90" s="310"/>
      <c r="BI90" s="310"/>
      <c r="BJ90" s="310"/>
      <c r="BK90" s="310"/>
      <c r="BL90" s="310"/>
      <c r="BM90" s="310"/>
      <c r="BN90" s="310"/>
      <c r="BO90" s="310"/>
      <c r="BP90" s="310"/>
      <c r="BQ90" s="310"/>
      <c r="BR90" s="310"/>
      <c r="BS90" s="310"/>
      <c r="BT90" s="310"/>
      <c r="BU90" s="310"/>
      <c r="BV90" s="310"/>
      <c r="BW90" s="310"/>
      <c r="BX90" s="310"/>
      <c r="BY90" s="310"/>
      <c r="BZ90" s="310"/>
      <c r="CA90" s="310"/>
      <c r="CB90" s="310"/>
      <c r="CC90" s="310"/>
      <c r="CD90" s="310"/>
      <c r="CE90" s="310"/>
      <c r="CF90" s="310"/>
      <c r="CG90" s="310"/>
      <c r="CH90" s="310"/>
      <c r="CI90" s="310"/>
      <c r="CJ90" s="310"/>
      <c r="CK90" s="310"/>
    </row>
    <row r="91" spans="1:89" s="4" customFormat="1" ht="48">
      <c r="A91" s="443"/>
      <c r="B91" s="477"/>
      <c r="C91" s="385"/>
      <c r="D91" s="488"/>
      <c r="E91" s="338"/>
      <c r="F91" s="338"/>
      <c r="G91" s="338"/>
      <c r="H91" s="338"/>
      <c r="I91" s="338"/>
      <c r="J91" s="338"/>
      <c r="K91" s="319"/>
      <c r="L91" s="319"/>
      <c r="M91" s="319"/>
      <c r="N91" s="319"/>
      <c r="O91" s="319"/>
      <c r="P91" s="319"/>
      <c r="Q91" s="319"/>
      <c r="R91" s="319"/>
      <c r="S91" s="319"/>
      <c r="T91" s="319"/>
      <c r="U91" s="319"/>
      <c r="V91" s="319"/>
      <c r="W91" s="319"/>
      <c r="X91" s="319"/>
      <c r="Y91" s="319"/>
      <c r="Z91" s="319"/>
      <c r="AA91" s="319"/>
      <c r="AB91" s="319"/>
      <c r="AC91" s="319"/>
      <c r="AD91" s="319"/>
      <c r="AE91" s="319"/>
      <c r="AF91" s="319"/>
      <c r="AG91" s="319"/>
      <c r="AH91" s="319"/>
      <c r="AI91" s="319"/>
      <c r="AJ91" s="319"/>
      <c r="AK91" s="319"/>
      <c r="AL91" s="319"/>
      <c r="AM91" s="338"/>
      <c r="AN91" s="109" t="s">
        <v>71</v>
      </c>
      <c r="AO91" s="73" t="s">
        <v>289</v>
      </c>
      <c r="AP91" s="344"/>
      <c r="AQ91" s="344"/>
      <c r="AR91" s="344"/>
      <c r="AS91" s="76">
        <v>15000000</v>
      </c>
      <c r="AT91" s="407"/>
      <c r="AU91" s="76">
        <v>5000000</v>
      </c>
      <c r="AV91" s="407"/>
      <c r="AW91" s="76">
        <v>5000000</v>
      </c>
      <c r="AX91" s="407"/>
      <c r="AY91" s="74">
        <f>AU91+AW91+AS91</f>
        <v>25000000</v>
      </c>
      <c r="AZ91" s="420"/>
      <c r="BA91" s="310"/>
      <c r="BB91" s="310"/>
      <c r="BC91" s="310"/>
      <c r="BD91" s="310"/>
      <c r="BE91" s="310"/>
      <c r="BF91" s="310"/>
      <c r="BG91" s="310"/>
      <c r="BH91" s="310"/>
      <c r="BI91" s="310"/>
      <c r="BJ91" s="310"/>
      <c r="BK91" s="310"/>
      <c r="BL91" s="310"/>
      <c r="BM91" s="310"/>
      <c r="BN91" s="310"/>
      <c r="BO91" s="310"/>
      <c r="BP91" s="310"/>
      <c r="BQ91" s="310"/>
      <c r="BR91" s="310"/>
      <c r="BS91" s="310"/>
      <c r="BT91" s="310"/>
      <c r="BU91" s="310"/>
      <c r="BV91" s="310"/>
      <c r="BW91" s="310"/>
      <c r="BX91" s="310"/>
      <c r="BY91" s="310"/>
      <c r="BZ91" s="310"/>
      <c r="CA91" s="310"/>
      <c r="CB91" s="310"/>
      <c r="CC91" s="310"/>
      <c r="CD91" s="310"/>
      <c r="CE91" s="310"/>
      <c r="CF91" s="310"/>
      <c r="CG91" s="310"/>
      <c r="CH91" s="310"/>
      <c r="CI91" s="310"/>
      <c r="CJ91" s="310"/>
      <c r="CK91" s="310"/>
    </row>
    <row r="92" spans="1:89" s="4" customFormat="1" ht="60">
      <c r="A92" s="443"/>
      <c r="B92" s="477"/>
      <c r="C92" s="385"/>
      <c r="D92" s="488" t="s">
        <v>224</v>
      </c>
      <c r="E92" s="316">
        <v>0.05</v>
      </c>
      <c r="F92" s="316">
        <v>0.25</v>
      </c>
      <c r="G92" s="316">
        <v>0.13</v>
      </c>
      <c r="H92" s="316">
        <v>0.13</v>
      </c>
      <c r="I92" s="316">
        <v>0.12</v>
      </c>
      <c r="J92" s="316">
        <v>0.12</v>
      </c>
      <c r="K92" s="335"/>
      <c r="L92" s="335"/>
      <c r="M92" s="335"/>
      <c r="N92" s="335"/>
      <c r="O92" s="335"/>
      <c r="P92" s="335"/>
      <c r="Q92" s="335"/>
      <c r="R92" s="335"/>
      <c r="S92" s="335"/>
      <c r="T92" s="335"/>
      <c r="U92" s="335"/>
      <c r="V92" s="335"/>
      <c r="W92" s="335"/>
      <c r="X92" s="335"/>
      <c r="Y92" s="335"/>
      <c r="Z92" s="335"/>
      <c r="AA92" s="335"/>
      <c r="AB92" s="335"/>
      <c r="AC92" s="335"/>
      <c r="AD92" s="335"/>
      <c r="AE92" s="335"/>
      <c r="AF92" s="335"/>
      <c r="AG92" s="335"/>
      <c r="AH92" s="335"/>
      <c r="AI92" s="335"/>
      <c r="AJ92" s="335"/>
      <c r="AK92" s="335"/>
      <c r="AL92" s="335"/>
      <c r="AM92" s="316" t="s">
        <v>171</v>
      </c>
      <c r="AN92" s="314" t="s">
        <v>416</v>
      </c>
      <c r="AO92" s="73" t="s">
        <v>290</v>
      </c>
      <c r="AP92" s="343">
        <v>0.2</v>
      </c>
      <c r="AQ92" s="343">
        <v>0.4</v>
      </c>
      <c r="AR92" s="343">
        <v>0.4</v>
      </c>
      <c r="AS92" s="421">
        <f>12084224+7084224</f>
        <v>19168448</v>
      </c>
      <c r="AT92" s="76"/>
      <c r="AU92" s="346">
        <v>13725909</v>
      </c>
      <c r="AV92" s="81"/>
      <c r="AW92" s="346">
        <v>15821843</v>
      </c>
      <c r="AX92" s="81"/>
      <c r="AY92" s="405">
        <f>AU92+AW92+AS92</f>
        <v>48716200</v>
      </c>
      <c r="AZ92" s="357"/>
      <c r="BA92" s="335">
        <f>SUM(AY92:AY95)</f>
        <v>75716200</v>
      </c>
      <c r="BB92" s="335"/>
      <c r="BC92" s="335"/>
      <c r="BD92" s="335"/>
      <c r="BE92" s="335"/>
      <c r="BF92" s="335"/>
      <c r="BG92" s="335"/>
      <c r="BH92" s="335"/>
      <c r="BI92" s="335"/>
      <c r="BJ92" s="335"/>
      <c r="BK92" s="335"/>
      <c r="BL92" s="335"/>
      <c r="BM92" s="335"/>
      <c r="BN92" s="310">
        <f>SUM(BC92:BM95)</f>
        <v>0</v>
      </c>
      <c r="BO92" s="310">
        <f>BN92+BB92</f>
        <v>0</v>
      </c>
      <c r="BP92" s="335"/>
      <c r="BQ92" s="335"/>
      <c r="BR92" s="335"/>
      <c r="BS92" s="335"/>
      <c r="BT92" s="335"/>
      <c r="BU92" s="335"/>
      <c r="BV92" s="310">
        <f>SUM(BQ92:BU95)</f>
        <v>0</v>
      </c>
      <c r="BW92" s="310">
        <f>BV92+BP92</f>
        <v>0</v>
      </c>
      <c r="BX92" s="335"/>
      <c r="BY92" s="335"/>
      <c r="BZ92" s="335"/>
      <c r="CA92" s="335"/>
      <c r="CB92" s="310">
        <f>SUM(BY92:CA95)</f>
        <v>0</v>
      </c>
      <c r="CC92" s="310">
        <f>CB92+BX92</f>
        <v>0</v>
      </c>
      <c r="CD92" s="335"/>
      <c r="CE92" s="335"/>
      <c r="CF92" s="335"/>
      <c r="CG92" s="310">
        <f>SUM(CE92:CF95)</f>
        <v>0</v>
      </c>
      <c r="CH92" s="310">
        <f>CG92+CD92</f>
        <v>0</v>
      </c>
      <c r="CI92" s="335"/>
      <c r="CJ92" s="310">
        <f>CH92+CC92+BW92+BO92+CI92</f>
        <v>0</v>
      </c>
      <c r="CK92" s="310"/>
    </row>
    <row r="93" spans="1:89" s="4" customFormat="1" ht="36">
      <c r="A93" s="443"/>
      <c r="B93" s="477"/>
      <c r="C93" s="385"/>
      <c r="D93" s="488"/>
      <c r="E93" s="317"/>
      <c r="F93" s="317"/>
      <c r="G93" s="317"/>
      <c r="H93" s="317"/>
      <c r="I93" s="317"/>
      <c r="J93" s="317"/>
      <c r="K93" s="335"/>
      <c r="L93" s="335"/>
      <c r="M93" s="335"/>
      <c r="N93" s="335"/>
      <c r="O93" s="335"/>
      <c r="P93" s="335"/>
      <c r="Q93" s="335"/>
      <c r="R93" s="335"/>
      <c r="S93" s="335"/>
      <c r="T93" s="335"/>
      <c r="U93" s="335"/>
      <c r="V93" s="335"/>
      <c r="W93" s="335"/>
      <c r="X93" s="335"/>
      <c r="Y93" s="335"/>
      <c r="Z93" s="335"/>
      <c r="AA93" s="335"/>
      <c r="AB93" s="335"/>
      <c r="AC93" s="335"/>
      <c r="AD93" s="335"/>
      <c r="AE93" s="335"/>
      <c r="AF93" s="335"/>
      <c r="AG93" s="335"/>
      <c r="AH93" s="335"/>
      <c r="AI93" s="335"/>
      <c r="AJ93" s="335"/>
      <c r="AK93" s="335"/>
      <c r="AL93" s="335"/>
      <c r="AM93" s="317"/>
      <c r="AN93" s="315"/>
      <c r="AO93" s="73" t="s">
        <v>291</v>
      </c>
      <c r="AP93" s="326"/>
      <c r="AQ93" s="326"/>
      <c r="AR93" s="326"/>
      <c r="AS93" s="422"/>
      <c r="AT93" s="144"/>
      <c r="AU93" s="346"/>
      <c r="AV93" s="81"/>
      <c r="AW93" s="346"/>
      <c r="AX93" s="81"/>
      <c r="AY93" s="406"/>
      <c r="AZ93" s="359"/>
      <c r="BA93" s="335"/>
      <c r="BB93" s="335"/>
      <c r="BC93" s="335"/>
      <c r="BD93" s="335"/>
      <c r="BE93" s="335"/>
      <c r="BF93" s="335"/>
      <c r="BG93" s="335"/>
      <c r="BH93" s="335"/>
      <c r="BI93" s="335"/>
      <c r="BJ93" s="335"/>
      <c r="BK93" s="335"/>
      <c r="BL93" s="335"/>
      <c r="BM93" s="335"/>
      <c r="BN93" s="310"/>
      <c r="BO93" s="310"/>
      <c r="BP93" s="335"/>
      <c r="BQ93" s="335"/>
      <c r="BR93" s="335"/>
      <c r="BS93" s="335"/>
      <c r="BT93" s="335"/>
      <c r="BU93" s="335"/>
      <c r="BV93" s="310"/>
      <c r="BW93" s="310"/>
      <c r="BX93" s="335"/>
      <c r="BY93" s="335"/>
      <c r="BZ93" s="335"/>
      <c r="CA93" s="335"/>
      <c r="CB93" s="310"/>
      <c r="CC93" s="310"/>
      <c r="CD93" s="335"/>
      <c r="CE93" s="335"/>
      <c r="CF93" s="335"/>
      <c r="CG93" s="310"/>
      <c r="CH93" s="310"/>
      <c r="CI93" s="335"/>
      <c r="CJ93" s="310"/>
      <c r="CK93" s="310"/>
    </row>
    <row r="94" spans="1:89" s="4" customFormat="1" ht="36">
      <c r="A94" s="443"/>
      <c r="B94" s="477"/>
      <c r="C94" s="385"/>
      <c r="D94" s="488"/>
      <c r="E94" s="317"/>
      <c r="F94" s="317"/>
      <c r="G94" s="317"/>
      <c r="H94" s="317"/>
      <c r="I94" s="317"/>
      <c r="J94" s="317"/>
      <c r="K94" s="335"/>
      <c r="L94" s="335"/>
      <c r="M94" s="335"/>
      <c r="N94" s="335"/>
      <c r="O94" s="335"/>
      <c r="P94" s="335"/>
      <c r="Q94" s="335"/>
      <c r="R94" s="335"/>
      <c r="S94" s="335"/>
      <c r="T94" s="335"/>
      <c r="U94" s="335"/>
      <c r="V94" s="335"/>
      <c r="W94" s="335"/>
      <c r="X94" s="335"/>
      <c r="Y94" s="335"/>
      <c r="Z94" s="335"/>
      <c r="AA94" s="335"/>
      <c r="AB94" s="335"/>
      <c r="AC94" s="335"/>
      <c r="AD94" s="335"/>
      <c r="AE94" s="335"/>
      <c r="AF94" s="335"/>
      <c r="AG94" s="335"/>
      <c r="AH94" s="335"/>
      <c r="AI94" s="335"/>
      <c r="AJ94" s="335"/>
      <c r="AK94" s="335"/>
      <c r="AL94" s="335"/>
      <c r="AM94" s="317"/>
      <c r="AN94" s="314" t="s">
        <v>170</v>
      </c>
      <c r="AO94" s="5" t="s">
        <v>292</v>
      </c>
      <c r="AP94" s="326"/>
      <c r="AQ94" s="326"/>
      <c r="AR94" s="326"/>
      <c r="AS94" s="421">
        <v>9000000</v>
      </c>
      <c r="AT94" s="144"/>
      <c r="AU94" s="423">
        <v>9000000</v>
      </c>
      <c r="AV94" s="81"/>
      <c r="AW94" s="423">
        <v>9000000</v>
      </c>
      <c r="AX94" s="81"/>
      <c r="AY94" s="405">
        <f>AU94+AW94+AS94</f>
        <v>27000000</v>
      </c>
      <c r="AZ94" s="359"/>
      <c r="BA94" s="335"/>
      <c r="BB94" s="335"/>
      <c r="BC94" s="335"/>
      <c r="BD94" s="335"/>
      <c r="BE94" s="335"/>
      <c r="BF94" s="335"/>
      <c r="BG94" s="335"/>
      <c r="BH94" s="335"/>
      <c r="BI94" s="335"/>
      <c r="BJ94" s="335"/>
      <c r="BK94" s="335"/>
      <c r="BL94" s="335"/>
      <c r="BM94" s="335"/>
      <c r="BN94" s="310"/>
      <c r="BO94" s="310"/>
      <c r="BP94" s="335"/>
      <c r="BQ94" s="335"/>
      <c r="BR94" s="335"/>
      <c r="BS94" s="335"/>
      <c r="BT94" s="335"/>
      <c r="BU94" s="335"/>
      <c r="BV94" s="310"/>
      <c r="BW94" s="310"/>
      <c r="BX94" s="335"/>
      <c r="BY94" s="335"/>
      <c r="BZ94" s="335"/>
      <c r="CA94" s="335"/>
      <c r="CB94" s="310"/>
      <c r="CC94" s="310"/>
      <c r="CD94" s="335"/>
      <c r="CE94" s="335"/>
      <c r="CF94" s="335"/>
      <c r="CG94" s="310"/>
      <c r="CH94" s="310"/>
      <c r="CI94" s="335"/>
      <c r="CJ94" s="310"/>
      <c r="CK94" s="310"/>
    </row>
    <row r="95" spans="1:89" s="4" customFormat="1" ht="36">
      <c r="A95" s="443"/>
      <c r="B95" s="477"/>
      <c r="C95" s="385"/>
      <c r="D95" s="488"/>
      <c r="E95" s="318"/>
      <c r="F95" s="318"/>
      <c r="G95" s="318"/>
      <c r="H95" s="318"/>
      <c r="I95" s="318"/>
      <c r="J95" s="318"/>
      <c r="K95" s="335"/>
      <c r="L95" s="335"/>
      <c r="M95" s="335"/>
      <c r="N95" s="335"/>
      <c r="O95" s="335"/>
      <c r="P95" s="335"/>
      <c r="Q95" s="335"/>
      <c r="R95" s="335"/>
      <c r="S95" s="335"/>
      <c r="T95" s="335"/>
      <c r="U95" s="335"/>
      <c r="V95" s="335"/>
      <c r="W95" s="335"/>
      <c r="X95" s="335"/>
      <c r="Y95" s="335"/>
      <c r="Z95" s="335"/>
      <c r="AA95" s="335"/>
      <c r="AB95" s="335"/>
      <c r="AC95" s="335"/>
      <c r="AD95" s="335"/>
      <c r="AE95" s="335"/>
      <c r="AF95" s="335"/>
      <c r="AG95" s="335"/>
      <c r="AH95" s="335"/>
      <c r="AI95" s="335"/>
      <c r="AJ95" s="335"/>
      <c r="AK95" s="335"/>
      <c r="AL95" s="335"/>
      <c r="AM95" s="318"/>
      <c r="AN95" s="315"/>
      <c r="AO95" s="5" t="s">
        <v>293</v>
      </c>
      <c r="AP95" s="327"/>
      <c r="AQ95" s="327"/>
      <c r="AR95" s="327"/>
      <c r="AS95" s="422"/>
      <c r="AT95" s="144"/>
      <c r="AU95" s="424"/>
      <c r="AV95" s="81"/>
      <c r="AW95" s="424"/>
      <c r="AX95" s="81"/>
      <c r="AY95" s="406"/>
      <c r="AZ95" s="358"/>
      <c r="BA95" s="335"/>
      <c r="BB95" s="335"/>
      <c r="BC95" s="335"/>
      <c r="BD95" s="335"/>
      <c r="BE95" s="335"/>
      <c r="BF95" s="335"/>
      <c r="BG95" s="335"/>
      <c r="BH95" s="335"/>
      <c r="BI95" s="335"/>
      <c r="BJ95" s="335"/>
      <c r="BK95" s="335"/>
      <c r="BL95" s="335"/>
      <c r="BM95" s="335"/>
      <c r="BN95" s="310"/>
      <c r="BO95" s="310"/>
      <c r="BP95" s="335"/>
      <c r="BQ95" s="335"/>
      <c r="BR95" s="335"/>
      <c r="BS95" s="335"/>
      <c r="BT95" s="335"/>
      <c r="BU95" s="335"/>
      <c r="BV95" s="310"/>
      <c r="BW95" s="310"/>
      <c r="BX95" s="335"/>
      <c r="BY95" s="335"/>
      <c r="BZ95" s="335"/>
      <c r="CA95" s="335"/>
      <c r="CB95" s="310"/>
      <c r="CC95" s="310"/>
      <c r="CD95" s="335"/>
      <c r="CE95" s="335"/>
      <c r="CF95" s="335"/>
      <c r="CG95" s="310"/>
      <c r="CH95" s="310"/>
      <c r="CI95" s="335"/>
      <c r="CJ95" s="310"/>
      <c r="CK95" s="310"/>
    </row>
    <row r="96" spans="1:89" s="4" customFormat="1" ht="33" customHeight="1">
      <c r="A96" s="443"/>
      <c r="B96" s="477"/>
      <c r="C96" s="385"/>
      <c r="D96" s="482" t="s">
        <v>225</v>
      </c>
      <c r="E96" s="316">
        <v>0.05</v>
      </c>
      <c r="F96" s="316">
        <v>0.7</v>
      </c>
      <c r="G96" s="316">
        <v>0.1</v>
      </c>
      <c r="H96" s="316">
        <v>0.1</v>
      </c>
      <c r="I96" s="316">
        <v>0.03</v>
      </c>
      <c r="J96" s="316">
        <v>0.02</v>
      </c>
      <c r="K96" s="335"/>
      <c r="L96" s="335"/>
      <c r="M96" s="335"/>
      <c r="N96" s="335"/>
      <c r="O96" s="335"/>
      <c r="P96" s="335"/>
      <c r="Q96" s="335"/>
      <c r="R96" s="335"/>
      <c r="S96" s="335"/>
      <c r="T96" s="335"/>
      <c r="U96" s="335"/>
      <c r="V96" s="335"/>
      <c r="W96" s="335"/>
      <c r="X96" s="335"/>
      <c r="Y96" s="335"/>
      <c r="Z96" s="335"/>
      <c r="AA96" s="335"/>
      <c r="AB96" s="335"/>
      <c r="AC96" s="335"/>
      <c r="AD96" s="335"/>
      <c r="AE96" s="335"/>
      <c r="AF96" s="335"/>
      <c r="AG96" s="335"/>
      <c r="AH96" s="335"/>
      <c r="AI96" s="335"/>
      <c r="AJ96" s="335"/>
      <c r="AK96" s="335"/>
      <c r="AL96" s="335"/>
      <c r="AM96" s="316" t="s">
        <v>105</v>
      </c>
      <c r="AN96" s="110" t="s">
        <v>172</v>
      </c>
      <c r="AO96" s="73" t="s">
        <v>294</v>
      </c>
      <c r="AP96" s="325">
        <v>3</v>
      </c>
      <c r="AQ96" s="325">
        <v>2</v>
      </c>
      <c r="AR96" s="325"/>
      <c r="AS96" s="378">
        <v>34433536</v>
      </c>
      <c r="AT96" s="144"/>
      <c r="AU96" s="429">
        <v>41320243</v>
      </c>
      <c r="AV96" s="81"/>
      <c r="AW96" s="516">
        <v>49584291.840000004</v>
      </c>
      <c r="AX96" s="81"/>
      <c r="AY96" s="405">
        <f>AU96+AW96+AS96</f>
        <v>125338070.84</v>
      </c>
      <c r="AZ96" s="357"/>
      <c r="BA96" s="357">
        <f>SUM(AY96:AY98)</f>
        <v>141338070.84</v>
      </c>
      <c r="BB96" s="357"/>
      <c r="BC96" s="357"/>
      <c r="BD96" s="357"/>
      <c r="BE96" s="357"/>
      <c r="BF96" s="357"/>
      <c r="BG96" s="357"/>
      <c r="BH96" s="357"/>
      <c r="BI96" s="357"/>
      <c r="BJ96" s="357"/>
      <c r="BK96" s="357"/>
      <c r="BL96" s="357"/>
      <c r="BM96" s="357"/>
      <c r="BN96" s="335">
        <f>SUM(BC96:BM97)</f>
        <v>0</v>
      </c>
      <c r="BO96" s="335">
        <f>BN96+BB96</f>
        <v>0</v>
      </c>
      <c r="BP96" s="335"/>
      <c r="BQ96" s="335"/>
      <c r="BR96" s="335"/>
      <c r="BS96" s="335"/>
      <c r="BT96" s="335"/>
      <c r="BU96" s="335"/>
      <c r="BV96" s="335">
        <f>SUM(BQ96:BU97)</f>
        <v>0</v>
      </c>
      <c r="BW96" s="335">
        <f>BV96+BP96</f>
        <v>0</v>
      </c>
      <c r="BX96" s="335"/>
      <c r="BY96" s="335"/>
      <c r="BZ96" s="335"/>
      <c r="CA96" s="335"/>
      <c r="CB96" s="357">
        <f>SUM(BY96:CA97)</f>
        <v>0</v>
      </c>
      <c r="CC96" s="357">
        <f>CB96+BX96</f>
        <v>0</v>
      </c>
      <c r="CD96" s="357"/>
      <c r="CE96" s="357"/>
      <c r="CF96" s="357"/>
      <c r="CG96" s="357">
        <f>SUM(CE96:CF97)</f>
        <v>0</v>
      </c>
      <c r="CH96" s="357">
        <f>CG96+CD96</f>
        <v>0</v>
      </c>
      <c r="CI96" s="357"/>
      <c r="CJ96" s="357">
        <f>CH96+CC96+BW96+BO96+CI96</f>
        <v>0</v>
      </c>
      <c r="CK96" s="357"/>
    </row>
    <row r="97" spans="1:89" s="4" customFormat="1" ht="60">
      <c r="A97" s="443"/>
      <c r="B97" s="477"/>
      <c r="C97" s="385"/>
      <c r="D97" s="483"/>
      <c r="E97" s="317"/>
      <c r="F97" s="317"/>
      <c r="G97" s="317"/>
      <c r="H97" s="317"/>
      <c r="I97" s="317"/>
      <c r="J97" s="317"/>
      <c r="K97" s="335"/>
      <c r="L97" s="335"/>
      <c r="M97" s="335"/>
      <c r="N97" s="335"/>
      <c r="O97" s="335"/>
      <c r="P97" s="335"/>
      <c r="Q97" s="335"/>
      <c r="R97" s="335"/>
      <c r="S97" s="335"/>
      <c r="T97" s="335"/>
      <c r="U97" s="335"/>
      <c r="V97" s="335"/>
      <c r="W97" s="335"/>
      <c r="X97" s="335"/>
      <c r="Y97" s="335"/>
      <c r="Z97" s="335"/>
      <c r="AA97" s="335"/>
      <c r="AB97" s="335"/>
      <c r="AC97" s="335"/>
      <c r="AD97" s="335"/>
      <c r="AE97" s="335"/>
      <c r="AF97" s="335"/>
      <c r="AG97" s="335"/>
      <c r="AH97" s="335"/>
      <c r="AI97" s="335"/>
      <c r="AJ97" s="335"/>
      <c r="AK97" s="335"/>
      <c r="AL97" s="335"/>
      <c r="AM97" s="317"/>
      <c r="AN97" s="110" t="s">
        <v>39</v>
      </c>
      <c r="AO97" s="73" t="s">
        <v>295</v>
      </c>
      <c r="AP97" s="326"/>
      <c r="AQ97" s="326"/>
      <c r="AR97" s="326"/>
      <c r="AS97" s="378"/>
      <c r="AT97" s="144"/>
      <c r="AU97" s="429"/>
      <c r="AV97" s="81"/>
      <c r="AW97" s="516"/>
      <c r="AX97" s="81"/>
      <c r="AY97" s="406"/>
      <c r="AZ97" s="359"/>
      <c r="BA97" s="359"/>
      <c r="BB97" s="359"/>
      <c r="BC97" s="359"/>
      <c r="BD97" s="359"/>
      <c r="BE97" s="359"/>
      <c r="BF97" s="359"/>
      <c r="BG97" s="359"/>
      <c r="BH97" s="359"/>
      <c r="BI97" s="359"/>
      <c r="BJ97" s="359"/>
      <c r="BK97" s="359"/>
      <c r="BL97" s="359"/>
      <c r="BM97" s="359"/>
      <c r="BN97" s="335"/>
      <c r="BO97" s="335"/>
      <c r="BP97" s="335"/>
      <c r="BQ97" s="335"/>
      <c r="BR97" s="335"/>
      <c r="BS97" s="335"/>
      <c r="BT97" s="335"/>
      <c r="BU97" s="335"/>
      <c r="BV97" s="335"/>
      <c r="BW97" s="335"/>
      <c r="BX97" s="335"/>
      <c r="BY97" s="335"/>
      <c r="BZ97" s="335"/>
      <c r="CA97" s="335"/>
      <c r="CB97" s="359"/>
      <c r="CC97" s="359"/>
      <c r="CD97" s="359"/>
      <c r="CE97" s="359"/>
      <c r="CF97" s="359"/>
      <c r="CG97" s="359"/>
      <c r="CH97" s="359"/>
      <c r="CI97" s="359"/>
      <c r="CJ97" s="359"/>
      <c r="CK97" s="359"/>
    </row>
    <row r="98" spans="1:89" s="4" customFormat="1" ht="36">
      <c r="A98" s="443"/>
      <c r="B98" s="477"/>
      <c r="C98" s="385"/>
      <c r="D98" s="483"/>
      <c r="E98" s="317"/>
      <c r="F98" s="317"/>
      <c r="G98" s="317"/>
      <c r="H98" s="317"/>
      <c r="I98" s="317"/>
      <c r="J98" s="317"/>
      <c r="K98" s="335"/>
      <c r="L98" s="335"/>
      <c r="M98" s="335"/>
      <c r="N98" s="335"/>
      <c r="O98" s="335"/>
      <c r="P98" s="335"/>
      <c r="Q98" s="335"/>
      <c r="R98" s="335"/>
      <c r="S98" s="335"/>
      <c r="T98" s="335"/>
      <c r="U98" s="335"/>
      <c r="V98" s="335"/>
      <c r="W98" s="335"/>
      <c r="X98" s="335"/>
      <c r="Y98" s="335"/>
      <c r="Z98" s="335"/>
      <c r="AA98" s="335"/>
      <c r="AB98" s="335"/>
      <c r="AC98" s="335"/>
      <c r="AD98" s="335"/>
      <c r="AE98" s="335"/>
      <c r="AF98" s="335"/>
      <c r="AG98" s="335"/>
      <c r="AH98" s="335"/>
      <c r="AI98" s="335"/>
      <c r="AJ98" s="335"/>
      <c r="AK98" s="335"/>
      <c r="AL98" s="335"/>
      <c r="AM98" s="317"/>
      <c r="AN98" s="314" t="s">
        <v>173</v>
      </c>
      <c r="AO98" s="73" t="s">
        <v>296</v>
      </c>
      <c r="AP98" s="326"/>
      <c r="AQ98" s="326"/>
      <c r="AR98" s="326"/>
      <c r="AS98" s="76">
        <v>16000000</v>
      </c>
      <c r="AT98" s="144"/>
      <c r="AU98" s="82">
        <v>0</v>
      </c>
      <c r="AV98" s="81"/>
      <c r="AW98" s="82">
        <v>0</v>
      </c>
      <c r="AX98" s="81"/>
      <c r="AY98" s="71">
        <f>AU98+AW98+AS98</f>
        <v>16000000</v>
      </c>
      <c r="AZ98" s="358"/>
      <c r="BA98" s="358"/>
      <c r="BB98" s="358"/>
      <c r="BC98" s="358"/>
      <c r="BD98" s="358"/>
      <c r="BE98" s="358"/>
      <c r="BF98" s="358"/>
      <c r="BG98" s="358"/>
      <c r="BH98" s="358"/>
      <c r="BI98" s="358"/>
      <c r="BJ98" s="358"/>
      <c r="BK98" s="358"/>
      <c r="BL98" s="358"/>
      <c r="BM98" s="358"/>
      <c r="BN98" s="70"/>
      <c r="BO98" s="70"/>
      <c r="BP98" s="70"/>
      <c r="BQ98" s="70"/>
      <c r="BR98" s="70"/>
      <c r="BS98" s="70"/>
      <c r="BT98" s="70"/>
      <c r="BU98" s="70"/>
      <c r="BV98" s="70"/>
      <c r="BW98" s="70"/>
      <c r="BX98" s="70"/>
      <c r="BY98" s="70"/>
      <c r="BZ98" s="70"/>
      <c r="CA98" s="70"/>
      <c r="CB98" s="358"/>
      <c r="CC98" s="358"/>
      <c r="CD98" s="358"/>
      <c r="CE98" s="358"/>
      <c r="CF98" s="358"/>
      <c r="CG98" s="358"/>
      <c r="CH98" s="358"/>
      <c r="CI98" s="358"/>
      <c r="CJ98" s="358"/>
      <c r="CK98" s="358"/>
    </row>
    <row r="99" spans="1:89" s="4" customFormat="1" ht="24">
      <c r="A99" s="443"/>
      <c r="B99" s="477"/>
      <c r="C99" s="385"/>
      <c r="D99" s="483"/>
      <c r="E99" s="317"/>
      <c r="F99" s="317"/>
      <c r="G99" s="317"/>
      <c r="H99" s="317"/>
      <c r="I99" s="317"/>
      <c r="J99" s="317"/>
      <c r="K99" s="335"/>
      <c r="L99" s="335"/>
      <c r="M99" s="335"/>
      <c r="N99" s="335"/>
      <c r="O99" s="335"/>
      <c r="P99" s="335"/>
      <c r="Q99" s="335"/>
      <c r="R99" s="335"/>
      <c r="S99" s="335"/>
      <c r="T99" s="335"/>
      <c r="U99" s="335"/>
      <c r="V99" s="335"/>
      <c r="W99" s="335"/>
      <c r="X99" s="335"/>
      <c r="Y99" s="335"/>
      <c r="Z99" s="335"/>
      <c r="AA99" s="335"/>
      <c r="AB99" s="335"/>
      <c r="AC99" s="335"/>
      <c r="AD99" s="335"/>
      <c r="AE99" s="335"/>
      <c r="AF99" s="335"/>
      <c r="AG99" s="335"/>
      <c r="AH99" s="335"/>
      <c r="AI99" s="335"/>
      <c r="AJ99" s="335"/>
      <c r="AK99" s="335"/>
      <c r="AL99" s="335"/>
      <c r="AM99" s="317"/>
      <c r="AN99" s="320"/>
      <c r="AO99" s="73" t="s">
        <v>297</v>
      </c>
      <c r="AP99" s="326"/>
      <c r="AQ99" s="326"/>
      <c r="AR99" s="326"/>
      <c r="AS99" s="76"/>
      <c r="AT99" s="145"/>
      <c r="AU99" s="82"/>
      <c r="AV99" s="121"/>
      <c r="AW99" s="82"/>
      <c r="AX99" s="121"/>
      <c r="AY99" s="122"/>
      <c r="AZ99" s="114"/>
      <c r="BA99" s="115"/>
      <c r="BB99" s="115"/>
      <c r="BC99" s="115"/>
      <c r="BD99" s="115"/>
      <c r="BE99" s="115"/>
      <c r="BF99" s="115"/>
      <c r="BG99" s="115"/>
      <c r="BH99" s="115"/>
      <c r="BI99" s="115"/>
      <c r="BJ99" s="115"/>
      <c r="BK99" s="115"/>
      <c r="BL99" s="115"/>
      <c r="BM99" s="115"/>
      <c r="BN99" s="119"/>
      <c r="BO99" s="119"/>
      <c r="BP99" s="119"/>
      <c r="BQ99" s="119"/>
      <c r="BR99" s="119"/>
      <c r="BS99" s="119"/>
      <c r="BT99" s="119"/>
      <c r="BU99" s="119"/>
      <c r="BV99" s="119"/>
      <c r="BW99" s="119"/>
      <c r="BX99" s="119"/>
      <c r="BY99" s="119"/>
      <c r="BZ99" s="119"/>
      <c r="CA99" s="119"/>
      <c r="CB99" s="115"/>
      <c r="CC99" s="115"/>
      <c r="CD99" s="115"/>
      <c r="CE99" s="115"/>
      <c r="CF99" s="115"/>
      <c r="CG99" s="115"/>
      <c r="CH99" s="115"/>
      <c r="CI99" s="115"/>
      <c r="CJ99" s="115"/>
      <c r="CK99" s="115"/>
    </row>
    <row r="100" spans="1:89" s="4" customFormat="1" ht="36">
      <c r="A100" s="443"/>
      <c r="B100" s="477"/>
      <c r="C100" s="433"/>
      <c r="D100" s="484"/>
      <c r="E100" s="318"/>
      <c r="F100" s="318"/>
      <c r="G100" s="318"/>
      <c r="H100" s="318"/>
      <c r="I100" s="318"/>
      <c r="J100" s="318"/>
      <c r="K100" s="335"/>
      <c r="L100" s="335"/>
      <c r="M100" s="335"/>
      <c r="N100" s="335"/>
      <c r="O100" s="335"/>
      <c r="P100" s="335"/>
      <c r="Q100" s="335"/>
      <c r="R100" s="335"/>
      <c r="S100" s="335"/>
      <c r="T100" s="335"/>
      <c r="U100" s="335"/>
      <c r="V100" s="335"/>
      <c r="W100" s="335"/>
      <c r="X100" s="335"/>
      <c r="Y100" s="335"/>
      <c r="Z100" s="335"/>
      <c r="AA100" s="335"/>
      <c r="AB100" s="335"/>
      <c r="AC100" s="335"/>
      <c r="AD100" s="335"/>
      <c r="AE100" s="335"/>
      <c r="AF100" s="335"/>
      <c r="AG100" s="335"/>
      <c r="AH100" s="335"/>
      <c r="AI100" s="335"/>
      <c r="AJ100" s="335"/>
      <c r="AK100" s="335"/>
      <c r="AL100" s="335"/>
      <c r="AM100" s="318"/>
      <c r="AN100" s="315"/>
      <c r="AO100" s="73" t="s">
        <v>298</v>
      </c>
      <c r="AP100" s="327"/>
      <c r="AQ100" s="327"/>
      <c r="AR100" s="327"/>
      <c r="AS100" s="76"/>
      <c r="AT100" s="145"/>
      <c r="AU100" s="82"/>
      <c r="AV100" s="121"/>
      <c r="AW100" s="82"/>
      <c r="AX100" s="121"/>
      <c r="AY100" s="122"/>
      <c r="AZ100" s="114"/>
      <c r="BA100" s="115"/>
      <c r="BB100" s="115"/>
      <c r="BC100" s="115"/>
      <c r="BD100" s="115"/>
      <c r="BE100" s="115"/>
      <c r="BF100" s="115"/>
      <c r="BG100" s="115"/>
      <c r="BH100" s="115"/>
      <c r="BI100" s="115"/>
      <c r="BJ100" s="115"/>
      <c r="BK100" s="115"/>
      <c r="BL100" s="115"/>
      <c r="BM100" s="115"/>
      <c r="BN100" s="119"/>
      <c r="BO100" s="119"/>
      <c r="BP100" s="119"/>
      <c r="BQ100" s="119"/>
      <c r="BR100" s="119"/>
      <c r="BS100" s="119"/>
      <c r="BT100" s="119"/>
      <c r="BU100" s="119"/>
      <c r="BV100" s="119"/>
      <c r="BW100" s="119"/>
      <c r="BX100" s="119"/>
      <c r="BY100" s="119"/>
      <c r="BZ100" s="119"/>
      <c r="CA100" s="119"/>
      <c r="CB100" s="115"/>
      <c r="CC100" s="115"/>
      <c r="CD100" s="115"/>
      <c r="CE100" s="115"/>
      <c r="CF100" s="115"/>
      <c r="CG100" s="115"/>
      <c r="CH100" s="115"/>
      <c r="CI100" s="115"/>
      <c r="CJ100" s="115"/>
      <c r="CK100" s="115"/>
    </row>
    <row r="101" spans="1:89" s="4" customFormat="1" ht="72">
      <c r="A101" s="443"/>
      <c r="B101" s="477"/>
      <c r="C101" s="479" t="s">
        <v>227</v>
      </c>
      <c r="D101" s="482" t="s">
        <v>226</v>
      </c>
      <c r="E101" s="316">
        <v>0.05</v>
      </c>
      <c r="F101" s="316">
        <v>0.2</v>
      </c>
      <c r="G101" s="316">
        <v>0.25</v>
      </c>
      <c r="H101" s="316">
        <v>0.2</v>
      </c>
      <c r="I101" s="316">
        <v>0.2</v>
      </c>
      <c r="J101" s="316">
        <v>0.1</v>
      </c>
      <c r="K101" s="335"/>
      <c r="L101" s="335"/>
      <c r="M101" s="335"/>
      <c r="N101" s="335"/>
      <c r="O101" s="335"/>
      <c r="P101" s="335"/>
      <c r="Q101" s="335"/>
      <c r="R101" s="335"/>
      <c r="S101" s="335"/>
      <c r="T101" s="335"/>
      <c r="U101" s="335"/>
      <c r="V101" s="335"/>
      <c r="W101" s="335"/>
      <c r="X101" s="335"/>
      <c r="Y101" s="335"/>
      <c r="Z101" s="335"/>
      <c r="AA101" s="335"/>
      <c r="AB101" s="335"/>
      <c r="AC101" s="335"/>
      <c r="AD101" s="335"/>
      <c r="AE101" s="335"/>
      <c r="AF101" s="335"/>
      <c r="AG101" s="335"/>
      <c r="AH101" s="335"/>
      <c r="AI101" s="335"/>
      <c r="AJ101" s="335"/>
      <c r="AK101" s="335"/>
      <c r="AL101" s="335"/>
      <c r="AM101" s="314" t="s">
        <v>58</v>
      </c>
      <c r="AN101" s="100" t="s">
        <v>72</v>
      </c>
      <c r="AO101" s="128" t="s">
        <v>299</v>
      </c>
      <c r="AP101" s="373">
        <v>0.15</v>
      </c>
      <c r="AQ101" s="373">
        <v>0.4</v>
      </c>
      <c r="AR101" s="373">
        <v>0.45</v>
      </c>
      <c r="AS101" s="378">
        <v>16000000</v>
      </c>
      <c r="AT101" s="409"/>
      <c r="AU101" s="417">
        <v>12500000</v>
      </c>
      <c r="AV101" s="411"/>
      <c r="AW101" s="417">
        <v>12500000</v>
      </c>
      <c r="AX101" s="411"/>
      <c r="AY101" s="376">
        <f>AU101+AW101+AS101</f>
        <v>41000000</v>
      </c>
      <c r="AZ101" s="357"/>
      <c r="BA101" s="335">
        <f>SUM(AY101:AY103)</f>
        <v>82000000</v>
      </c>
      <c r="BB101" s="335"/>
      <c r="BC101" s="335"/>
      <c r="BD101" s="335"/>
      <c r="BE101" s="335"/>
      <c r="BF101" s="335"/>
      <c r="BG101" s="335"/>
      <c r="BH101" s="335"/>
      <c r="BI101" s="335"/>
      <c r="BJ101" s="335"/>
      <c r="BK101" s="335"/>
      <c r="BL101" s="335"/>
      <c r="BM101" s="335"/>
      <c r="BN101" s="335">
        <f>SUM(BC101:BM103)</f>
        <v>0</v>
      </c>
      <c r="BO101" s="335">
        <f>BN101+BB101</f>
        <v>0</v>
      </c>
      <c r="BP101" s="335"/>
      <c r="BQ101" s="335"/>
      <c r="BR101" s="335"/>
      <c r="BS101" s="335"/>
      <c r="BT101" s="335"/>
      <c r="BU101" s="335"/>
      <c r="BV101" s="335">
        <f>SUM(BQ101:BU103)</f>
        <v>0</v>
      </c>
      <c r="BW101" s="335">
        <f>BV101+BP101</f>
        <v>0</v>
      </c>
      <c r="BX101" s="335"/>
      <c r="BY101" s="335"/>
      <c r="BZ101" s="335"/>
      <c r="CA101" s="335"/>
      <c r="CB101" s="335">
        <f>SUM(BY101:CA103)</f>
        <v>0</v>
      </c>
      <c r="CC101" s="335">
        <f>CB101+BX101</f>
        <v>0</v>
      </c>
      <c r="CD101" s="335"/>
      <c r="CE101" s="335"/>
      <c r="CF101" s="335"/>
      <c r="CG101" s="335">
        <f>SUM(CE101:CF103)</f>
        <v>0</v>
      </c>
      <c r="CH101" s="335">
        <f>CG101+CD101</f>
        <v>0</v>
      </c>
      <c r="CI101" s="335"/>
      <c r="CJ101" s="335">
        <f>CH101+CC101+BW101+BO101+CI101</f>
        <v>0</v>
      </c>
      <c r="CK101" s="335"/>
    </row>
    <row r="102" spans="1:89" s="4" customFormat="1" ht="36">
      <c r="A102" s="443"/>
      <c r="B102" s="477"/>
      <c r="C102" s="480"/>
      <c r="D102" s="483"/>
      <c r="E102" s="317"/>
      <c r="F102" s="317"/>
      <c r="G102" s="317"/>
      <c r="H102" s="317"/>
      <c r="I102" s="317"/>
      <c r="J102" s="317"/>
      <c r="K102" s="335"/>
      <c r="L102" s="335"/>
      <c r="M102" s="335"/>
      <c r="N102" s="335"/>
      <c r="O102" s="335"/>
      <c r="P102" s="335"/>
      <c r="Q102" s="335"/>
      <c r="R102" s="335"/>
      <c r="S102" s="335"/>
      <c r="T102" s="335"/>
      <c r="U102" s="335"/>
      <c r="V102" s="335"/>
      <c r="W102" s="335"/>
      <c r="X102" s="335"/>
      <c r="Y102" s="335"/>
      <c r="Z102" s="335"/>
      <c r="AA102" s="335"/>
      <c r="AB102" s="335"/>
      <c r="AC102" s="335"/>
      <c r="AD102" s="335"/>
      <c r="AE102" s="335"/>
      <c r="AF102" s="335"/>
      <c r="AG102" s="335"/>
      <c r="AH102" s="335"/>
      <c r="AI102" s="335"/>
      <c r="AJ102" s="335"/>
      <c r="AK102" s="335"/>
      <c r="AL102" s="335"/>
      <c r="AM102" s="320"/>
      <c r="AN102" s="100" t="s">
        <v>40</v>
      </c>
      <c r="AO102" s="128" t="s">
        <v>300</v>
      </c>
      <c r="AP102" s="374"/>
      <c r="AQ102" s="374"/>
      <c r="AR102" s="374"/>
      <c r="AS102" s="378"/>
      <c r="AT102" s="410"/>
      <c r="AU102" s="417"/>
      <c r="AV102" s="412"/>
      <c r="AW102" s="417"/>
      <c r="AX102" s="412"/>
      <c r="AY102" s="377"/>
      <c r="AZ102" s="359"/>
      <c r="BA102" s="335"/>
      <c r="BB102" s="335"/>
      <c r="BC102" s="335"/>
      <c r="BD102" s="335"/>
      <c r="BE102" s="335"/>
      <c r="BF102" s="335"/>
      <c r="BG102" s="335"/>
      <c r="BH102" s="335"/>
      <c r="BI102" s="335"/>
      <c r="BJ102" s="335"/>
      <c r="BK102" s="335"/>
      <c r="BL102" s="335"/>
      <c r="BM102" s="335"/>
      <c r="BN102" s="335"/>
      <c r="BO102" s="335"/>
      <c r="BP102" s="335"/>
      <c r="BQ102" s="335"/>
      <c r="BR102" s="335"/>
      <c r="BS102" s="335"/>
      <c r="BT102" s="335"/>
      <c r="BU102" s="335"/>
      <c r="BV102" s="335"/>
      <c r="BW102" s="335"/>
      <c r="BX102" s="335"/>
      <c r="BY102" s="335"/>
      <c r="BZ102" s="335"/>
      <c r="CA102" s="335"/>
      <c r="CB102" s="335"/>
      <c r="CC102" s="335"/>
      <c r="CD102" s="335"/>
      <c r="CE102" s="335"/>
      <c r="CF102" s="335"/>
      <c r="CG102" s="335"/>
      <c r="CH102" s="335"/>
      <c r="CI102" s="335"/>
      <c r="CJ102" s="335"/>
      <c r="CK102" s="335"/>
    </row>
    <row r="103" spans="1:89" s="4" customFormat="1" ht="72">
      <c r="A103" s="443"/>
      <c r="B103" s="477"/>
      <c r="C103" s="480"/>
      <c r="D103" s="483"/>
      <c r="E103" s="317"/>
      <c r="F103" s="317"/>
      <c r="G103" s="317"/>
      <c r="H103" s="317"/>
      <c r="I103" s="317"/>
      <c r="J103" s="317"/>
      <c r="K103" s="335"/>
      <c r="L103" s="335"/>
      <c r="M103" s="335"/>
      <c r="N103" s="335"/>
      <c r="O103" s="335"/>
      <c r="P103" s="335"/>
      <c r="Q103" s="335"/>
      <c r="R103" s="335"/>
      <c r="S103" s="335"/>
      <c r="T103" s="335"/>
      <c r="U103" s="335"/>
      <c r="V103" s="335"/>
      <c r="W103" s="335"/>
      <c r="X103" s="335"/>
      <c r="Y103" s="335"/>
      <c r="Z103" s="335"/>
      <c r="AA103" s="335"/>
      <c r="AB103" s="335"/>
      <c r="AC103" s="335"/>
      <c r="AD103" s="335"/>
      <c r="AE103" s="335"/>
      <c r="AF103" s="335"/>
      <c r="AG103" s="335"/>
      <c r="AH103" s="335"/>
      <c r="AI103" s="335"/>
      <c r="AJ103" s="335"/>
      <c r="AK103" s="335"/>
      <c r="AL103" s="335"/>
      <c r="AM103" s="320"/>
      <c r="AN103" s="314" t="s">
        <v>98</v>
      </c>
      <c r="AO103" s="128" t="s">
        <v>301</v>
      </c>
      <c r="AP103" s="374"/>
      <c r="AQ103" s="374"/>
      <c r="AR103" s="374"/>
      <c r="AS103" s="76">
        <v>16000000</v>
      </c>
      <c r="AT103" s="144"/>
      <c r="AU103" s="83">
        <v>12500000</v>
      </c>
      <c r="AV103" s="81"/>
      <c r="AW103" s="83">
        <v>12500000</v>
      </c>
      <c r="AX103" s="81"/>
      <c r="AY103" s="74">
        <f>AU103+AW103+AS103</f>
        <v>41000000</v>
      </c>
      <c r="AZ103" s="358"/>
      <c r="BA103" s="335"/>
      <c r="BB103" s="335"/>
      <c r="BC103" s="335"/>
      <c r="BD103" s="335"/>
      <c r="BE103" s="335"/>
      <c r="BF103" s="335"/>
      <c r="BG103" s="335"/>
      <c r="BH103" s="335"/>
      <c r="BI103" s="335"/>
      <c r="BJ103" s="335"/>
      <c r="BK103" s="335"/>
      <c r="BL103" s="335"/>
      <c r="BM103" s="335"/>
      <c r="BN103" s="335"/>
      <c r="BO103" s="335"/>
      <c r="BP103" s="335"/>
      <c r="BQ103" s="335"/>
      <c r="BR103" s="335"/>
      <c r="BS103" s="335"/>
      <c r="BT103" s="335"/>
      <c r="BU103" s="335"/>
      <c r="BV103" s="335"/>
      <c r="BW103" s="335"/>
      <c r="BX103" s="335"/>
      <c r="BY103" s="335"/>
      <c r="BZ103" s="335"/>
      <c r="CA103" s="335"/>
      <c r="CB103" s="335"/>
      <c r="CC103" s="335"/>
      <c r="CD103" s="335"/>
      <c r="CE103" s="335"/>
      <c r="CF103" s="335"/>
      <c r="CG103" s="335"/>
      <c r="CH103" s="335"/>
      <c r="CI103" s="335"/>
      <c r="CJ103" s="335"/>
      <c r="CK103" s="335"/>
    </row>
    <row r="104" spans="1:89" s="4" customFormat="1" ht="36">
      <c r="A104" s="443"/>
      <c r="B104" s="477"/>
      <c r="C104" s="480"/>
      <c r="D104" s="484"/>
      <c r="E104" s="318"/>
      <c r="F104" s="318"/>
      <c r="G104" s="318"/>
      <c r="H104" s="318"/>
      <c r="I104" s="318"/>
      <c r="J104" s="318"/>
      <c r="K104" s="335"/>
      <c r="L104" s="335"/>
      <c r="M104" s="335"/>
      <c r="N104" s="335"/>
      <c r="O104" s="335"/>
      <c r="P104" s="335"/>
      <c r="Q104" s="335"/>
      <c r="R104" s="335"/>
      <c r="S104" s="335"/>
      <c r="T104" s="335"/>
      <c r="U104" s="335"/>
      <c r="V104" s="335"/>
      <c r="W104" s="335"/>
      <c r="X104" s="335"/>
      <c r="Y104" s="335"/>
      <c r="Z104" s="335"/>
      <c r="AA104" s="335"/>
      <c r="AB104" s="335"/>
      <c r="AC104" s="335"/>
      <c r="AD104" s="335"/>
      <c r="AE104" s="335"/>
      <c r="AF104" s="335"/>
      <c r="AG104" s="335"/>
      <c r="AH104" s="335"/>
      <c r="AI104" s="335"/>
      <c r="AJ104" s="335"/>
      <c r="AK104" s="335"/>
      <c r="AL104" s="335"/>
      <c r="AM104" s="315"/>
      <c r="AN104" s="315"/>
      <c r="AO104" s="128" t="s">
        <v>302</v>
      </c>
      <c r="AP104" s="375"/>
      <c r="AQ104" s="375"/>
      <c r="AR104" s="375"/>
      <c r="AS104" s="76"/>
      <c r="AT104" s="144"/>
      <c r="AU104" s="130"/>
      <c r="AV104" s="81"/>
      <c r="AW104" s="130"/>
      <c r="AX104" s="81"/>
      <c r="AY104" s="74"/>
      <c r="AZ104" s="114"/>
      <c r="BA104" s="119"/>
      <c r="BB104" s="119"/>
      <c r="BC104" s="119"/>
      <c r="BD104" s="119"/>
      <c r="BE104" s="119"/>
      <c r="BF104" s="119"/>
      <c r="BG104" s="119"/>
      <c r="BH104" s="119"/>
      <c r="BI104" s="119"/>
      <c r="BJ104" s="119"/>
      <c r="BK104" s="119"/>
      <c r="BL104" s="119"/>
      <c r="BM104" s="119"/>
      <c r="BN104" s="119"/>
      <c r="BO104" s="119"/>
      <c r="BP104" s="119"/>
      <c r="BQ104" s="119"/>
      <c r="BR104" s="119"/>
      <c r="BS104" s="119"/>
      <c r="BT104" s="119"/>
      <c r="BU104" s="119"/>
      <c r="BV104" s="119"/>
      <c r="BW104" s="119"/>
      <c r="BX104" s="119"/>
      <c r="BY104" s="119"/>
      <c r="BZ104" s="119"/>
      <c r="CA104" s="119"/>
      <c r="CB104" s="119"/>
      <c r="CC104" s="119"/>
      <c r="CD104" s="119"/>
      <c r="CE104" s="119"/>
      <c r="CF104" s="119"/>
      <c r="CG104" s="119"/>
      <c r="CH104" s="119"/>
      <c r="CI104" s="119"/>
      <c r="CJ104" s="119"/>
      <c r="CK104" s="119"/>
    </row>
    <row r="105" spans="1:89" s="4" customFormat="1" ht="48">
      <c r="A105" s="443"/>
      <c r="B105" s="477"/>
      <c r="C105" s="480"/>
      <c r="D105" s="482" t="s">
        <v>228</v>
      </c>
      <c r="E105" s="316">
        <v>0.05</v>
      </c>
      <c r="F105" s="316">
        <v>0.1</v>
      </c>
      <c r="G105" s="316">
        <v>0.35</v>
      </c>
      <c r="H105" s="316">
        <v>0.3</v>
      </c>
      <c r="I105" s="316">
        <v>0.1</v>
      </c>
      <c r="J105" s="316">
        <v>0.1</v>
      </c>
      <c r="K105" s="335"/>
      <c r="L105" s="335"/>
      <c r="M105" s="335"/>
      <c r="N105" s="335"/>
      <c r="O105" s="335"/>
      <c r="P105" s="335"/>
      <c r="Q105" s="335"/>
      <c r="R105" s="335"/>
      <c r="S105" s="335"/>
      <c r="T105" s="335"/>
      <c r="U105" s="335"/>
      <c r="V105" s="335"/>
      <c r="W105" s="335"/>
      <c r="X105" s="335"/>
      <c r="Y105" s="335"/>
      <c r="Z105" s="335"/>
      <c r="AA105" s="335"/>
      <c r="AB105" s="335"/>
      <c r="AC105" s="335"/>
      <c r="AD105" s="335"/>
      <c r="AE105" s="335"/>
      <c r="AF105" s="335"/>
      <c r="AG105" s="335"/>
      <c r="AH105" s="335"/>
      <c r="AI105" s="335"/>
      <c r="AJ105" s="335"/>
      <c r="AK105" s="335"/>
      <c r="AL105" s="335"/>
      <c r="AM105" s="314" t="s">
        <v>57</v>
      </c>
      <c r="AN105" s="101" t="s">
        <v>174</v>
      </c>
      <c r="AO105" s="174" t="s">
        <v>303</v>
      </c>
      <c r="AP105" s="342">
        <v>0.26</v>
      </c>
      <c r="AQ105" s="342">
        <v>0.37</v>
      </c>
      <c r="AR105" s="342">
        <v>0.37</v>
      </c>
      <c r="AS105" s="76">
        <v>1000000</v>
      </c>
      <c r="AT105" s="146"/>
      <c r="AU105" s="83">
        <v>1500000</v>
      </c>
      <c r="AV105" s="84"/>
      <c r="AW105" s="83">
        <v>2000000</v>
      </c>
      <c r="AX105" s="78"/>
      <c r="AY105" s="74">
        <f>AU105+AW105+AS105</f>
        <v>4500000</v>
      </c>
      <c r="AZ105" s="357"/>
      <c r="BA105" s="335">
        <f>SUM(AY105:AY107)</f>
        <v>33048000</v>
      </c>
      <c r="BB105" s="335"/>
      <c r="BC105" s="335"/>
      <c r="BD105" s="335"/>
      <c r="BE105" s="335"/>
      <c r="BF105" s="335"/>
      <c r="BG105" s="335"/>
      <c r="BH105" s="335"/>
      <c r="BI105" s="335"/>
      <c r="BJ105" s="335"/>
      <c r="BK105" s="335"/>
      <c r="BL105" s="335"/>
      <c r="BM105" s="335"/>
      <c r="BN105" s="335">
        <f>SUM(BC105:BM107)</f>
        <v>0</v>
      </c>
      <c r="BO105" s="335">
        <f>BN105+BB105</f>
        <v>0</v>
      </c>
      <c r="BP105" s="335"/>
      <c r="BQ105" s="335"/>
      <c r="BR105" s="335"/>
      <c r="BS105" s="335"/>
      <c r="BT105" s="335"/>
      <c r="BU105" s="335"/>
      <c r="BV105" s="335">
        <f>SUM(BQ105:BU107)</f>
        <v>0</v>
      </c>
      <c r="BW105" s="335">
        <f>BV105+BP105</f>
        <v>0</v>
      </c>
      <c r="BX105" s="335"/>
      <c r="BY105" s="335"/>
      <c r="BZ105" s="335"/>
      <c r="CA105" s="335"/>
      <c r="CB105" s="335">
        <f>SUM(BY105:CA107)</f>
        <v>0</v>
      </c>
      <c r="CC105" s="335">
        <f>CB105+BX105</f>
        <v>0</v>
      </c>
      <c r="CD105" s="335"/>
      <c r="CE105" s="335"/>
      <c r="CF105" s="335"/>
      <c r="CG105" s="335">
        <f>SUM(CE105:CF107)</f>
        <v>0</v>
      </c>
      <c r="CH105" s="335">
        <f>CG105+CD105</f>
        <v>0</v>
      </c>
      <c r="CI105" s="335"/>
      <c r="CJ105" s="335">
        <f>CH105+CC105+BW105+BO105+CI105</f>
        <v>0</v>
      </c>
      <c r="CK105" s="335"/>
    </row>
    <row r="106" spans="1:89" s="4" customFormat="1" ht="36">
      <c r="A106" s="443"/>
      <c r="B106" s="477"/>
      <c r="C106" s="480"/>
      <c r="D106" s="483"/>
      <c r="E106" s="317"/>
      <c r="F106" s="317"/>
      <c r="G106" s="317"/>
      <c r="H106" s="317"/>
      <c r="I106" s="317"/>
      <c r="J106" s="317"/>
      <c r="K106" s="335"/>
      <c r="L106" s="335"/>
      <c r="M106" s="335"/>
      <c r="N106" s="335"/>
      <c r="O106" s="335"/>
      <c r="P106" s="335"/>
      <c r="Q106" s="335"/>
      <c r="R106" s="335"/>
      <c r="S106" s="335"/>
      <c r="T106" s="335"/>
      <c r="U106" s="335"/>
      <c r="V106" s="335"/>
      <c r="W106" s="335"/>
      <c r="X106" s="335"/>
      <c r="Y106" s="335"/>
      <c r="Z106" s="335"/>
      <c r="AA106" s="335"/>
      <c r="AB106" s="335"/>
      <c r="AC106" s="335"/>
      <c r="AD106" s="335"/>
      <c r="AE106" s="335"/>
      <c r="AF106" s="335"/>
      <c r="AG106" s="335"/>
      <c r="AH106" s="335"/>
      <c r="AI106" s="335"/>
      <c r="AJ106" s="335"/>
      <c r="AK106" s="335"/>
      <c r="AL106" s="335"/>
      <c r="AM106" s="320"/>
      <c r="AN106" s="314" t="s">
        <v>175</v>
      </c>
      <c r="AO106" s="174" t="s">
        <v>304</v>
      </c>
      <c r="AP106" s="342"/>
      <c r="AQ106" s="342"/>
      <c r="AR106" s="342"/>
      <c r="AS106" s="76">
        <v>1000000</v>
      </c>
      <c r="AT106" s="146"/>
      <c r="AU106" s="83">
        <v>1500000</v>
      </c>
      <c r="AV106" s="84"/>
      <c r="AW106" s="83">
        <v>2000000</v>
      </c>
      <c r="AX106" s="78"/>
      <c r="AY106" s="74">
        <f>AU106+AW106+AS106</f>
        <v>4500000</v>
      </c>
      <c r="AZ106" s="359"/>
      <c r="BA106" s="335"/>
      <c r="BB106" s="335"/>
      <c r="BC106" s="335"/>
      <c r="BD106" s="335"/>
      <c r="BE106" s="335"/>
      <c r="BF106" s="335"/>
      <c r="BG106" s="335"/>
      <c r="BH106" s="335"/>
      <c r="BI106" s="335"/>
      <c r="BJ106" s="335"/>
      <c r="BK106" s="335"/>
      <c r="BL106" s="335"/>
      <c r="BM106" s="335"/>
      <c r="BN106" s="335"/>
      <c r="BO106" s="335"/>
      <c r="BP106" s="335"/>
      <c r="BQ106" s="335"/>
      <c r="BR106" s="335"/>
      <c r="BS106" s="335"/>
      <c r="BT106" s="335"/>
      <c r="BU106" s="335"/>
      <c r="BV106" s="335"/>
      <c r="BW106" s="335"/>
      <c r="BX106" s="335"/>
      <c r="BY106" s="335"/>
      <c r="BZ106" s="335"/>
      <c r="CA106" s="335"/>
      <c r="CB106" s="335"/>
      <c r="CC106" s="335"/>
      <c r="CD106" s="335"/>
      <c r="CE106" s="335"/>
      <c r="CF106" s="335"/>
      <c r="CG106" s="335"/>
      <c r="CH106" s="335"/>
      <c r="CI106" s="335"/>
      <c r="CJ106" s="335"/>
      <c r="CK106" s="335"/>
    </row>
    <row r="107" spans="1:89" s="4" customFormat="1" ht="24">
      <c r="A107" s="443"/>
      <c r="B107" s="477"/>
      <c r="C107" s="480"/>
      <c r="D107" s="483"/>
      <c r="E107" s="318"/>
      <c r="F107" s="318"/>
      <c r="G107" s="318"/>
      <c r="H107" s="318"/>
      <c r="I107" s="318"/>
      <c r="J107" s="318"/>
      <c r="K107" s="335"/>
      <c r="L107" s="335"/>
      <c r="M107" s="335"/>
      <c r="N107" s="335"/>
      <c r="O107" s="335"/>
      <c r="P107" s="335"/>
      <c r="Q107" s="335"/>
      <c r="R107" s="335"/>
      <c r="S107" s="335"/>
      <c r="T107" s="335"/>
      <c r="U107" s="335"/>
      <c r="V107" s="335"/>
      <c r="W107" s="335"/>
      <c r="X107" s="335"/>
      <c r="Y107" s="335"/>
      <c r="Z107" s="335"/>
      <c r="AA107" s="335"/>
      <c r="AB107" s="335"/>
      <c r="AC107" s="335"/>
      <c r="AD107" s="335"/>
      <c r="AE107" s="335"/>
      <c r="AF107" s="335"/>
      <c r="AG107" s="335"/>
      <c r="AH107" s="335"/>
      <c r="AI107" s="335"/>
      <c r="AJ107" s="335"/>
      <c r="AK107" s="335"/>
      <c r="AL107" s="335"/>
      <c r="AM107" s="315"/>
      <c r="AN107" s="315"/>
      <c r="AO107" s="175" t="s">
        <v>305</v>
      </c>
      <c r="AP107" s="342"/>
      <c r="AQ107" s="342"/>
      <c r="AR107" s="342"/>
      <c r="AS107" s="76">
        <v>12000000</v>
      </c>
      <c r="AT107" s="146"/>
      <c r="AU107" s="83">
        <v>6024000</v>
      </c>
      <c r="AV107" s="84"/>
      <c r="AW107" s="83">
        <v>6024000</v>
      </c>
      <c r="AX107" s="78"/>
      <c r="AY107" s="74">
        <f>AU107+AW107+AS107</f>
        <v>24048000</v>
      </c>
      <c r="AZ107" s="358"/>
      <c r="BA107" s="335"/>
      <c r="BB107" s="335"/>
      <c r="BC107" s="335"/>
      <c r="BD107" s="335"/>
      <c r="BE107" s="335"/>
      <c r="BF107" s="335"/>
      <c r="BG107" s="335"/>
      <c r="BH107" s="335"/>
      <c r="BI107" s="335"/>
      <c r="BJ107" s="335"/>
      <c r="BK107" s="335"/>
      <c r="BL107" s="335"/>
      <c r="BM107" s="335"/>
      <c r="BN107" s="335"/>
      <c r="BO107" s="335"/>
      <c r="BP107" s="335"/>
      <c r="BQ107" s="335"/>
      <c r="BR107" s="335"/>
      <c r="BS107" s="335"/>
      <c r="BT107" s="335"/>
      <c r="BU107" s="335"/>
      <c r="BV107" s="335"/>
      <c r="BW107" s="335"/>
      <c r="BX107" s="335"/>
      <c r="BY107" s="335"/>
      <c r="BZ107" s="335"/>
      <c r="CA107" s="335"/>
      <c r="CB107" s="335"/>
      <c r="CC107" s="335"/>
      <c r="CD107" s="335"/>
      <c r="CE107" s="335"/>
      <c r="CF107" s="335"/>
      <c r="CG107" s="335"/>
      <c r="CH107" s="335"/>
      <c r="CI107" s="335"/>
      <c r="CJ107" s="335"/>
      <c r="CK107" s="335"/>
    </row>
    <row r="108" spans="1:89" s="4" customFormat="1">
      <c r="A108" s="443"/>
      <c r="B108" s="477"/>
      <c r="C108" s="480"/>
      <c r="D108" s="483"/>
      <c r="E108" s="316">
        <v>0.05</v>
      </c>
      <c r="F108" s="316">
        <v>0.05</v>
      </c>
      <c r="G108" s="316">
        <v>0.4</v>
      </c>
      <c r="H108" s="316">
        <v>0.05</v>
      </c>
      <c r="I108" s="316">
        <v>0.4</v>
      </c>
      <c r="J108" s="316">
        <v>0.05</v>
      </c>
      <c r="K108" s="335"/>
      <c r="L108" s="335"/>
      <c r="M108" s="335"/>
      <c r="N108" s="335"/>
      <c r="O108" s="335"/>
      <c r="P108" s="335"/>
      <c r="Q108" s="335"/>
      <c r="R108" s="335"/>
      <c r="S108" s="335"/>
      <c r="T108" s="335"/>
      <c r="U108" s="335"/>
      <c r="V108" s="335"/>
      <c r="W108" s="335"/>
      <c r="X108" s="335"/>
      <c r="Y108" s="335"/>
      <c r="Z108" s="335"/>
      <c r="AA108" s="335"/>
      <c r="AB108" s="335"/>
      <c r="AC108" s="335"/>
      <c r="AD108" s="335"/>
      <c r="AE108" s="335"/>
      <c r="AF108" s="335"/>
      <c r="AG108" s="335"/>
      <c r="AH108" s="335"/>
      <c r="AI108" s="335"/>
      <c r="AJ108" s="335"/>
      <c r="AK108" s="335"/>
      <c r="AL108" s="335"/>
      <c r="AM108" s="349" t="s">
        <v>27</v>
      </c>
      <c r="AN108" s="314" t="s">
        <v>73</v>
      </c>
      <c r="AP108" s="342"/>
      <c r="AQ108" s="342"/>
      <c r="AR108" s="342"/>
      <c r="AS108" s="367">
        <v>14862816</v>
      </c>
      <c r="AT108" s="367"/>
      <c r="AU108" s="357">
        <v>12664501</v>
      </c>
      <c r="AV108" s="357"/>
      <c r="AW108" s="357">
        <v>11010435</v>
      </c>
      <c r="AX108" s="357"/>
      <c r="AY108" s="405">
        <f>AU108+AW108+AS108</f>
        <v>38537752</v>
      </c>
      <c r="AZ108" s="357"/>
      <c r="BA108" s="357">
        <f>SUM(AY108:AY110)</f>
        <v>38537752</v>
      </c>
      <c r="BB108" s="357"/>
      <c r="BC108" s="357"/>
      <c r="BD108" s="357"/>
      <c r="BE108" s="357"/>
      <c r="BF108" s="357"/>
      <c r="BG108" s="357"/>
      <c r="BH108" s="357"/>
      <c r="BI108" s="357"/>
      <c r="BJ108" s="357"/>
      <c r="BK108" s="357"/>
      <c r="BL108" s="357"/>
      <c r="BM108" s="357"/>
      <c r="BN108" s="70">
        <f>SUM(BC108:BM108)</f>
        <v>0</v>
      </c>
      <c r="BO108" s="70">
        <f>BN108+BB108</f>
        <v>0</v>
      </c>
      <c r="BP108" s="70"/>
      <c r="BQ108" s="70"/>
      <c r="BR108" s="70"/>
      <c r="BS108" s="70"/>
      <c r="BT108" s="70"/>
      <c r="BU108" s="70"/>
      <c r="BV108" s="70">
        <f>SUM(BQ108:BU108)</f>
        <v>0</v>
      </c>
      <c r="BW108" s="70">
        <f>BV108+BP108</f>
        <v>0</v>
      </c>
      <c r="BX108" s="70"/>
      <c r="BY108" s="70"/>
      <c r="BZ108" s="70"/>
      <c r="CA108" s="70"/>
      <c r="CB108" s="70">
        <f>SUM(BY108:CA108)</f>
        <v>0</v>
      </c>
      <c r="CC108" s="70">
        <f>CB108+BX108</f>
        <v>0</v>
      </c>
      <c r="CD108" s="70"/>
      <c r="CE108" s="70"/>
      <c r="CF108" s="70"/>
      <c r="CG108" s="70">
        <f>SUM(CE108:CF108)</f>
        <v>0</v>
      </c>
      <c r="CH108" s="70">
        <f>CG108+CD108</f>
        <v>0</v>
      </c>
      <c r="CI108" s="95"/>
      <c r="CJ108" s="70">
        <f>CH108+CC108+BW108+BO108+CI108</f>
        <v>0</v>
      </c>
      <c r="CK108" s="70"/>
    </row>
    <row r="109" spans="1:89" s="4" customFormat="1">
      <c r="A109" s="443"/>
      <c r="B109" s="477"/>
      <c r="C109" s="480"/>
      <c r="D109" s="483"/>
      <c r="E109" s="317"/>
      <c r="F109" s="317"/>
      <c r="G109" s="317"/>
      <c r="H109" s="317"/>
      <c r="I109" s="317"/>
      <c r="J109" s="317"/>
      <c r="K109" s="335"/>
      <c r="L109" s="335"/>
      <c r="M109" s="335"/>
      <c r="N109" s="335"/>
      <c r="O109" s="335"/>
      <c r="P109" s="335"/>
      <c r="Q109" s="335"/>
      <c r="R109" s="335"/>
      <c r="S109" s="335"/>
      <c r="T109" s="335"/>
      <c r="U109" s="335"/>
      <c r="V109" s="335"/>
      <c r="W109" s="335"/>
      <c r="X109" s="335"/>
      <c r="Y109" s="335"/>
      <c r="Z109" s="335"/>
      <c r="AA109" s="335"/>
      <c r="AB109" s="335"/>
      <c r="AC109" s="335"/>
      <c r="AD109" s="335"/>
      <c r="AE109" s="335"/>
      <c r="AF109" s="335"/>
      <c r="AG109" s="335"/>
      <c r="AH109" s="335"/>
      <c r="AI109" s="335"/>
      <c r="AJ109" s="335"/>
      <c r="AK109" s="335"/>
      <c r="AL109" s="335"/>
      <c r="AM109" s="350"/>
      <c r="AN109" s="320"/>
      <c r="AO109" s="175"/>
      <c r="AP109" s="342"/>
      <c r="AQ109" s="342"/>
      <c r="AR109" s="342"/>
      <c r="AS109" s="368"/>
      <c r="AT109" s="368"/>
      <c r="AU109" s="359"/>
      <c r="AV109" s="359"/>
      <c r="AW109" s="359"/>
      <c r="AX109" s="359"/>
      <c r="AY109" s="408"/>
      <c r="AZ109" s="359"/>
      <c r="BA109" s="359"/>
      <c r="BB109" s="359"/>
      <c r="BC109" s="359"/>
      <c r="BD109" s="359"/>
      <c r="BE109" s="359"/>
      <c r="BF109" s="359"/>
      <c r="BG109" s="359"/>
      <c r="BH109" s="359"/>
      <c r="BI109" s="359"/>
      <c r="BJ109" s="359"/>
      <c r="BK109" s="359"/>
      <c r="BL109" s="359"/>
      <c r="BM109" s="359"/>
      <c r="BN109" s="26">
        <f>SUM(BC109:BM109)</f>
        <v>0</v>
      </c>
      <c r="BO109" s="26">
        <f>BN109+BB109</f>
        <v>0</v>
      </c>
      <c r="BP109" s="39"/>
      <c r="BQ109" s="37"/>
      <c r="BR109" s="37"/>
      <c r="BS109" s="37"/>
      <c r="BT109" s="37"/>
      <c r="BU109" s="37"/>
      <c r="BV109" s="26">
        <f>SUM(BQ109:BU109)</f>
        <v>0</v>
      </c>
      <c r="BW109" s="26">
        <f>BV109+BP109</f>
        <v>0</v>
      </c>
      <c r="BX109" s="58">
        <v>45000000</v>
      </c>
      <c r="BY109" s="37"/>
      <c r="BZ109" s="37"/>
      <c r="CA109" s="37"/>
      <c r="CB109" s="26">
        <f>SUM(BY109:CA109)</f>
        <v>0</v>
      </c>
      <c r="CC109" s="26">
        <f>CB109+BX109</f>
        <v>45000000</v>
      </c>
      <c r="CD109" s="66">
        <v>174000000</v>
      </c>
      <c r="CE109" s="37"/>
      <c r="CF109" s="37">
        <v>300000000</v>
      </c>
      <c r="CG109" s="26">
        <f>SUM(CE109:CF109)</f>
        <v>300000000</v>
      </c>
      <c r="CH109" s="26">
        <f>CG109+CD109</f>
        <v>474000000</v>
      </c>
      <c r="CI109" s="95"/>
      <c r="CJ109" s="26">
        <f>CH109+CC109+BW109+BO109+CI109</f>
        <v>519000000</v>
      </c>
      <c r="CK109" s="26"/>
    </row>
    <row r="110" spans="1:89" s="4" customFormat="1">
      <c r="A110" s="443"/>
      <c r="B110" s="477"/>
      <c r="C110" s="481"/>
      <c r="D110" s="484"/>
      <c r="E110" s="318"/>
      <c r="F110" s="318"/>
      <c r="G110" s="318"/>
      <c r="H110" s="318"/>
      <c r="I110" s="318"/>
      <c r="J110" s="318"/>
      <c r="K110" s="335"/>
      <c r="L110" s="335"/>
      <c r="M110" s="335"/>
      <c r="N110" s="335"/>
      <c r="O110" s="335"/>
      <c r="P110" s="335"/>
      <c r="Q110" s="335"/>
      <c r="R110" s="335"/>
      <c r="S110" s="335"/>
      <c r="T110" s="335"/>
      <c r="U110" s="335"/>
      <c r="V110" s="335"/>
      <c r="W110" s="335"/>
      <c r="X110" s="335"/>
      <c r="Y110" s="335"/>
      <c r="Z110" s="335"/>
      <c r="AA110" s="335"/>
      <c r="AB110" s="335"/>
      <c r="AC110" s="335"/>
      <c r="AD110" s="335"/>
      <c r="AE110" s="335"/>
      <c r="AF110" s="335"/>
      <c r="AG110" s="335"/>
      <c r="AH110" s="335"/>
      <c r="AI110" s="335"/>
      <c r="AJ110" s="335"/>
      <c r="AK110" s="335"/>
      <c r="AL110" s="335"/>
      <c r="AM110" s="351"/>
      <c r="AN110" s="315"/>
      <c r="AO110" s="175"/>
      <c r="AP110" s="342"/>
      <c r="AQ110" s="342"/>
      <c r="AR110" s="342"/>
      <c r="AS110" s="369"/>
      <c r="AT110" s="369"/>
      <c r="AU110" s="358"/>
      <c r="AV110" s="358"/>
      <c r="AW110" s="358"/>
      <c r="AX110" s="358"/>
      <c r="AY110" s="406"/>
      <c r="AZ110" s="358"/>
      <c r="BA110" s="358"/>
      <c r="BB110" s="358"/>
      <c r="BC110" s="358"/>
      <c r="BD110" s="358"/>
      <c r="BE110" s="358"/>
      <c r="BF110" s="358"/>
      <c r="BG110" s="358"/>
      <c r="BH110" s="358"/>
      <c r="BI110" s="358"/>
      <c r="BJ110" s="358"/>
      <c r="BK110" s="358"/>
      <c r="BL110" s="358"/>
      <c r="BM110" s="358"/>
      <c r="BN110" s="26">
        <f>SUM(BC110:BM110)</f>
        <v>0</v>
      </c>
      <c r="BO110" s="26">
        <f>BN110+BB110</f>
        <v>0</v>
      </c>
      <c r="BP110" s="39"/>
      <c r="BQ110" s="37"/>
      <c r="BR110" s="37"/>
      <c r="BS110" s="37"/>
      <c r="BT110" s="37"/>
      <c r="BU110" s="37"/>
      <c r="BV110" s="26">
        <f>SUM(BQ110:BU110)</f>
        <v>0</v>
      </c>
      <c r="BW110" s="26">
        <f>BV110+BP110</f>
        <v>0</v>
      </c>
      <c r="BX110" s="58">
        <v>30000000</v>
      </c>
      <c r="BY110" s="37"/>
      <c r="BZ110" s="37"/>
      <c r="CA110" s="37"/>
      <c r="CB110" s="26">
        <f>SUM(BY110:CA110)</f>
        <v>0</v>
      </c>
      <c r="CC110" s="26">
        <f>CB110+BX110</f>
        <v>30000000</v>
      </c>
      <c r="CD110" s="66">
        <v>20000000</v>
      </c>
      <c r="CE110" s="37"/>
      <c r="CF110" s="37"/>
      <c r="CG110" s="26">
        <f>SUM(CE110:CF110)</f>
        <v>0</v>
      </c>
      <c r="CH110" s="26">
        <f>CG110+CD110</f>
        <v>20000000</v>
      </c>
      <c r="CI110" s="95"/>
      <c r="CJ110" s="26">
        <f>CH110+CC110+BW110+BO110+CI110</f>
        <v>50000000</v>
      </c>
      <c r="CK110" s="26"/>
    </row>
    <row r="111" spans="1:89" s="4" customFormat="1" ht="60">
      <c r="A111" s="443"/>
      <c r="B111" s="477"/>
      <c r="C111" s="438" t="s">
        <v>306</v>
      </c>
      <c r="D111" s="485" t="s">
        <v>307</v>
      </c>
      <c r="E111" s="316">
        <v>0.05</v>
      </c>
      <c r="F111" s="316">
        <v>0.3</v>
      </c>
      <c r="G111" s="316">
        <v>0.3</v>
      </c>
      <c r="H111" s="316">
        <v>0.2</v>
      </c>
      <c r="I111" s="316">
        <v>0.1</v>
      </c>
      <c r="J111" s="316">
        <v>0.05</v>
      </c>
      <c r="K111" s="335"/>
      <c r="L111" s="335"/>
      <c r="M111" s="335"/>
      <c r="N111" s="335"/>
      <c r="O111" s="335"/>
      <c r="P111" s="335"/>
      <c r="Q111" s="335"/>
      <c r="R111" s="335"/>
      <c r="S111" s="335"/>
      <c r="T111" s="335"/>
      <c r="U111" s="335"/>
      <c r="V111" s="335"/>
      <c r="W111" s="335"/>
      <c r="X111" s="335"/>
      <c r="Y111" s="335"/>
      <c r="Z111" s="335"/>
      <c r="AA111" s="335"/>
      <c r="AB111" s="335"/>
      <c r="AC111" s="335"/>
      <c r="AD111" s="335"/>
      <c r="AE111" s="335"/>
      <c r="AF111" s="335"/>
      <c r="AG111" s="335"/>
      <c r="AH111" s="335"/>
      <c r="AI111" s="335"/>
      <c r="AJ111" s="335"/>
      <c r="AK111" s="335"/>
      <c r="AL111" s="335"/>
      <c r="AM111" s="372" t="s">
        <v>27</v>
      </c>
      <c r="AN111" s="348" t="s">
        <v>70</v>
      </c>
      <c r="AO111" s="128" t="s">
        <v>308</v>
      </c>
      <c r="AP111" s="373">
        <v>0.2</v>
      </c>
      <c r="AQ111" s="373">
        <v>0.4</v>
      </c>
      <c r="AR111" s="373">
        <v>0.5</v>
      </c>
      <c r="AS111" s="378">
        <v>4000000</v>
      </c>
      <c r="AT111" s="409"/>
      <c r="AU111" s="515"/>
      <c r="AV111" s="411"/>
      <c r="AW111" s="515"/>
      <c r="AX111" s="411"/>
      <c r="AY111" s="376">
        <f>AU111+AW111+AS111</f>
        <v>4000000</v>
      </c>
      <c r="AZ111" s="357"/>
      <c r="BA111" s="335">
        <f>SUM(AY111:AY114)</f>
        <v>451158641</v>
      </c>
      <c r="BB111" s="335"/>
      <c r="BC111" s="335"/>
      <c r="BD111" s="335"/>
      <c r="BE111" s="335"/>
      <c r="BF111" s="335"/>
      <c r="BG111" s="335"/>
      <c r="BH111" s="335"/>
      <c r="BI111" s="335"/>
      <c r="BJ111" s="335"/>
      <c r="BK111" s="335"/>
      <c r="BL111" s="335"/>
      <c r="BM111" s="335"/>
      <c r="BN111" s="335">
        <f>SUM(BC111:BM114)</f>
        <v>0</v>
      </c>
      <c r="BO111" s="310">
        <f>BN111+BB111</f>
        <v>0</v>
      </c>
      <c r="BP111" s="335"/>
      <c r="BQ111" s="335"/>
      <c r="BR111" s="335"/>
      <c r="BS111" s="335"/>
      <c r="BT111" s="335"/>
      <c r="BU111" s="335"/>
      <c r="BV111" s="335">
        <f>SUM(BQ111:BU114)</f>
        <v>0</v>
      </c>
      <c r="BW111" s="310">
        <f>BV111+BP111</f>
        <v>0</v>
      </c>
      <c r="BX111" s="335"/>
      <c r="BY111" s="335"/>
      <c r="BZ111" s="335"/>
      <c r="CA111" s="335"/>
      <c r="CB111" s="335">
        <f>SUM(BY111:CA114)</f>
        <v>0</v>
      </c>
      <c r="CC111" s="310">
        <f>CB111+BX111</f>
        <v>0</v>
      </c>
      <c r="CD111" s="335"/>
      <c r="CE111" s="335"/>
      <c r="CF111" s="335"/>
      <c r="CG111" s="335">
        <f>SUM(CE111:CF114)</f>
        <v>0</v>
      </c>
      <c r="CH111" s="310">
        <f>CG111+CD111</f>
        <v>0</v>
      </c>
      <c r="CI111" s="335"/>
      <c r="CJ111" s="310">
        <f>CH111+CC111+BW111+BO111+CI111</f>
        <v>0</v>
      </c>
      <c r="CK111" s="310"/>
    </row>
    <row r="112" spans="1:89" s="4" customFormat="1" ht="36">
      <c r="A112" s="443"/>
      <c r="B112" s="477"/>
      <c r="C112" s="438"/>
      <c r="D112" s="485"/>
      <c r="E112" s="317"/>
      <c r="F112" s="317"/>
      <c r="G112" s="317"/>
      <c r="H112" s="317"/>
      <c r="I112" s="317"/>
      <c r="J112" s="317"/>
      <c r="K112" s="335"/>
      <c r="L112" s="335"/>
      <c r="M112" s="335"/>
      <c r="N112" s="335"/>
      <c r="O112" s="335"/>
      <c r="P112" s="335"/>
      <c r="Q112" s="335"/>
      <c r="R112" s="335"/>
      <c r="S112" s="335"/>
      <c r="T112" s="335"/>
      <c r="U112" s="335"/>
      <c r="V112" s="335"/>
      <c r="W112" s="335"/>
      <c r="X112" s="335"/>
      <c r="Y112" s="335"/>
      <c r="Z112" s="335"/>
      <c r="AA112" s="335"/>
      <c r="AB112" s="335"/>
      <c r="AC112" s="335"/>
      <c r="AD112" s="335"/>
      <c r="AE112" s="335"/>
      <c r="AF112" s="335"/>
      <c r="AG112" s="335"/>
      <c r="AH112" s="335"/>
      <c r="AI112" s="335"/>
      <c r="AJ112" s="335"/>
      <c r="AK112" s="335"/>
      <c r="AL112" s="335"/>
      <c r="AM112" s="372"/>
      <c r="AN112" s="348"/>
      <c r="AO112" s="128" t="s">
        <v>309</v>
      </c>
      <c r="AP112" s="320"/>
      <c r="AQ112" s="320"/>
      <c r="AR112" s="320"/>
      <c r="AS112" s="378"/>
      <c r="AT112" s="410"/>
      <c r="AU112" s="515"/>
      <c r="AV112" s="412"/>
      <c r="AW112" s="515"/>
      <c r="AX112" s="412"/>
      <c r="AY112" s="377"/>
      <c r="AZ112" s="359"/>
      <c r="BA112" s="335"/>
      <c r="BB112" s="335"/>
      <c r="BC112" s="335"/>
      <c r="BD112" s="335"/>
      <c r="BE112" s="335"/>
      <c r="BF112" s="335"/>
      <c r="BG112" s="335"/>
      <c r="BH112" s="335"/>
      <c r="BI112" s="335"/>
      <c r="BJ112" s="335"/>
      <c r="BK112" s="335"/>
      <c r="BL112" s="335"/>
      <c r="BM112" s="335"/>
      <c r="BN112" s="335"/>
      <c r="BO112" s="310"/>
      <c r="BP112" s="335"/>
      <c r="BQ112" s="335"/>
      <c r="BR112" s="335"/>
      <c r="BS112" s="335"/>
      <c r="BT112" s="335"/>
      <c r="BU112" s="335"/>
      <c r="BV112" s="335"/>
      <c r="BW112" s="310"/>
      <c r="BX112" s="335"/>
      <c r="BY112" s="335"/>
      <c r="BZ112" s="335"/>
      <c r="CA112" s="335"/>
      <c r="CB112" s="335"/>
      <c r="CC112" s="310"/>
      <c r="CD112" s="335"/>
      <c r="CE112" s="335"/>
      <c r="CF112" s="335"/>
      <c r="CG112" s="335"/>
      <c r="CH112" s="310"/>
      <c r="CI112" s="335"/>
      <c r="CJ112" s="310"/>
      <c r="CK112" s="310"/>
    </row>
    <row r="113" spans="1:89" s="4" customFormat="1" ht="36">
      <c r="A113" s="443"/>
      <c r="B113" s="477"/>
      <c r="C113" s="438"/>
      <c r="D113" s="485"/>
      <c r="E113" s="317"/>
      <c r="F113" s="317"/>
      <c r="G113" s="317"/>
      <c r="H113" s="317"/>
      <c r="I113" s="317"/>
      <c r="J113" s="317"/>
      <c r="K113" s="335"/>
      <c r="L113" s="335"/>
      <c r="M113" s="335"/>
      <c r="N113" s="335"/>
      <c r="O113" s="335"/>
      <c r="P113" s="335"/>
      <c r="Q113" s="335"/>
      <c r="R113" s="335"/>
      <c r="S113" s="335"/>
      <c r="T113" s="335"/>
      <c r="U113" s="335"/>
      <c r="V113" s="335"/>
      <c r="W113" s="335"/>
      <c r="X113" s="335"/>
      <c r="Y113" s="335"/>
      <c r="Z113" s="335"/>
      <c r="AA113" s="335"/>
      <c r="AB113" s="335"/>
      <c r="AC113" s="335"/>
      <c r="AD113" s="335"/>
      <c r="AE113" s="335"/>
      <c r="AF113" s="335"/>
      <c r="AG113" s="335"/>
      <c r="AH113" s="335"/>
      <c r="AI113" s="335"/>
      <c r="AJ113" s="335"/>
      <c r="AK113" s="335"/>
      <c r="AL113" s="335"/>
      <c r="AM113" s="372"/>
      <c r="AN113" s="348" t="s">
        <v>74</v>
      </c>
      <c r="AO113" s="128" t="s">
        <v>310</v>
      </c>
      <c r="AP113" s="320"/>
      <c r="AQ113" s="320"/>
      <c r="AR113" s="320"/>
      <c r="AS113" s="76">
        <v>10722816</v>
      </c>
      <c r="AT113" s="144"/>
      <c r="AU113" s="83">
        <v>7722816</v>
      </c>
      <c r="AV113" s="81"/>
      <c r="AW113" s="83">
        <v>5722816</v>
      </c>
      <c r="AX113" s="81"/>
      <c r="AY113" s="74">
        <f t="shared" ref="AY113:AY120" si="6">AU113+AW113+AS113</f>
        <v>24168448</v>
      </c>
      <c r="AZ113" s="359"/>
      <c r="BA113" s="335"/>
      <c r="BB113" s="335"/>
      <c r="BC113" s="335"/>
      <c r="BD113" s="335"/>
      <c r="BE113" s="335"/>
      <c r="BF113" s="335"/>
      <c r="BG113" s="335"/>
      <c r="BH113" s="335"/>
      <c r="BI113" s="335"/>
      <c r="BJ113" s="335"/>
      <c r="BK113" s="335"/>
      <c r="BL113" s="335"/>
      <c r="BM113" s="335"/>
      <c r="BN113" s="335"/>
      <c r="BO113" s="310"/>
      <c r="BP113" s="335"/>
      <c r="BQ113" s="335"/>
      <c r="BR113" s="335"/>
      <c r="BS113" s="335"/>
      <c r="BT113" s="335"/>
      <c r="BU113" s="335"/>
      <c r="BV113" s="335"/>
      <c r="BW113" s="310"/>
      <c r="BX113" s="335"/>
      <c r="BY113" s="335"/>
      <c r="BZ113" s="335"/>
      <c r="CA113" s="335"/>
      <c r="CB113" s="335"/>
      <c r="CC113" s="310"/>
      <c r="CD113" s="335"/>
      <c r="CE113" s="335"/>
      <c r="CF113" s="335"/>
      <c r="CG113" s="335"/>
      <c r="CH113" s="310"/>
      <c r="CI113" s="335"/>
      <c r="CJ113" s="310"/>
      <c r="CK113" s="310"/>
    </row>
    <row r="114" spans="1:89" s="4" customFormat="1" ht="24">
      <c r="A114" s="443"/>
      <c r="B114" s="477"/>
      <c r="C114" s="438"/>
      <c r="D114" s="485"/>
      <c r="E114" s="318"/>
      <c r="F114" s="318"/>
      <c r="G114" s="318"/>
      <c r="H114" s="318"/>
      <c r="I114" s="318"/>
      <c r="J114" s="318"/>
      <c r="K114" s="335"/>
      <c r="L114" s="335"/>
      <c r="M114" s="335"/>
      <c r="N114" s="335"/>
      <c r="O114" s="335"/>
      <c r="P114" s="335"/>
      <c r="Q114" s="335"/>
      <c r="R114" s="335"/>
      <c r="S114" s="335"/>
      <c r="T114" s="335"/>
      <c r="U114" s="335"/>
      <c r="V114" s="335"/>
      <c r="W114" s="335"/>
      <c r="X114" s="335"/>
      <c r="Y114" s="335"/>
      <c r="Z114" s="335"/>
      <c r="AA114" s="335"/>
      <c r="AB114" s="335"/>
      <c r="AC114" s="335"/>
      <c r="AD114" s="335"/>
      <c r="AE114" s="335"/>
      <c r="AF114" s="335"/>
      <c r="AG114" s="335"/>
      <c r="AH114" s="335"/>
      <c r="AI114" s="335"/>
      <c r="AJ114" s="335"/>
      <c r="AK114" s="335"/>
      <c r="AL114" s="335"/>
      <c r="AM114" s="372"/>
      <c r="AN114" s="348"/>
      <c r="AO114" s="128" t="s">
        <v>311</v>
      </c>
      <c r="AP114" s="315"/>
      <c r="AQ114" s="315"/>
      <c r="AR114" s="315"/>
      <c r="AS114" s="76">
        <v>189655077</v>
      </c>
      <c r="AT114" s="144"/>
      <c r="AU114" s="83">
        <v>124757491</v>
      </c>
      <c r="AV114" s="81"/>
      <c r="AW114" s="83">
        <v>108577625</v>
      </c>
      <c r="AX114" s="81"/>
      <c r="AY114" s="74">
        <f t="shared" si="6"/>
        <v>422990193</v>
      </c>
      <c r="AZ114" s="358"/>
      <c r="BA114" s="335"/>
      <c r="BB114" s="335"/>
      <c r="BC114" s="335"/>
      <c r="BD114" s="335"/>
      <c r="BE114" s="335"/>
      <c r="BF114" s="335"/>
      <c r="BG114" s="335"/>
      <c r="BH114" s="335"/>
      <c r="BI114" s="335"/>
      <c r="BJ114" s="335"/>
      <c r="BK114" s="335"/>
      <c r="BL114" s="335"/>
      <c r="BM114" s="335"/>
      <c r="BN114" s="335"/>
      <c r="BO114" s="310"/>
      <c r="BP114" s="335"/>
      <c r="BQ114" s="335"/>
      <c r="BR114" s="335"/>
      <c r="BS114" s="335"/>
      <c r="BT114" s="335"/>
      <c r="BU114" s="335"/>
      <c r="BV114" s="335"/>
      <c r="BW114" s="310"/>
      <c r="BX114" s="335"/>
      <c r="BY114" s="335"/>
      <c r="BZ114" s="335"/>
      <c r="CA114" s="335"/>
      <c r="CB114" s="335"/>
      <c r="CC114" s="310"/>
      <c r="CD114" s="335"/>
      <c r="CE114" s="335"/>
      <c r="CF114" s="335"/>
      <c r="CG114" s="335"/>
      <c r="CH114" s="310"/>
      <c r="CI114" s="335"/>
      <c r="CJ114" s="310"/>
      <c r="CK114" s="310"/>
    </row>
    <row r="115" spans="1:89" s="8" customFormat="1" ht="84">
      <c r="A115" s="443"/>
      <c r="B115" s="477"/>
      <c r="C115" s="438"/>
      <c r="D115" s="388" t="s">
        <v>312</v>
      </c>
      <c r="E115" s="316">
        <v>0.05</v>
      </c>
      <c r="F115" s="316">
        <v>0.2</v>
      </c>
      <c r="G115" s="316">
        <v>0.2</v>
      </c>
      <c r="H115" s="316">
        <v>0.25</v>
      </c>
      <c r="I115" s="316">
        <v>0.2</v>
      </c>
      <c r="J115" s="316">
        <v>0.1</v>
      </c>
      <c r="K115" s="335"/>
      <c r="L115" s="335"/>
      <c r="M115" s="335"/>
      <c r="N115" s="335"/>
      <c r="O115" s="335"/>
      <c r="P115" s="335"/>
      <c r="Q115" s="335"/>
      <c r="R115" s="335"/>
      <c r="S115" s="335"/>
      <c r="T115" s="335"/>
      <c r="U115" s="335"/>
      <c r="V115" s="335"/>
      <c r="W115" s="335"/>
      <c r="X115" s="335"/>
      <c r="Y115" s="335"/>
      <c r="Z115" s="335"/>
      <c r="AA115" s="335"/>
      <c r="AB115" s="335"/>
      <c r="AC115" s="335"/>
      <c r="AD115" s="335"/>
      <c r="AE115" s="335"/>
      <c r="AF115" s="335"/>
      <c r="AG115" s="335"/>
      <c r="AH115" s="335"/>
      <c r="AI115" s="335"/>
      <c r="AJ115" s="335"/>
      <c r="AK115" s="335"/>
      <c r="AL115" s="335"/>
      <c r="AM115" s="316" t="s">
        <v>59</v>
      </c>
      <c r="AN115" s="97" t="s">
        <v>41</v>
      </c>
      <c r="AO115" s="127" t="s">
        <v>313</v>
      </c>
      <c r="AP115" s="343">
        <v>0.2</v>
      </c>
      <c r="AQ115" s="343">
        <v>0.6</v>
      </c>
      <c r="AR115" s="343">
        <v>0.2</v>
      </c>
      <c r="AS115" s="76">
        <v>9445632</v>
      </c>
      <c r="AT115" s="146"/>
      <c r="AU115" s="51"/>
      <c r="AV115" s="85"/>
      <c r="AW115" s="51"/>
      <c r="AX115" s="80"/>
      <c r="AY115" s="74">
        <f t="shared" si="6"/>
        <v>9445632</v>
      </c>
      <c r="AZ115" s="357"/>
      <c r="BA115" s="335">
        <f>SUM(AY115:AY117)</f>
        <v>233639390</v>
      </c>
      <c r="BB115" s="335"/>
      <c r="BC115" s="335"/>
      <c r="BD115" s="335"/>
      <c r="BE115" s="335"/>
      <c r="BF115" s="335"/>
      <c r="BG115" s="335"/>
      <c r="BH115" s="335"/>
      <c r="BI115" s="335"/>
      <c r="BJ115" s="335"/>
      <c r="BK115" s="335"/>
      <c r="BL115" s="335"/>
      <c r="BM115" s="335"/>
      <c r="BN115" s="335">
        <f>SUM(BC115:BM117)</f>
        <v>0</v>
      </c>
      <c r="BO115" s="335">
        <f>BN115+BB115</f>
        <v>0</v>
      </c>
      <c r="BP115" s="335"/>
      <c r="BQ115" s="335"/>
      <c r="BR115" s="335"/>
      <c r="BS115" s="335"/>
      <c r="BT115" s="335"/>
      <c r="BU115" s="335"/>
      <c r="BV115" s="335">
        <f>SUM(BQ115:BU117)</f>
        <v>0</v>
      </c>
      <c r="BW115" s="335">
        <f>BV115+BP115</f>
        <v>0</v>
      </c>
      <c r="BX115" s="335"/>
      <c r="BY115" s="335"/>
      <c r="BZ115" s="335"/>
      <c r="CA115" s="335"/>
      <c r="CB115" s="335">
        <f>SUM(BY115:CA117)</f>
        <v>0</v>
      </c>
      <c r="CC115" s="335">
        <f>CB115+BX115</f>
        <v>0</v>
      </c>
      <c r="CD115" s="335"/>
      <c r="CE115" s="335"/>
      <c r="CF115" s="335"/>
      <c r="CG115" s="335">
        <f>SUM(CE115:CF117)</f>
        <v>0</v>
      </c>
      <c r="CH115" s="335">
        <f>CG115+CD115</f>
        <v>0</v>
      </c>
      <c r="CI115" s="335"/>
      <c r="CJ115" s="335">
        <f>CH115+CC115+BW115+BO115+CI115</f>
        <v>0</v>
      </c>
      <c r="CK115" s="335"/>
    </row>
    <row r="116" spans="1:89" s="4" customFormat="1" ht="36">
      <c r="A116" s="443"/>
      <c r="B116" s="477"/>
      <c r="C116" s="438"/>
      <c r="D116" s="389"/>
      <c r="E116" s="317"/>
      <c r="F116" s="317"/>
      <c r="G116" s="317"/>
      <c r="H116" s="317"/>
      <c r="I116" s="317"/>
      <c r="J116" s="317"/>
      <c r="K116" s="335"/>
      <c r="L116" s="335"/>
      <c r="M116" s="335"/>
      <c r="N116" s="335"/>
      <c r="O116" s="335"/>
      <c r="P116" s="335"/>
      <c r="Q116" s="335"/>
      <c r="R116" s="335"/>
      <c r="S116" s="335"/>
      <c r="T116" s="335"/>
      <c r="U116" s="335"/>
      <c r="V116" s="335"/>
      <c r="W116" s="335"/>
      <c r="X116" s="335"/>
      <c r="Y116" s="335"/>
      <c r="Z116" s="335"/>
      <c r="AA116" s="335"/>
      <c r="AB116" s="335"/>
      <c r="AC116" s="335"/>
      <c r="AD116" s="335"/>
      <c r="AE116" s="335"/>
      <c r="AF116" s="335"/>
      <c r="AG116" s="335"/>
      <c r="AH116" s="335"/>
      <c r="AI116" s="335"/>
      <c r="AJ116" s="335"/>
      <c r="AK116" s="335"/>
      <c r="AL116" s="335"/>
      <c r="AM116" s="317"/>
      <c r="AN116" s="348" t="s">
        <v>75</v>
      </c>
      <c r="AO116" s="128" t="s">
        <v>314</v>
      </c>
      <c r="AP116" s="326"/>
      <c r="AQ116" s="326"/>
      <c r="AR116" s="326"/>
      <c r="AS116" s="76">
        <v>15000000</v>
      </c>
      <c r="AT116" s="146"/>
      <c r="AU116" s="82"/>
      <c r="AV116" s="84"/>
      <c r="AW116" s="82"/>
      <c r="AX116" s="78"/>
      <c r="AY116" s="74">
        <f t="shared" si="6"/>
        <v>15000000</v>
      </c>
      <c r="AZ116" s="359"/>
      <c r="BA116" s="335"/>
      <c r="BB116" s="335"/>
      <c r="BC116" s="335"/>
      <c r="BD116" s="335"/>
      <c r="BE116" s="335"/>
      <c r="BF116" s="335"/>
      <c r="BG116" s="335"/>
      <c r="BH116" s="335"/>
      <c r="BI116" s="335"/>
      <c r="BJ116" s="335"/>
      <c r="BK116" s="335"/>
      <c r="BL116" s="335"/>
      <c r="BM116" s="335"/>
      <c r="BN116" s="335"/>
      <c r="BO116" s="335"/>
      <c r="BP116" s="335"/>
      <c r="BQ116" s="335"/>
      <c r="BR116" s="335"/>
      <c r="BS116" s="335"/>
      <c r="BT116" s="335"/>
      <c r="BU116" s="335"/>
      <c r="BV116" s="335"/>
      <c r="BW116" s="335"/>
      <c r="BX116" s="335"/>
      <c r="BY116" s="335"/>
      <c r="BZ116" s="335"/>
      <c r="CA116" s="335"/>
      <c r="CB116" s="335"/>
      <c r="CC116" s="335"/>
      <c r="CD116" s="335"/>
      <c r="CE116" s="335"/>
      <c r="CF116" s="335"/>
      <c r="CG116" s="335"/>
      <c r="CH116" s="335"/>
      <c r="CI116" s="335"/>
      <c r="CJ116" s="335"/>
      <c r="CK116" s="335"/>
    </row>
    <row r="117" spans="1:89" s="4" customFormat="1" ht="24">
      <c r="A117" s="443"/>
      <c r="B117" s="477"/>
      <c r="C117" s="438"/>
      <c r="D117" s="390"/>
      <c r="E117" s="318"/>
      <c r="F117" s="318"/>
      <c r="G117" s="318"/>
      <c r="H117" s="318"/>
      <c r="I117" s="318"/>
      <c r="J117" s="318"/>
      <c r="K117" s="335"/>
      <c r="L117" s="335"/>
      <c r="M117" s="335"/>
      <c r="N117" s="335"/>
      <c r="O117" s="335"/>
      <c r="P117" s="335"/>
      <c r="Q117" s="335"/>
      <c r="R117" s="335"/>
      <c r="S117" s="335"/>
      <c r="T117" s="335"/>
      <c r="U117" s="335"/>
      <c r="V117" s="335"/>
      <c r="W117" s="335"/>
      <c r="X117" s="335"/>
      <c r="Y117" s="335"/>
      <c r="Z117" s="335"/>
      <c r="AA117" s="335"/>
      <c r="AB117" s="335"/>
      <c r="AC117" s="335"/>
      <c r="AD117" s="335"/>
      <c r="AE117" s="335"/>
      <c r="AF117" s="335"/>
      <c r="AG117" s="335"/>
      <c r="AH117" s="335"/>
      <c r="AI117" s="335"/>
      <c r="AJ117" s="335"/>
      <c r="AK117" s="335"/>
      <c r="AL117" s="335"/>
      <c r="AM117" s="318"/>
      <c r="AN117" s="348"/>
      <c r="AO117" s="128" t="s">
        <v>315</v>
      </c>
      <c r="AP117" s="327"/>
      <c r="AQ117" s="327"/>
      <c r="AR117" s="327"/>
      <c r="AS117" s="76">
        <v>104193758</v>
      </c>
      <c r="AT117" s="146"/>
      <c r="AU117" s="75">
        <v>65000000</v>
      </c>
      <c r="AV117" s="84"/>
      <c r="AW117" s="75">
        <v>40000000</v>
      </c>
      <c r="AX117" s="78"/>
      <c r="AY117" s="74">
        <f t="shared" si="6"/>
        <v>209193758</v>
      </c>
      <c r="AZ117" s="358"/>
      <c r="BA117" s="335"/>
      <c r="BB117" s="335"/>
      <c r="BC117" s="335"/>
      <c r="BD117" s="335"/>
      <c r="BE117" s="335"/>
      <c r="BF117" s="335"/>
      <c r="BG117" s="335"/>
      <c r="BH117" s="335"/>
      <c r="BI117" s="335"/>
      <c r="BJ117" s="335"/>
      <c r="BK117" s="335"/>
      <c r="BL117" s="335"/>
      <c r="BM117" s="335"/>
      <c r="BN117" s="335"/>
      <c r="BO117" s="335"/>
      <c r="BP117" s="335"/>
      <c r="BQ117" s="335"/>
      <c r="BR117" s="335"/>
      <c r="BS117" s="335"/>
      <c r="BT117" s="335"/>
      <c r="BU117" s="335"/>
      <c r="BV117" s="335"/>
      <c r="BW117" s="335"/>
      <c r="BX117" s="335"/>
      <c r="BY117" s="335"/>
      <c r="BZ117" s="335"/>
      <c r="CA117" s="335"/>
      <c r="CB117" s="335"/>
      <c r="CC117" s="335"/>
      <c r="CD117" s="335"/>
      <c r="CE117" s="335"/>
      <c r="CF117" s="335"/>
      <c r="CG117" s="335"/>
      <c r="CH117" s="335"/>
      <c r="CI117" s="335"/>
      <c r="CJ117" s="335"/>
      <c r="CK117" s="335"/>
    </row>
    <row r="118" spans="1:89" s="4" customFormat="1" ht="48">
      <c r="A118" s="443"/>
      <c r="B118" s="477"/>
      <c r="C118" s="438"/>
      <c r="D118" s="388" t="s">
        <v>229</v>
      </c>
      <c r="E118" s="316">
        <v>0.05</v>
      </c>
      <c r="F118" s="316">
        <v>0.25</v>
      </c>
      <c r="G118" s="316">
        <v>0.13</v>
      </c>
      <c r="H118" s="316">
        <v>0.13</v>
      </c>
      <c r="I118" s="316">
        <v>0.12</v>
      </c>
      <c r="J118" s="316">
        <v>0.12</v>
      </c>
      <c r="K118" s="340"/>
      <c r="L118" s="340"/>
      <c r="M118" s="340"/>
      <c r="N118" s="340"/>
      <c r="O118" s="340"/>
      <c r="P118" s="340"/>
      <c r="Q118" s="340"/>
      <c r="R118" s="340"/>
      <c r="S118" s="340"/>
      <c r="T118" s="340"/>
      <c r="U118" s="340"/>
      <c r="V118" s="340"/>
      <c r="W118" s="340"/>
      <c r="X118" s="340"/>
      <c r="Y118" s="340"/>
      <c r="Z118" s="340"/>
      <c r="AA118" s="340"/>
      <c r="AB118" s="340"/>
      <c r="AC118" s="340"/>
      <c r="AD118" s="340"/>
      <c r="AE118" s="340"/>
      <c r="AF118" s="340"/>
      <c r="AG118" s="340"/>
      <c r="AH118" s="340"/>
      <c r="AI118" s="340"/>
      <c r="AJ118" s="340"/>
      <c r="AK118" s="340"/>
      <c r="AL118" s="340"/>
      <c r="AM118" s="316" t="s">
        <v>42</v>
      </c>
      <c r="AN118" s="101" t="s">
        <v>176</v>
      </c>
      <c r="AO118" s="73" t="s">
        <v>316</v>
      </c>
      <c r="AP118" s="343">
        <v>0.28000000000000003</v>
      </c>
      <c r="AQ118" s="370">
        <v>0.33</v>
      </c>
      <c r="AR118" s="343">
        <v>0.39</v>
      </c>
      <c r="AS118" s="76">
        <f>217000000+80000000</f>
        <v>297000000</v>
      </c>
      <c r="AT118" s="146"/>
      <c r="AU118" s="75">
        <f>87000000+40000000</f>
        <v>127000000</v>
      </c>
      <c r="AV118" s="84"/>
      <c r="AW118" s="86">
        <v>0</v>
      </c>
      <c r="AX118" s="78"/>
      <c r="AY118" s="74">
        <f t="shared" si="6"/>
        <v>424000000</v>
      </c>
      <c r="AZ118" s="430"/>
      <c r="BA118" s="340">
        <f>SUM(AY118:AY119)</f>
        <v>437946951</v>
      </c>
      <c r="BB118" s="340"/>
      <c r="BC118" s="340"/>
      <c r="BD118" s="340"/>
      <c r="BE118" s="340"/>
      <c r="BF118" s="340"/>
      <c r="BG118" s="340"/>
      <c r="BH118" s="340"/>
      <c r="BI118" s="340"/>
      <c r="BJ118" s="340"/>
      <c r="BK118" s="340"/>
      <c r="BL118" s="340"/>
      <c r="BM118" s="340"/>
      <c r="BN118" s="340">
        <f>SUM(BC118:BM119)</f>
        <v>0</v>
      </c>
      <c r="BO118" s="340">
        <f>BN118+BB118</f>
        <v>0</v>
      </c>
      <c r="BP118" s="340"/>
      <c r="BQ118" s="340"/>
      <c r="BR118" s="340"/>
      <c r="BS118" s="340"/>
      <c r="BT118" s="340"/>
      <c r="BU118" s="340"/>
      <c r="BV118" s="340">
        <f>SUM(BQ118:BU119)</f>
        <v>0</v>
      </c>
      <c r="BW118" s="340">
        <f>BV118+BP118</f>
        <v>0</v>
      </c>
      <c r="BX118" s="340"/>
      <c r="BY118" s="340"/>
      <c r="BZ118" s="340"/>
      <c r="CA118" s="340"/>
      <c r="CB118" s="340">
        <f>SUM(BY118:CA119)</f>
        <v>0</v>
      </c>
      <c r="CC118" s="340">
        <f>CB118+BX118</f>
        <v>0</v>
      </c>
      <c r="CD118" s="340"/>
      <c r="CE118" s="340"/>
      <c r="CF118" s="340"/>
      <c r="CG118" s="340">
        <f>SUM(CE118:CF119)</f>
        <v>0</v>
      </c>
      <c r="CH118" s="340">
        <f>CG118+CD118</f>
        <v>0</v>
      </c>
      <c r="CI118" s="340"/>
      <c r="CJ118" s="340">
        <f>CH118+CC118+BW118+BO118+CI118</f>
        <v>0</v>
      </c>
      <c r="CK118" s="340"/>
    </row>
    <row r="119" spans="1:89" s="4" customFormat="1" ht="48">
      <c r="A119" s="443"/>
      <c r="B119" s="477"/>
      <c r="C119" s="438"/>
      <c r="D119" s="390"/>
      <c r="E119" s="317"/>
      <c r="F119" s="317"/>
      <c r="G119" s="317"/>
      <c r="H119" s="317"/>
      <c r="I119" s="317"/>
      <c r="J119" s="317"/>
      <c r="K119" s="340"/>
      <c r="L119" s="340"/>
      <c r="M119" s="340"/>
      <c r="N119" s="340"/>
      <c r="O119" s="340"/>
      <c r="P119" s="340"/>
      <c r="Q119" s="340"/>
      <c r="R119" s="340"/>
      <c r="S119" s="340"/>
      <c r="T119" s="340"/>
      <c r="U119" s="340"/>
      <c r="V119" s="340"/>
      <c r="W119" s="340"/>
      <c r="X119" s="340"/>
      <c r="Y119" s="340"/>
      <c r="Z119" s="340"/>
      <c r="AA119" s="340"/>
      <c r="AB119" s="340"/>
      <c r="AC119" s="340"/>
      <c r="AD119" s="340"/>
      <c r="AE119" s="340"/>
      <c r="AF119" s="340"/>
      <c r="AG119" s="340"/>
      <c r="AH119" s="340"/>
      <c r="AI119" s="340"/>
      <c r="AJ119" s="340"/>
      <c r="AK119" s="340"/>
      <c r="AL119" s="340"/>
      <c r="AM119" s="317"/>
      <c r="AN119" s="111" t="s">
        <v>177</v>
      </c>
      <c r="AO119" s="73" t="s">
        <v>317</v>
      </c>
      <c r="AP119" s="327"/>
      <c r="AQ119" s="371"/>
      <c r="AR119" s="327"/>
      <c r="AS119" s="76">
        <v>8946951</v>
      </c>
      <c r="AT119" s="146"/>
      <c r="AU119" s="75">
        <v>5000000</v>
      </c>
      <c r="AV119" s="84"/>
      <c r="AW119" s="86">
        <v>0</v>
      </c>
      <c r="AX119" s="78"/>
      <c r="AY119" s="74">
        <f t="shared" si="6"/>
        <v>13946951</v>
      </c>
      <c r="AZ119" s="432"/>
      <c r="BA119" s="340"/>
      <c r="BB119" s="340"/>
      <c r="BC119" s="340"/>
      <c r="BD119" s="340"/>
      <c r="BE119" s="340"/>
      <c r="BF119" s="340"/>
      <c r="BG119" s="340"/>
      <c r="BH119" s="340"/>
      <c r="BI119" s="340"/>
      <c r="BJ119" s="340"/>
      <c r="BK119" s="340"/>
      <c r="BL119" s="340"/>
      <c r="BM119" s="340"/>
      <c r="BN119" s="340"/>
      <c r="BO119" s="340"/>
      <c r="BP119" s="340"/>
      <c r="BQ119" s="340"/>
      <c r="BR119" s="340"/>
      <c r="BS119" s="340"/>
      <c r="BT119" s="340"/>
      <c r="BU119" s="340"/>
      <c r="BV119" s="340"/>
      <c r="BW119" s="340"/>
      <c r="BX119" s="340"/>
      <c r="BY119" s="340"/>
      <c r="BZ119" s="340"/>
      <c r="CA119" s="340"/>
      <c r="CB119" s="340"/>
      <c r="CC119" s="340"/>
      <c r="CD119" s="340"/>
      <c r="CE119" s="340"/>
      <c r="CF119" s="340"/>
      <c r="CG119" s="340"/>
      <c r="CH119" s="340"/>
      <c r="CI119" s="340"/>
      <c r="CJ119" s="340"/>
      <c r="CK119" s="340"/>
    </row>
    <row r="120" spans="1:89" s="4" customFormat="1" ht="72">
      <c r="A120" s="443"/>
      <c r="B120" s="477"/>
      <c r="C120" s="438" t="s">
        <v>230</v>
      </c>
      <c r="D120" s="388" t="s">
        <v>231</v>
      </c>
      <c r="E120" s="316">
        <v>0.05</v>
      </c>
      <c r="F120" s="316">
        <v>0.3</v>
      </c>
      <c r="G120" s="316">
        <v>0.15</v>
      </c>
      <c r="H120" s="316">
        <v>0.15</v>
      </c>
      <c r="I120" s="316">
        <v>0.14000000000000001</v>
      </c>
      <c r="J120" s="316">
        <v>0.05</v>
      </c>
      <c r="K120" s="340"/>
      <c r="L120" s="340"/>
      <c r="M120" s="340"/>
      <c r="N120" s="340"/>
      <c r="O120" s="340"/>
      <c r="P120" s="340"/>
      <c r="Q120" s="340"/>
      <c r="R120" s="340"/>
      <c r="S120" s="340"/>
      <c r="T120" s="340"/>
      <c r="U120" s="340"/>
      <c r="V120" s="340"/>
      <c r="W120" s="340"/>
      <c r="X120" s="340"/>
      <c r="Y120" s="340"/>
      <c r="Z120" s="340"/>
      <c r="AA120" s="340"/>
      <c r="AB120" s="340"/>
      <c r="AC120" s="340"/>
      <c r="AD120" s="340"/>
      <c r="AE120" s="340"/>
      <c r="AF120" s="340"/>
      <c r="AG120" s="340"/>
      <c r="AH120" s="340"/>
      <c r="AI120" s="340"/>
      <c r="AJ120" s="340"/>
      <c r="AK120" s="340"/>
      <c r="AL120" s="340"/>
      <c r="AM120" s="356" t="s">
        <v>60</v>
      </c>
      <c r="AN120" s="314" t="s">
        <v>178</v>
      </c>
      <c r="AO120" s="73" t="s">
        <v>318</v>
      </c>
      <c r="AP120" s="343">
        <v>0.25</v>
      </c>
      <c r="AQ120" s="343">
        <v>0.45</v>
      </c>
      <c r="AR120" s="343">
        <v>0.3</v>
      </c>
      <c r="AS120" s="378">
        <v>15961360</v>
      </c>
      <c r="AT120" s="144"/>
      <c r="AU120" s="429">
        <v>9445632</v>
      </c>
      <c r="AV120" s="81"/>
      <c r="AW120" s="429">
        <v>9445632</v>
      </c>
      <c r="AX120" s="81"/>
      <c r="AY120" s="376">
        <f t="shared" si="6"/>
        <v>34852624</v>
      </c>
      <c r="AZ120" s="430"/>
      <c r="BA120" s="340">
        <f>SUM(AY120:AY122)</f>
        <v>219852624</v>
      </c>
      <c r="BB120" s="340"/>
      <c r="BC120" s="340"/>
      <c r="BD120" s="340"/>
      <c r="BE120" s="340"/>
      <c r="BF120" s="340"/>
      <c r="BG120" s="340"/>
      <c r="BH120" s="340"/>
      <c r="BI120" s="340"/>
      <c r="BJ120" s="340"/>
      <c r="BK120" s="340"/>
      <c r="BL120" s="340"/>
      <c r="BM120" s="340"/>
      <c r="BN120" s="310">
        <f>SUM(BC120:BM122)</f>
        <v>0</v>
      </c>
      <c r="BO120" s="310">
        <f>BN120+BB120</f>
        <v>0</v>
      </c>
      <c r="BP120" s="340">
        <v>93600000</v>
      </c>
      <c r="BQ120" s="340"/>
      <c r="BR120" s="340"/>
      <c r="BS120" s="340"/>
      <c r="BT120" s="340"/>
      <c r="BU120" s="340"/>
      <c r="BV120" s="310">
        <f>SUM(BQ120:BU122)</f>
        <v>0</v>
      </c>
      <c r="BW120" s="310">
        <f>BV120+BP120</f>
        <v>93600000</v>
      </c>
      <c r="BX120" s="340"/>
      <c r="BY120" s="340"/>
      <c r="BZ120" s="340"/>
      <c r="CA120" s="340"/>
      <c r="CB120" s="310">
        <f>SUM(BY120:CA122)</f>
        <v>0</v>
      </c>
      <c r="CC120" s="310">
        <f>CB120+BX120</f>
        <v>0</v>
      </c>
      <c r="CD120" s="340"/>
      <c r="CE120" s="340"/>
      <c r="CF120" s="340"/>
      <c r="CG120" s="310">
        <f>SUM(CE120:CF122)</f>
        <v>0</v>
      </c>
      <c r="CH120" s="310">
        <f>CG120+CD120</f>
        <v>0</v>
      </c>
      <c r="CI120" s="340"/>
      <c r="CJ120" s="310">
        <f>CH120+CC120+BW120+BO120+CI120</f>
        <v>93600000</v>
      </c>
      <c r="CK120" s="310"/>
    </row>
    <row r="121" spans="1:89" s="4" customFormat="1" ht="72">
      <c r="A121" s="443"/>
      <c r="B121" s="477"/>
      <c r="C121" s="438"/>
      <c r="D121" s="389"/>
      <c r="E121" s="317"/>
      <c r="F121" s="317"/>
      <c r="G121" s="317"/>
      <c r="H121" s="317"/>
      <c r="I121" s="317"/>
      <c r="J121" s="317"/>
      <c r="K121" s="340"/>
      <c r="L121" s="340"/>
      <c r="M121" s="340"/>
      <c r="N121" s="340"/>
      <c r="O121" s="340"/>
      <c r="P121" s="340"/>
      <c r="Q121" s="340"/>
      <c r="R121" s="340"/>
      <c r="S121" s="340"/>
      <c r="T121" s="340"/>
      <c r="U121" s="340"/>
      <c r="V121" s="340"/>
      <c r="W121" s="340"/>
      <c r="X121" s="340"/>
      <c r="Y121" s="340"/>
      <c r="Z121" s="340"/>
      <c r="AA121" s="340"/>
      <c r="AB121" s="340"/>
      <c r="AC121" s="340"/>
      <c r="AD121" s="340"/>
      <c r="AE121" s="340"/>
      <c r="AF121" s="340"/>
      <c r="AG121" s="340"/>
      <c r="AH121" s="340"/>
      <c r="AI121" s="340"/>
      <c r="AJ121" s="340"/>
      <c r="AK121" s="340"/>
      <c r="AL121" s="340"/>
      <c r="AM121" s="356"/>
      <c r="AN121" s="320"/>
      <c r="AO121" s="73" t="s">
        <v>319</v>
      </c>
      <c r="AP121" s="326"/>
      <c r="AQ121" s="326"/>
      <c r="AR121" s="326"/>
      <c r="AS121" s="378"/>
      <c r="AT121" s="144"/>
      <c r="AU121" s="429"/>
      <c r="AV121" s="81"/>
      <c r="AW121" s="429"/>
      <c r="AX121" s="81"/>
      <c r="AY121" s="377"/>
      <c r="AZ121" s="431"/>
      <c r="BA121" s="340"/>
      <c r="BB121" s="340"/>
      <c r="BC121" s="340"/>
      <c r="BD121" s="340"/>
      <c r="BE121" s="340"/>
      <c r="BF121" s="340"/>
      <c r="BG121" s="340"/>
      <c r="BH121" s="340"/>
      <c r="BI121" s="340"/>
      <c r="BJ121" s="340"/>
      <c r="BK121" s="340"/>
      <c r="BL121" s="340"/>
      <c r="BM121" s="340"/>
      <c r="BN121" s="310"/>
      <c r="BO121" s="310"/>
      <c r="BP121" s="340"/>
      <c r="BQ121" s="340"/>
      <c r="BR121" s="340"/>
      <c r="BS121" s="340"/>
      <c r="BT121" s="340"/>
      <c r="BU121" s="340"/>
      <c r="BV121" s="310"/>
      <c r="BW121" s="310"/>
      <c r="BX121" s="340"/>
      <c r="BY121" s="340"/>
      <c r="BZ121" s="340"/>
      <c r="CA121" s="340"/>
      <c r="CB121" s="310"/>
      <c r="CC121" s="310"/>
      <c r="CD121" s="340"/>
      <c r="CE121" s="340"/>
      <c r="CF121" s="340"/>
      <c r="CG121" s="310"/>
      <c r="CH121" s="310"/>
      <c r="CI121" s="340"/>
      <c r="CJ121" s="310"/>
      <c r="CK121" s="310"/>
    </row>
    <row r="122" spans="1:89" s="4" customFormat="1" ht="12.75">
      <c r="A122" s="443"/>
      <c r="B122" s="477"/>
      <c r="C122" s="438"/>
      <c r="D122" s="390"/>
      <c r="E122" s="318"/>
      <c r="F122" s="318"/>
      <c r="G122" s="318"/>
      <c r="H122" s="318"/>
      <c r="I122" s="318"/>
      <c r="J122" s="318"/>
      <c r="K122" s="340"/>
      <c r="L122" s="340"/>
      <c r="M122" s="340"/>
      <c r="N122" s="340"/>
      <c r="O122" s="340"/>
      <c r="P122" s="340"/>
      <c r="Q122" s="340"/>
      <c r="R122" s="340"/>
      <c r="S122" s="340"/>
      <c r="T122" s="340"/>
      <c r="U122" s="340"/>
      <c r="V122" s="340"/>
      <c r="W122" s="340"/>
      <c r="X122" s="340"/>
      <c r="Y122" s="340"/>
      <c r="Z122" s="340"/>
      <c r="AA122" s="340"/>
      <c r="AB122" s="340"/>
      <c r="AC122" s="340"/>
      <c r="AD122" s="340"/>
      <c r="AE122" s="340"/>
      <c r="AF122" s="340"/>
      <c r="AG122" s="340"/>
      <c r="AH122" s="340"/>
      <c r="AI122" s="340"/>
      <c r="AJ122" s="340"/>
      <c r="AK122" s="340"/>
      <c r="AL122" s="340"/>
      <c r="AM122" s="356"/>
      <c r="AN122" s="315"/>
      <c r="AO122" s="73"/>
      <c r="AP122" s="327"/>
      <c r="AQ122" s="327"/>
      <c r="AR122" s="327"/>
      <c r="AS122" s="80">
        <v>60000000</v>
      </c>
      <c r="AT122" s="144"/>
      <c r="AU122" s="77">
        <v>70000000</v>
      </c>
      <c r="AV122" s="81"/>
      <c r="AW122" s="87">
        <v>55000000</v>
      </c>
      <c r="AX122" s="81"/>
      <c r="AY122" s="74">
        <f>AU122+AW122+AS122</f>
        <v>185000000</v>
      </c>
      <c r="AZ122" s="432"/>
      <c r="BA122" s="340"/>
      <c r="BB122" s="340"/>
      <c r="BC122" s="340"/>
      <c r="BD122" s="340"/>
      <c r="BE122" s="340"/>
      <c r="BF122" s="340"/>
      <c r="BG122" s="340"/>
      <c r="BH122" s="340"/>
      <c r="BI122" s="340"/>
      <c r="BJ122" s="340"/>
      <c r="BK122" s="340"/>
      <c r="BL122" s="340"/>
      <c r="BM122" s="340"/>
      <c r="BN122" s="310"/>
      <c r="BO122" s="310"/>
      <c r="BP122" s="340"/>
      <c r="BQ122" s="340"/>
      <c r="BR122" s="340"/>
      <c r="BS122" s="340"/>
      <c r="BT122" s="340"/>
      <c r="BU122" s="340"/>
      <c r="BV122" s="310"/>
      <c r="BW122" s="310"/>
      <c r="BX122" s="340"/>
      <c r="BY122" s="340"/>
      <c r="BZ122" s="340"/>
      <c r="CA122" s="340"/>
      <c r="CB122" s="310"/>
      <c r="CC122" s="310"/>
      <c r="CD122" s="340"/>
      <c r="CE122" s="340"/>
      <c r="CF122" s="340"/>
      <c r="CG122" s="310"/>
      <c r="CH122" s="310"/>
      <c r="CI122" s="340"/>
      <c r="CJ122" s="310"/>
      <c r="CK122" s="310"/>
    </row>
    <row r="123" spans="1:89" s="4" customFormat="1" ht="36">
      <c r="A123" s="443"/>
      <c r="B123" s="477"/>
      <c r="C123" s="438"/>
      <c r="D123" s="487" t="s">
        <v>320</v>
      </c>
      <c r="E123" s="356">
        <v>0.05</v>
      </c>
      <c r="F123" s="356">
        <v>0.2</v>
      </c>
      <c r="G123" s="356">
        <v>0.3</v>
      </c>
      <c r="H123" s="356">
        <v>0.15</v>
      </c>
      <c r="I123" s="356">
        <v>0.2</v>
      </c>
      <c r="J123" s="356">
        <v>0.1</v>
      </c>
      <c r="K123" s="340"/>
      <c r="L123" s="340"/>
      <c r="M123" s="340"/>
      <c r="N123" s="340"/>
      <c r="O123" s="340"/>
      <c r="P123" s="340"/>
      <c r="Q123" s="340"/>
      <c r="R123" s="340"/>
      <c r="S123" s="340"/>
      <c r="T123" s="340"/>
      <c r="U123" s="340"/>
      <c r="V123" s="340"/>
      <c r="W123" s="340"/>
      <c r="X123" s="340"/>
      <c r="Y123" s="340"/>
      <c r="Z123" s="340"/>
      <c r="AA123" s="340"/>
      <c r="AB123" s="340"/>
      <c r="AC123" s="340"/>
      <c r="AD123" s="340"/>
      <c r="AE123" s="340"/>
      <c r="AF123" s="340"/>
      <c r="AG123" s="340"/>
      <c r="AH123" s="340"/>
      <c r="AI123" s="340"/>
      <c r="AJ123" s="340"/>
      <c r="AK123" s="340"/>
      <c r="AL123" s="340"/>
      <c r="AM123" s="356" t="s">
        <v>44</v>
      </c>
      <c r="AN123" s="348" t="s">
        <v>179</v>
      </c>
      <c r="AO123" s="128" t="s">
        <v>321</v>
      </c>
      <c r="AP123" s="373">
        <v>0.65</v>
      </c>
      <c r="AQ123" s="373">
        <v>0.2</v>
      </c>
      <c r="AR123" s="373">
        <v>0.2</v>
      </c>
      <c r="AS123" s="147">
        <v>15886620</v>
      </c>
      <c r="AT123" s="434"/>
      <c r="AU123" s="83">
        <v>10000000</v>
      </c>
      <c r="AV123" s="527"/>
      <c r="AW123" s="83">
        <v>10000000</v>
      </c>
      <c r="AX123" s="530"/>
      <c r="AY123" s="74">
        <f>AU123+AW123+AS123</f>
        <v>35886620</v>
      </c>
      <c r="AZ123" s="430"/>
      <c r="BA123" s="340">
        <f>SUM(AY123:AY126)</f>
        <v>179886620</v>
      </c>
      <c r="BB123" s="340"/>
      <c r="BC123" s="340"/>
      <c r="BD123" s="340"/>
      <c r="BE123" s="340"/>
      <c r="BF123" s="340"/>
      <c r="BG123" s="340"/>
      <c r="BH123" s="340"/>
      <c r="BI123" s="340"/>
      <c r="BJ123" s="340"/>
      <c r="BK123" s="340"/>
      <c r="BL123" s="340"/>
      <c r="BM123" s="340"/>
      <c r="BN123" s="340">
        <f>SUM(BC123:BM126)</f>
        <v>0</v>
      </c>
      <c r="BO123" s="340">
        <f>BN123+BB123</f>
        <v>0</v>
      </c>
      <c r="BP123" s="340"/>
      <c r="BQ123" s="340"/>
      <c r="BR123" s="340"/>
      <c r="BS123" s="340"/>
      <c r="BT123" s="340"/>
      <c r="BU123" s="340"/>
      <c r="BV123" s="340">
        <f>SUM(BQ123:BU126)</f>
        <v>0</v>
      </c>
      <c r="BW123" s="340">
        <f>BV123+BP123</f>
        <v>0</v>
      </c>
      <c r="BX123" s="340"/>
      <c r="BY123" s="340"/>
      <c r="BZ123" s="340"/>
      <c r="CA123" s="340"/>
      <c r="CB123" s="340">
        <f>SUM(BY123:CA126)</f>
        <v>0</v>
      </c>
      <c r="CC123" s="340">
        <f>CB123+BX123</f>
        <v>0</v>
      </c>
      <c r="CD123" s="340"/>
      <c r="CE123" s="340"/>
      <c r="CF123" s="340"/>
      <c r="CG123" s="340">
        <f>SUM(CE123:CF126)</f>
        <v>0</v>
      </c>
      <c r="CH123" s="340">
        <f>CG123+CD123</f>
        <v>0</v>
      </c>
      <c r="CI123" s="340"/>
      <c r="CJ123" s="340">
        <f>CH123+CC123+BW123+BO123+CI123</f>
        <v>0</v>
      </c>
      <c r="CK123" s="340"/>
    </row>
    <row r="124" spans="1:89" s="4" customFormat="1" ht="24">
      <c r="A124" s="443"/>
      <c r="B124" s="477"/>
      <c r="C124" s="438"/>
      <c r="D124" s="487"/>
      <c r="E124" s="356"/>
      <c r="F124" s="356"/>
      <c r="G124" s="356"/>
      <c r="H124" s="356"/>
      <c r="I124" s="356"/>
      <c r="J124" s="356"/>
      <c r="K124" s="340"/>
      <c r="L124" s="340"/>
      <c r="M124" s="340"/>
      <c r="N124" s="340"/>
      <c r="O124" s="340"/>
      <c r="P124" s="340"/>
      <c r="Q124" s="340"/>
      <c r="R124" s="340"/>
      <c r="S124" s="340"/>
      <c r="T124" s="340"/>
      <c r="U124" s="340"/>
      <c r="V124" s="340"/>
      <c r="W124" s="340"/>
      <c r="X124" s="340"/>
      <c r="Y124" s="340"/>
      <c r="Z124" s="340"/>
      <c r="AA124" s="340"/>
      <c r="AB124" s="340"/>
      <c r="AC124" s="340"/>
      <c r="AD124" s="340"/>
      <c r="AE124" s="340"/>
      <c r="AF124" s="340"/>
      <c r="AG124" s="340"/>
      <c r="AH124" s="340"/>
      <c r="AI124" s="340"/>
      <c r="AJ124" s="340"/>
      <c r="AK124" s="340"/>
      <c r="AL124" s="340"/>
      <c r="AM124" s="356"/>
      <c r="AN124" s="348"/>
      <c r="AO124" s="128" t="s">
        <v>43</v>
      </c>
      <c r="AP124" s="374"/>
      <c r="AQ124" s="374"/>
      <c r="AR124" s="374"/>
      <c r="AS124" s="147">
        <v>16000000</v>
      </c>
      <c r="AT124" s="435"/>
      <c r="AU124" s="83">
        <v>10000000</v>
      </c>
      <c r="AV124" s="528"/>
      <c r="AW124" s="83">
        <v>10000000</v>
      </c>
      <c r="AX124" s="531"/>
      <c r="AY124" s="74">
        <f>AU124+AW124+AS124</f>
        <v>36000000</v>
      </c>
      <c r="AZ124" s="431"/>
      <c r="BA124" s="340"/>
      <c r="BB124" s="340"/>
      <c r="BC124" s="340"/>
      <c r="BD124" s="340"/>
      <c r="BE124" s="340"/>
      <c r="BF124" s="340"/>
      <c r="BG124" s="340"/>
      <c r="BH124" s="340"/>
      <c r="BI124" s="340"/>
      <c r="BJ124" s="340"/>
      <c r="BK124" s="340"/>
      <c r="BL124" s="340"/>
      <c r="BM124" s="340"/>
      <c r="BN124" s="340"/>
      <c r="BO124" s="340"/>
      <c r="BP124" s="340"/>
      <c r="BQ124" s="340"/>
      <c r="BR124" s="340"/>
      <c r="BS124" s="340"/>
      <c r="BT124" s="340"/>
      <c r="BU124" s="340"/>
      <c r="BV124" s="340"/>
      <c r="BW124" s="340"/>
      <c r="BX124" s="340"/>
      <c r="BY124" s="340"/>
      <c r="BZ124" s="340"/>
      <c r="CA124" s="340"/>
      <c r="CB124" s="340"/>
      <c r="CC124" s="340"/>
      <c r="CD124" s="340"/>
      <c r="CE124" s="340"/>
      <c r="CF124" s="340"/>
      <c r="CG124" s="340"/>
      <c r="CH124" s="340"/>
      <c r="CI124" s="340"/>
      <c r="CJ124" s="340"/>
      <c r="CK124" s="340"/>
    </row>
    <row r="125" spans="1:89" s="4" customFormat="1" ht="24">
      <c r="A125" s="443"/>
      <c r="B125" s="477"/>
      <c r="C125" s="438"/>
      <c r="D125" s="487"/>
      <c r="E125" s="356"/>
      <c r="F125" s="356"/>
      <c r="G125" s="356"/>
      <c r="H125" s="356"/>
      <c r="I125" s="356"/>
      <c r="J125" s="356"/>
      <c r="K125" s="340"/>
      <c r="L125" s="340"/>
      <c r="M125" s="340"/>
      <c r="N125" s="340"/>
      <c r="O125" s="340"/>
      <c r="P125" s="340"/>
      <c r="Q125" s="340"/>
      <c r="R125" s="340"/>
      <c r="S125" s="340"/>
      <c r="T125" s="340"/>
      <c r="U125" s="340"/>
      <c r="V125" s="340"/>
      <c r="W125" s="340"/>
      <c r="X125" s="340"/>
      <c r="Y125" s="340"/>
      <c r="Z125" s="340"/>
      <c r="AA125" s="340"/>
      <c r="AB125" s="340"/>
      <c r="AC125" s="340"/>
      <c r="AD125" s="340"/>
      <c r="AE125" s="340"/>
      <c r="AF125" s="340"/>
      <c r="AG125" s="340"/>
      <c r="AH125" s="340"/>
      <c r="AI125" s="340"/>
      <c r="AJ125" s="340"/>
      <c r="AK125" s="340"/>
      <c r="AL125" s="340"/>
      <c r="AM125" s="356"/>
      <c r="AN125" s="348" t="s">
        <v>180</v>
      </c>
      <c r="AO125" s="128" t="s">
        <v>45</v>
      </c>
      <c r="AP125" s="374"/>
      <c r="AQ125" s="374"/>
      <c r="AR125" s="374"/>
      <c r="AS125" s="147">
        <v>24000000</v>
      </c>
      <c r="AT125" s="435"/>
      <c r="AU125" s="83">
        <v>15000000</v>
      </c>
      <c r="AV125" s="528"/>
      <c r="AW125" s="83">
        <v>15000000</v>
      </c>
      <c r="AX125" s="531"/>
      <c r="AY125" s="74">
        <f>AU125+AW125+AS125</f>
        <v>54000000</v>
      </c>
      <c r="AZ125" s="431"/>
      <c r="BA125" s="340"/>
      <c r="BB125" s="340"/>
      <c r="BC125" s="340"/>
      <c r="BD125" s="340"/>
      <c r="BE125" s="340"/>
      <c r="BF125" s="340"/>
      <c r="BG125" s="340"/>
      <c r="BH125" s="340"/>
      <c r="BI125" s="340"/>
      <c r="BJ125" s="340"/>
      <c r="BK125" s="340"/>
      <c r="BL125" s="340"/>
      <c r="BM125" s="340"/>
      <c r="BN125" s="340"/>
      <c r="BO125" s="340"/>
      <c r="BP125" s="340"/>
      <c r="BQ125" s="340"/>
      <c r="BR125" s="340"/>
      <c r="BS125" s="340"/>
      <c r="BT125" s="340"/>
      <c r="BU125" s="340"/>
      <c r="BV125" s="340"/>
      <c r="BW125" s="340"/>
      <c r="BX125" s="340"/>
      <c r="BY125" s="340"/>
      <c r="BZ125" s="340"/>
      <c r="CA125" s="340"/>
      <c r="CB125" s="340"/>
      <c r="CC125" s="340"/>
      <c r="CD125" s="340"/>
      <c r="CE125" s="340"/>
      <c r="CF125" s="340"/>
      <c r="CG125" s="340"/>
      <c r="CH125" s="340"/>
      <c r="CI125" s="340"/>
      <c r="CJ125" s="340"/>
      <c r="CK125" s="340"/>
    </row>
    <row r="126" spans="1:89" s="4" customFormat="1" ht="24">
      <c r="A126" s="443"/>
      <c r="B126" s="478"/>
      <c r="C126" s="438"/>
      <c r="D126" s="487"/>
      <c r="E126" s="356"/>
      <c r="F126" s="356"/>
      <c r="G126" s="356"/>
      <c r="H126" s="356"/>
      <c r="I126" s="356"/>
      <c r="J126" s="356"/>
      <c r="K126" s="340"/>
      <c r="L126" s="340"/>
      <c r="M126" s="340"/>
      <c r="N126" s="340"/>
      <c r="O126" s="340"/>
      <c r="P126" s="340"/>
      <c r="Q126" s="340"/>
      <c r="R126" s="340"/>
      <c r="S126" s="340"/>
      <c r="T126" s="340"/>
      <c r="U126" s="340"/>
      <c r="V126" s="340"/>
      <c r="W126" s="340"/>
      <c r="X126" s="340"/>
      <c r="Y126" s="340"/>
      <c r="Z126" s="340"/>
      <c r="AA126" s="340"/>
      <c r="AB126" s="340"/>
      <c r="AC126" s="340"/>
      <c r="AD126" s="340"/>
      <c r="AE126" s="340"/>
      <c r="AF126" s="340"/>
      <c r="AG126" s="340"/>
      <c r="AH126" s="340"/>
      <c r="AI126" s="340"/>
      <c r="AJ126" s="340"/>
      <c r="AK126" s="340"/>
      <c r="AL126" s="340"/>
      <c r="AM126" s="356"/>
      <c r="AN126" s="348"/>
      <c r="AO126" s="128" t="s">
        <v>322</v>
      </c>
      <c r="AP126" s="375"/>
      <c r="AQ126" s="375"/>
      <c r="AR126" s="375"/>
      <c r="AS126" s="147">
        <v>24000000</v>
      </c>
      <c r="AT126" s="436"/>
      <c r="AU126" s="83">
        <v>15000000</v>
      </c>
      <c r="AV126" s="529"/>
      <c r="AW126" s="83">
        <v>15000000</v>
      </c>
      <c r="AX126" s="532"/>
      <c r="AY126" s="74">
        <f>AU126+AW126+AS126</f>
        <v>54000000</v>
      </c>
      <c r="AZ126" s="432"/>
      <c r="BA126" s="340"/>
      <c r="BB126" s="340"/>
      <c r="BC126" s="340"/>
      <c r="BD126" s="340"/>
      <c r="BE126" s="340"/>
      <c r="BF126" s="340"/>
      <c r="BG126" s="340"/>
      <c r="BH126" s="340"/>
      <c r="BI126" s="340"/>
      <c r="BJ126" s="340"/>
      <c r="BK126" s="340"/>
      <c r="BL126" s="340"/>
      <c r="BM126" s="340"/>
      <c r="BN126" s="340"/>
      <c r="BO126" s="340"/>
      <c r="BP126" s="340"/>
      <c r="BQ126" s="340"/>
      <c r="BR126" s="340"/>
      <c r="BS126" s="340"/>
      <c r="BT126" s="340"/>
      <c r="BU126" s="340"/>
      <c r="BV126" s="340"/>
      <c r="BW126" s="340"/>
      <c r="BX126" s="340"/>
      <c r="BY126" s="340"/>
      <c r="BZ126" s="340"/>
      <c r="CA126" s="340"/>
      <c r="CB126" s="340"/>
      <c r="CC126" s="340"/>
      <c r="CD126" s="340"/>
      <c r="CE126" s="340"/>
      <c r="CF126" s="340"/>
      <c r="CG126" s="340"/>
      <c r="CH126" s="340"/>
      <c r="CI126" s="340"/>
      <c r="CJ126" s="340"/>
      <c r="CK126" s="340"/>
    </row>
    <row r="127" spans="1:89" s="34" customFormat="1">
      <c r="A127" s="443"/>
      <c r="B127" s="475" t="s">
        <v>135</v>
      </c>
      <c r="C127" s="475"/>
      <c r="D127" s="475"/>
      <c r="E127" s="31"/>
      <c r="F127" s="31"/>
      <c r="G127" s="31"/>
      <c r="H127" s="31"/>
      <c r="I127" s="31"/>
      <c r="J127" s="31"/>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104"/>
      <c r="AN127" s="107"/>
      <c r="AO127" s="32"/>
      <c r="AP127" s="161"/>
      <c r="AQ127" s="161"/>
      <c r="AR127" s="161"/>
      <c r="AS127" s="46"/>
      <c r="AT127" s="46"/>
      <c r="AU127" s="46"/>
      <c r="AV127" s="46"/>
      <c r="AW127" s="46"/>
      <c r="AX127" s="46"/>
      <c r="AY127" s="33">
        <f>SUM(AY82:AY126)</f>
        <v>3002988719.8400002</v>
      </c>
      <c r="AZ127" s="33"/>
      <c r="BA127" s="46">
        <f t="shared" ref="BA127:BN127" si="7">SUM(BA82:BA126)</f>
        <v>3002988719.8400002</v>
      </c>
      <c r="BB127" s="46">
        <f t="shared" si="7"/>
        <v>0</v>
      </c>
      <c r="BC127" s="46">
        <f t="shared" si="7"/>
        <v>0</v>
      </c>
      <c r="BD127" s="46">
        <f t="shared" si="7"/>
        <v>0</v>
      </c>
      <c r="BE127" s="46">
        <f t="shared" si="7"/>
        <v>0</v>
      </c>
      <c r="BF127" s="46">
        <f t="shared" si="7"/>
        <v>0</v>
      </c>
      <c r="BG127" s="46">
        <f t="shared" si="7"/>
        <v>0</v>
      </c>
      <c r="BH127" s="46">
        <f t="shared" si="7"/>
        <v>0</v>
      </c>
      <c r="BI127" s="46">
        <f t="shared" si="7"/>
        <v>0</v>
      </c>
      <c r="BJ127" s="46">
        <f t="shared" si="7"/>
        <v>0</v>
      </c>
      <c r="BK127" s="46">
        <f t="shared" si="7"/>
        <v>0</v>
      </c>
      <c r="BL127" s="46">
        <f t="shared" si="7"/>
        <v>0</v>
      </c>
      <c r="BM127" s="46">
        <f t="shared" si="7"/>
        <v>0</v>
      </c>
      <c r="BN127" s="46">
        <f t="shared" si="7"/>
        <v>0</v>
      </c>
      <c r="BO127" s="28">
        <f>BN127+BB127</f>
        <v>0</v>
      </c>
      <c r="BP127" s="46">
        <f>SUM(BP82:BP126)</f>
        <v>236600000</v>
      </c>
      <c r="BQ127" s="46">
        <f t="shared" ref="BQ127:BW127" si="8">SUM(BQ82:BQ126)</f>
        <v>0</v>
      </c>
      <c r="BR127" s="46">
        <f t="shared" si="8"/>
        <v>0</v>
      </c>
      <c r="BS127" s="46">
        <f t="shared" si="8"/>
        <v>0</v>
      </c>
      <c r="BT127" s="46">
        <f t="shared" si="8"/>
        <v>0</v>
      </c>
      <c r="BU127" s="46">
        <f t="shared" si="8"/>
        <v>0</v>
      </c>
      <c r="BV127" s="46">
        <f t="shared" si="8"/>
        <v>0</v>
      </c>
      <c r="BW127" s="46">
        <f t="shared" si="8"/>
        <v>236600000</v>
      </c>
      <c r="BX127" s="46">
        <f t="shared" ref="BX127:CH127" si="9">SUM(BX82:BX126)</f>
        <v>84000000</v>
      </c>
      <c r="BY127" s="46">
        <f t="shared" si="9"/>
        <v>0</v>
      </c>
      <c r="BZ127" s="46">
        <f t="shared" si="9"/>
        <v>0</v>
      </c>
      <c r="CA127" s="46">
        <f t="shared" si="9"/>
        <v>0</v>
      </c>
      <c r="CB127" s="46">
        <f t="shared" si="9"/>
        <v>0</v>
      </c>
      <c r="CC127" s="46">
        <f t="shared" si="9"/>
        <v>84000000</v>
      </c>
      <c r="CD127" s="46">
        <f t="shared" si="9"/>
        <v>204000000</v>
      </c>
      <c r="CE127" s="46">
        <f t="shared" si="9"/>
        <v>0</v>
      </c>
      <c r="CF127" s="46">
        <f t="shared" si="9"/>
        <v>330000000</v>
      </c>
      <c r="CG127" s="46">
        <f t="shared" si="9"/>
        <v>330000000</v>
      </c>
      <c r="CH127" s="46">
        <f t="shared" si="9"/>
        <v>534000000</v>
      </c>
      <c r="CI127" s="46">
        <f>SUM(CI82:CI126)</f>
        <v>0</v>
      </c>
      <c r="CJ127" s="46">
        <f>SUM(CJ82:CJ126)</f>
        <v>854600000</v>
      </c>
      <c r="CK127" s="69"/>
    </row>
    <row r="128" spans="1:89" s="4" customFormat="1" ht="48">
      <c r="A128" s="443"/>
      <c r="B128" s="332" t="s">
        <v>387</v>
      </c>
      <c r="C128" s="384" t="s">
        <v>323</v>
      </c>
      <c r="D128" s="388" t="s">
        <v>503</v>
      </c>
      <c r="E128" s="325">
        <v>0</v>
      </c>
      <c r="F128" s="325">
        <v>1478</v>
      </c>
      <c r="G128" s="325">
        <v>1478</v>
      </c>
      <c r="H128" s="325">
        <v>1478</v>
      </c>
      <c r="I128" s="325">
        <v>1478</v>
      </c>
      <c r="J128" s="325">
        <v>1478</v>
      </c>
      <c r="K128" s="335"/>
      <c r="L128" s="335"/>
      <c r="M128" s="335"/>
      <c r="N128" s="335"/>
      <c r="O128" s="335"/>
      <c r="P128" s="335"/>
      <c r="Q128" s="335"/>
      <c r="R128" s="335"/>
      <c r="S128" s="335"/>
      <c r="T128" s="335"/>
      <c r="U128" s="335"/>
      <c r="V128" s="335"/>
      <c r="W128" s="335"/>
      <c r="X128" s="335"/>
      <c r="Y128" s="335"/>
      <c r="Z128" s="335"/>
      <c r="AA128" s="335"/>
      <c r="AB128" s="335"/>
      <c r="AC128" s="335"/>
      <c r="AD128" s="335"/>
      <c r="AE128" s="335"/>
      <c r="AF128" s="335"/>
      <c r="AG128" s="335"/>
      <c r="AH128" s="335"/>
      <c r="AI128" s="335"/>
      <c r="AJ128" s="335"/>
      <c r="AK128" s="335"/>
      <c r="AL128" s="335"/>
      <c r="AM128" s="325" t="s">
        <v>183</v>
      </c>
      <c r="AN128" s="314" t="s">
        <v>184</v>
      </c>
      <c r="AO128" s="128" t="s">
        <v>324</v>
      </c>
      <c r="AP128" s="153"/>
      <c r="AQ128" s="153"/>
      <c r="AR128" s="153"/>
      <c r="AS128" s="367"/>
      <c r="AT128" s="367"/>
      <c r="AU128" s="357"/>
      <c r="AV128" s="357"/>
      <c r="AW128" s="357"/>
      <c r="AX128" s="357"/>
      <c r="AY128" s="357"/>
      <c r="AZ128" s="357"/>
      <c r="BA128" s="357"/>
      <c r="BB128" s="357">
        <v>1070000000</v>
      </c>
      <c r="BC128" s="357"/>
      <c r="BD128" s="357"/>
      <c r="BE128" s="357"/>
      <c r="BF128" s="357"/>
      <c r="BG128" s="357"/>
      <c r="BH128" s="357"/>
      <c r="BI128" s="357"/>
      <c r="BJ128" s="357"/>
      <c r="BK128" s="357"/>
      <c r="BL128" s="357"/>
      <c r="BM128" s="357"/>
      <c r="BN128" s="26">
        <f>SUM(BC128:BM128)</f>
        <v>0</v>
      </c>
      <c r="BO128" s="26">
        <f>BN128+BB128</f>
        <v>1070000000</v>
      </c>
      <c r="BP128" s="39">
        <v>1222000000</v>
      </c>
      <c r="BQ128" s="24"/>
      <c r="BR128" s="24"/>
      <c r="BS128" s="24"/>
      <c r="BT128" s="24"/>
      <c r="BU128" s="24"/>
      <c r="BV128" s="364">
        <f>SUM(BQ128:BU128)</f>
        <v>0</v>
      </c>
      <c r="BW128" s="364">
        <f>BV128+BP128</f>
        <v>1222000000</v>
      </c>
      <c r="BX128" s="357">
        <v>668722625</v>
      </c>
      <c r="BY128" s="357"/>
      <c r="BZ128" s="357"/>
      <c r="CA128" s="357"/>
      <c r="CB128" s="364">
        <f>SUM(BY128:CA128)</f>
        <v>0</v>
      </c>
      <c r="CC128" s="364">
        <f>CB128+BX128</f>
        <v>668722625</v>
      </c>
      <c r="CD128" s="357">
        <v>300000000</v>
      </c>
      <c r="CE128" s="357"/>
      <c r="CF128" s="357"/>
      <c r="CG128" s="364">
        <f>SUM(CE128:CF128)</f>
        <v>0</v>
      </c>
      <c r="CH128" s="364">
        <f>CG128+CD128</f>
        <v>300000000</v>
      </c>
      <c r="CI128" s="357">
        <f>49350000+8250000</f>
        <v>57600000</v>
      </c>
      <c r="CJ128" s="364">
        <f>CH128+CC128+BW128+BO128+CI128</f>
        <v>3318322625</v>
      </c>
      <c r="CK128" s="364"/>
    </row>
    <row r="129" spans="1:89" s="4" customFormat="1" ht="36">
      <c r="A129" s="443"/>
      <c r="B129" s="333"/>
      <c r="C129" s="385"/>
      <c r="D129" s="389"/>
      <c r="E129" s="326"/>
      <c r="F129" s="326"/>
      <c r="G129" s="326"/>
      <c r="H129" s="326"/>
      <c r="I129" s="326"/>
      <c r="J129" s="326"/>
      <c r="K129" s="335"/>
      <c r="L129" s="335"/>
      <c r="M129" s="335"/>
      <c r="N129" s="335"/>
      <c r="O129" s="335"/>
      <c r="P129" s="335"/>
      <c r="Q129" s="335"/>
      <c r="R129" s="335"/>
      <c r="S129" s="335"/>
      <c r="T129" s="335"/>
      <c r="U129" s="335"/>
      <c r="V129" s="335"/>
      <c r="W129" s="335"/>
      <c r="X129" s="335"/>
      <c r="Y129" s="335"/>
      <c r="Z129" s="335"/>
      <c r="AA129" s="335"/>
      <c r="AB129" s="335"/>
      <c r="AC129" s="335"/>
      <c r="AD129" s="335"/>
      <c r="AE129" s="335"/>
      <c r="AF129" s="335"/>
      <c r="AG129" s="335"/>
      <c r="AH129" s="335"/>
      <c r="AI129" s="335"/>
      <c r="AJ129" s="335"/>
      <c r="AK129" s="335"/>
      <c r="AL129" s="335"/>
      <c r="AM129" s="326"/>
      <c r="AN129" s="320"/>
      <c r="AO129" s="128" t="s">
        <v>325</v>
      </c>
      <c r="AP129" s="154"/>
      <c r="AQ129" s="154"/>
      <c r="AR129" s="154"/>
      <c r="AS129" s="368"/>
      <c r="AT129" s="368"/>
      <c r="AU129" s="359"/>
      <c r="AV129" s="359"/>
      <c r="AW129" s="359"/>
      <c r="AX129" s="359"/>
      <c r="AY129" s="359"/>
      <c r="AZ129" s="359"/>
      <c r="BA129" s="359"/>
      <c r="BB129" s="359"/>
      <c r="BC129" s="359"/>
      <c r="BD129" s="359"/>
      <c r="BE129" s="359"/>
      <c r="BF129" s="359"/>
      <c r="BG129" s="359"/>
      <c r="BH129" s="359"/>
      <c r="BI129" s="359"/>
      <c r="BJ129" s="359"/>
      <c r="BK129" s="359"/>
      <c r="BL129" s="359"/>
      <c r="BM129" s="359"/>
      <c r="BN129" s="26"/>
      <c r="BO129" s="26"/>
      <c r="BP129" s="92"/>
      <c r="BQ129" s="24"/>
      <c r="BR129" s="24"/>
      <c r="BS129" s="24"/>
      <c r="BT129" s="24"/>
      <c r="BU129" s="24"/>
      <c r="BV129" s="365"/>
      <c r="BW129" s="365"/>
      <c r="BX129" s="359"/>
      <c r="BY129" s="359"/>
      <c r="BZ129" s="359"/>
      <c r="CA129" s="359"/>
      <c r="CB129" s="365"/>
      <c r="CC129" s="365"/>
      <c r="CD129" s="359"/>
      <c r="CE129" s="359"/>
      <c r="CF129" s="359"/>
      <c r="CG129" s="365"/>
      <c r="CH129" s="365"/>
      <c r="CI129" s="359"/>
      <c r="CJ129" s="365"/>
      <c r="CK129" s="365"/>
    </row>
    <row r="130" spans="1:89" s="4" customFormat="1" ht="36">
      <c r="A130" s="443"/>
      <c r="B130" s="333"/>
      <c r="C130" s="385"/>
      <c r="D130" s="389"/>
      <c r="E130" s="326"/>
      <c r="F130" s="326"/>
      <c r="G130" s="326"/>
      <c r="H130" s="326"/>
      <c r="I130" s="326"/>
      <c r="J130" s="326"/>
      <c r="K130" s="335"/>
      <c r="L130" s="335"/>
      <c r="M130" s="335"/>
      <c r="N130" s="335"/>
      <c r="O130" s="335"/>
      <c r="P130" s="335"/>
      <c r="Q130" s="335"/>
      <c r="R130" s="335"/>
      <c r="S130" s="335"/>
      <c r="T130" s="335"/>
      <c r="U130" s="335"/>
      <c r="V130" s="335"/>
      <c r="W130" s="335"/>
      <c r="X130" s="335"/>
      <c r="Y130" s="335"/>
      <c r="Z130" s="335"/>
      <c r="AA130" s="335"/>
      <c r="AB130" s="335"/>
      <c r="AC130" s="335"/>
      <c r="AD130" s="335"/>
      <c r="AE130" s="335"/>
      <c r="AF130" s="335"/>
      <c r="AG130" s="335"/>
      <c r="AH130" s="335"/>
      <c r="AI130" s="335"/>
      <c r="AJ130" s="335"/>
      <c r="AK130" s="335"/>
      <c r="AL130" s="335"/>
      <c r="AM130" s="326"/>
      <c r="AN130" s="320"/>
      <c r="AO130" s="128" t="s">
        <v>326</v>
      </c>
      <c r="AP130" s="154"/>
      <c r="AQ130" s="154"/>
      <c r="AR130" s="154"/>
      <c r="AS130" s="368"/>
      <c r="AT130" s="368"/>
      <c r="AU130" s="359"/>
      <c r="AV130" s="359"/>
      <c r="AW130" s="359"/>
      <c r="AX130" s="359"/>
      <c r="AY130" s="359"/>
      <c r="AZ130" s="359"/>
      <c r="BA130" s="359"/>
      <c r="BB130" s="359"/>
      <c r="BC130" s="359"/>
      <c r="BD130" s="359"/>
      <c r="BE130" s="359"/>
      <c r="BF130" s="359"/>
      <c r="BG130" s="359"/>
      <c r="BH130" s="359"/>
      <c r="BI130" s="359"/>
      <c r="BJ130" s="359"/>
      <c r="BK130" s="359"/>
      <c r="BL130" s="359"/>
      <c r="BM130" s="359"/>
      <c r="BN130" s="26"/>
      <c r="BO130" s="26"/>
      <c r="BP130" s="92"/>
      <c r="BQ130" s="24"/>
      <c r="BR130" s="24"/>
      <c r="BS130" s="24"/>
      <c r="BT130" s="24"/>
      <c r="BU130" s="24"/>
      <c r="BV130" s="365"/>
      <c r="BW130" s="365"/>
      <c r="BX130" s="359"/>
      <c r="BY130" s="359"/>
      <c r="BZ130" s="359"/>
      <c r="CA130" s="359"/>
      <c r="CB130" s="365"/>
      <c r="CC130" s="365"/>
      <c r="CD130" s="359"/>
      <c r="CE130" s="359"/>
      <c r="CF130" s="359"/>
      <c r="CG130" s="365"/>
      <c r="CH130" s="365"/>
      <c r="CI130" s="359"/>
      <c r="CJ130" s="365"/>
      <c r="CK130" s="365"/>
    </row>
    <row r="131" spans="1:89" s="4" customFormat="1" ht="36">
      <c r="A131" s="443"/>
      <c r="B131" s="333"/>
      <c r="C131" s="433"/>
      <c r="D131" s="390"/>
      <c r="E131" s="327"/>
      <c r="F131" s="327"/>
      <c r="G131" s="327"/>
      <c r="H131" s="327"/>
      <c r="I131" s="327"/>
      <c r="J131" s="327"/>
      <c r="K131" s="335"/>
      <c r="L131" s="335"/>
      <c r="M131" s="335"/>
      <c r="N131" s="335"/>
      <c r="O131" s="335"/>
      <c r="P131" s="335"/>
      <c r="Q131" s="335"/>
      <c r="R131" s="335"/>
      <c r="S131" s="335"/>
      <c r="T131" s="335"/>
      <c r="U131" s="335"/>
      <c r="V131" s="335"/>
      <c r="W131" s="335"/>
      <c r="X131" s="335"/>
      <c r="Y131" s="335"/>
      <c r="Z131" s="335"/>
      <c r="AA131" s="335"/>
      <c r="AB131" s="335"/>
      <c r="AC131" s="335"/>
      <c r="AD131" s="335"/>
      <c r="AE131" s="335"/>
      <c r="AF131" s="335"/>
      <c r="AG131" s="335"/>
      <c r="AH131" s="335"/>
      <c r="AI131" s="335"/>
      <c r="AJ131" s="335"/>
      <c r="AK131" s="335"/>
      <c r="AL131" s="335"/>
      <c r="AM131" s="327"/>
      <c r="AN131" s="315"/>
      <c r="AO131" s="93" t="s">
        <v>327</v>
      </c>
      <c r="AP131" s="155"/>
      <c r="AQ131" s="155"/>
      <c r="AR131" s="155"/>
      <c r="AS131" s="369"/>
      <c r="AT131" s="369"/>
      <c r="AU131" s="358"/>
      <c r="AV131" s="358"/>
      <c r="AW131" s="358"/>
      <c r="AX131" s="358"/>
      <c r="AY131" s="358"/>
      <c r="AZ131" s="358"/>
      <c r="BA131" s="358"/>
      <c r="BB131" s="358"/>
      <c r="BC131" s="358"/>
      <c r="BD131" s="358"/>
      <c r="BE131" s="358"/>
      <c r="BF131" s="358"/>
      <c r="BG131" s="358"/>
      <c r="BH131" s="358"/>
      <c r="BI131" s="358"/>
      <c r="BJ131" s="358"/>
      <c r="BK131" s="358"/>
      <c r="BL131" s="358"/>
      <c r="BM131" s="358"/>
      <c r="BN131" s="26"/>
      <c r="BO131" s="26"/>
      <c r="BP131" s="92"/>
      <c r="BQ131" s="24"/>
      <c r="BR131" s="24"/>
      <c r="BS131" s="24"/>
      <c r="BT131" s="24"/>
      <c r="BU131" s="24"/>
      <c r="BV131" s="366"/>
      <c r="BW131" s="366"/>
      <c r="BX131" s="358"/>
      <c r="BY131" s="358"/>
      <c r="BZ131" s="358"/>
      <c r="CA131" s="358"/>
      <c r="CB131" s="366"/>
      <c r="CC131" s="366"/>
      <c r="CD131" s="358"/>
      <c r="CE131" s="358"/>
      <c r="CF131" s="358"/>
      <c r="CG131" s="366"/>
      <c r="CH131" s="366"/>
      <c r="CI131" s="358"/>
      <c r="CJ131" s="366"/>
      <c r="CK131" s="366"/>
    </row>
    <row r="132" spans="1:89" s="4" customFormat="1" ht="96">
      <c r="A132" s="443"/>
      <c r="B132" s="333"/>
      <c r="C132" s="384" t="s">
        <v>328</v>
      </c>
      <c r="D132" s="388" t="s">
        <v>504</v>
      </c>
      <c r="E132" s="325">
        <v>2</v>
      </c>
      <c r="F132" s="325">
        <v>8</v>
      </c>
      <c r="G132" s="325">
        <v>3</v>
      </c>
      <c r="H132" s="325">
        <v>2</v>
      </c>
      <c r="I132" s="325">
        <v>0</v>
      </c>
      <c r="J132" s="325">
        <v>0</v>
      </c>
      <c r="K132" s="335"/>
      <c r="L132" s="335"/>
      <c r="M132" s="335"/>
      <c r="N132" s="335"/>
      <c r="O132" s="335"/>
      <c r="P132" s="335"/>
      <c r="Q132" s="335"/>
      <c r="R132" s="335"/>
      <c r="S132" s="335"/>
      <c r="T132" s="335"/>
      <c r="U132" s="335"/>
      <c r="V132" s="335"/>
      <c r="W132" s="335"/>
      <c r="X132" s="335"/>
      <c r="Y132" s="335"/>
      <c r="Z132" s="335"/>
      <c r="AA132" s="335"/>
      <c r="AB132" s="335"/>
      <c r="AC132" s="335"/>
      <c r="AD132" s="335"/>
      <c r="AE132" s="335"/>
      <c r="AF132" s="335"/>
      <c r="AG132" s="335"/>
      <c r="AH132" s="335"/>
      <c r="AI132" s="335"/>
      <c r="AJ132" s="335"/>
      <c r="AK132" s="335"/>
      <c r="AL132" s="335"/>
      <c r="AM132" s="325" t="s">
        <v>49</v>
      </c>
      <c r="AN132" s="325" t="s">
        <v>61</v>
      </c>
      <c r="AO132" s="127" t="s">
        <v>329</v>
      </c>
      <c r="AP132" s="105"/>
      <c r="AQ132" s="105"/>
      <c r="AR132" s="105"/>
      <c r="AS132" s="367"/>
      <c r="AT132" s="367"/>
      <c r="AU132" s="357"/>
      <c r="AV132" s="357"/>
      <c r="AW132" s="357"/>
      <c r="AX132" s="357"/>
      <c r="AY132" s="357"/>
      <c r="AZ132" s="357"/>
      <c r="BA132" s="357"/>
      <c r="BB132" s="357"/>
      <c r="BC132" s="357"/>
      <c r="BD132" s="357"/>
      <c r="BE132" s="357"/>
      <c r="BF132" s="357"/>
      <c r="BG132" s="357"/>
      <c r="BH132" s="357"/>
      <c r="BI132" s="357"/>
      <c r="BJ132" s="357"/>
      <c r="BK132" s="357"/>
      <c r="BL132" s="357"/>
      <c r="BM132" s="357"/>
      <c r="BN132" s="26">
        <f>SUM(BC132:BM132)</f>
        <v>0</v>
      </c>
      <c r="BO132" s="26">
        <f>BN132+BB132</f>
        <v>0</v>
      </c>
      <c r="BP132" s="39"/>
      <c r="BQ132" s="24"/>
      <c r="BR132" s="24"/>
      <c r="BS132" s="24"/>
      <c r="BT132" s="24"/>
      <c r="BU132" s="24"/>
      <c r="BV132" s="26">
        <f>SUM(BQ132:BU132)</f>
        <v>0</v>
      </c>
      <c r="BW132" s="26">
        <f>BV132+BP132</f>
        <v>0</v>
      </c>
      <c r="BX132" s="58"/>
      <c r="BY132" s="24"/>
      <c r="BZ132" s="24"/>
      <c r="CA132" s="24"/>
      <c r="CB132" s="26">
        <f>SUM(BY132:CA132)</f>
        <v>0</v>
      </c>
      <c r="CC132" s="364">
        <f>CB132+BX132</f>
        <v>0</v>
      </c>
      <c r="CD132" s="357"/>
      <c r="CE132" s="357"/>
      <c r="CF132" s="357"/>
      <c r="CG132" s="364">
        <f>SUM(CE132:CF132)</f>
        <v>0</v>
      </c>
      <c r="CH132" s="364">
        <f>CG132+CD132</f>
        <v>0</v>
      </c>
      <c r="CI132" s="357"/>
      <c r="CJ132" s="364">
        <f>CH132+CC132+BW132+BO132+CI132</f>
        <v>0</v>
      </c>
      <c r="CK132" s="364"/>
    </row>
    <row r="133" spans="1:89" s="4" customFormat="1" ht="36">
      <c r="A133" s="443"/>
      <c r="B133" s="333"/>
      <c r="C133" s="385"/>
      <c r="D133" s="390"/>
      <c r="E133" s="327"/>
      <c r="F133" s="327"/>
      <c r="G133" s="327"/>
      <c r="H133" s="327"/>
      <c r="I133" s="327"/>
      <c r="J133" s="327"/>
      <c r="K133" s="335"/>
      <c r="L133" s="335"/>
      <c r="M133" s="335"/>
      <c r="N133" s="335"/>
      <c r="O133" s="335"/>
      <c r="P133" s="335"/>
      <c r="Q133" s="335"/>
      <c r="R133" s="335"/>
      <c r="S133" s="335"/>
      <c r="T133" s="335"/>
      <c r="U133" s="335"/>
      <c r="V133" s="335"/>
      <c r="W133" s="335"/>
      <c r="X133" s="335"/>
      <c r="Y133" s="335"/>
      <c r="Z133" s="335"/>
      <c r="AA133" s="335"/>
      <c r="AB133" s="335"/>
      <c r="AC133" s="335"/>
      <c r="AD133" s="335"/>
      <c r="AE133" s="335"/>
      <c r="AF133" s="335"/>
      <c r="AG133" s="335"/>
      <c r="AH133" s="335"/>
      <c r="AI133" s="335"/>
      <c r="AJ133" s="335"/>
      <c r="AK133" s="335"/>
      <c r="AL133" s="335"/>
      <c r="AM133" s="327"/>
      <c r="AN133" s="327"/>
      <c r="AO133" s="127" t="s">
        <v>330</v>
      </c>
      <c r="AP133" s="156"/>
      <c r="AQ133" s="156"/>
      <c r="AR133" s="156"/>
      <c r="AS133" s="369"/>
      <c r="AT133" s="369"/>
      <c r="AU133" s="358"/>
      <c r="AV133" s="358"/>
      <c r="AW133" s="358"/>
      <c r="AX133" s="358"/>
      <c r="AY133" s="358"/>
      <c r="AZ133" s="358"/>
      <c r="BA133" s="358"/>
      <c r="BB133" s="358"/>
      <c r="BC133" s="358"/>
      <c r="BD133" s="358"/>
      <c r="BE133" s="358"/>
      <c r="BF133" s="358"/>
      <c r="BG133" s="358"/>
      <c r="BH133" s="358"/>
      <c r="BI133" s="358"/>
      <c r="BJ133" s="358"/>
      <c r="BK133" s="358"/>
      <c r="BL133" s="358"/>
      <c r="BM133" s="358"/>
      <c r="BN133" s="26"/>
      <c r="BO133" s="26"/>
      <c r="BP133" s="92"/>
      <c r="BQ133" s="24"/>
      <c r="BR133" s="24"/>
      <c r="BS133" s="24"/>
      <c r="BT133" s="24"/>
      <c r="BU133" s="24"/>
      <c r="BV133" s="26"/>
      <c r="BW133" s="26"/>
      <c r="BX133" s="92"/>
      <c r="BY133" s="24"/>
      <c r="BZ133" s="24"/>
      <c r="CA133" s="24"/>
      <c r="CB133" s="26"/>
      <c r="CC133" s="366"/>
      <c r="CD133" s="358"/>
      <c r="CE133" s="358"/>
      <c r="CF133" s="358"/>
      <c r="CG133" s="366"/>
      <c r="CH133" s="366"/>
      <c r="CI133" s="358"/>
      <c r="CJ133" s="366"/>
      <c r="CK133" s="366"/>
    </row>
    <row r="134" spans="1:89" s="4" customFormat="1" ht="33" customHeight="1">
      <c r="A134" s="443"/>
      <c r="B134" s="333"/>
      <c r="C134" s="385"/>
      <c r="D134" s="439" t="s">
        <v>505</v>
      </c>
      <c r="E134" s="353">
        <v>3900</v>
      </c>
      <c r="F134" s="353">
        <v>3900</v>
      </c>
      <c r="G134" s="353">
        <v>3900</v>
      </c>
      <c r="H134" s="353">
        <v>3900</v>
      </c>
      <c r="I134" s="353">
        <v>3900</v>
      </c>
      <c r="J134" s="353">
        <v>3900</v>
      </c>
      <c r="K134" s="335"/>
      <c r="L134" s="335"/>
      <c r="M134" s="335"/>
      <c r="N134" s="335"/>
      <c r="O134" s="335"/>
      <c r="P134" s="335"/>
      <c r="Q134" s="335"/>
      <c r="R134" s="335"/>
      <c r="S134" s="335"/>
      <c r="T134" s="335"/>
      <c r="U134" s="335"/>
      <c r="V134" s="335"/>
      <c r="W134" s="335"/>
      <c r="X134" s="335"/>
      <c r="Y134" s="335"/>
      <c r="Z134" s="335"/>
      <c r="AA134" s="335"/>
      <c r="AB134" s="335"/>
      <c r="AC134" s="335"/>
      <c r="AD134" s="335"/>
      <c r="AE134" s="335"/>
      <c r="AF134" s="335"/>
      <c r="AG134" s="335"/>
      <c r="AH134" s="335"/>
      <c r="AI134" s="335"/>
      <c r="AJ134" s="335"/>
      <c r="AK134" s="335"/>
      <c r="AL134" s="335"/>
      <c r="AM134" s="353" t="s">
        <v>185</v>
      </c>
      <c r="AN134" s="353" t="s">
        <v>24</v>
      </c>
      <c r="AO134" s="127" t="s">
        <v>186</v>
      </c>
      <c r="AP134" s="105"/>
      <c r="AQ134" s="105"/>
      <c r="AR134" s="105"/>
      <c r="AS134" s="367"/>
      <c r="AT134" s="367"/>
      <c r="AU134" s="357"/>
      <c r="AV134" s="357"/>
      <c r="AW134" s="357"/>
      <c r="AX134" s="357"/>
      <c r="AY134" s="357"/>
      <c r="AZ134" s="357"/>
      <c r="BA134" s="357">
        <v>150000000</v>
      </c>
      <c r="BB134" s="357"/>
      <c r="BC134" s="357"/>
      <c r="BD134" s="357"/>
      <c r="BE134" s="357"/>
      <c r="BF134" s="357"/>
      <c r="BG134" s="357"/>
      <c r="BH134" s="357"/>
      <c r="BI134" s="357"/>
      <c r="BJ134" s="357"/>
      <c r="BK134" s="357"/>
      <c r="BL134" s="357"/>
      <c r="BM134" s="357"/>
      <c r="BN134" s="335">
        <f>SUM(BC134:BM135)</f>
        <v>0</v>
      </c>
      <c r="BO134" s="335">
        <f>BN134+BB134</f>
        <v>0</v>
      </c>
      <c r="BP134" s="335"/>
      <c r="BQ134" s="335"/>
      <c r="BR134" s="335"/>
      <c r="BS134" s="335"/>
      <c r="BT134" s="335"/>
      <c r="BU134" s="335"/>
      <c r="BV134" s="335">
        <f>SUM(BQ134:BU135)</f>
        <v>0</v>
      </c>
      <c r="BW134" s="335">
        <f>BV134+BP134</f>
        <v>0</v>
      </c>
      <c r="BX134" s="335"/>
      <c r="BY134" s="335"/>
      <c r="BZ134" s="335"/>
      <c r="CA134" s="335"/>
      <c r="CB134" s="335">
        <f>SUM(BY134:CA135)</f>
        <v>0</v>
      </c>
      <c r="CC134" s="357">
        <f>CB134+BX134</f>
        <v>0</v>
      </c>
      <c r="CD134" s="357"/>
      <c r="CE134" s="357"/>
      <c r="CF134" s="357"/>
      <c r="CG134" s="357">
        <f>SUM(CE134:CF135)</f>
        <v>0</v>
      </c>
      <c r="CH134" s="357">
        <f>CG134+CD134</f>
        <v>0</v>
      </c>
      <c r="CI134" s="357">
        <v>11500000</v>
      </c>
      <c r="CJ134" s="357">
        <f>CH134+CC134+BW134+BO134+CI134</f>
        <v>11500000</v>
      </c>
      <c r="CK134" s="357"/>
    </row>
    <row r="135" spans="1:89" s="4" customFormat="1" ht="36">
      <c r="A135" s="443"/>
      <c r="B135" s="333"/>
      <c r="C135" s="385"/>
      <c r="D135" s="440"/>
      <c r="E135" s="354"/>
      <c r="F135" s="354"/>
      <c r="G135" s="354"/>
      <c r="H135" s="354"/>
      <c r="I135" s="354"/>
      <c r="J135" s="354"/>
      <c r="K135" s="335"/>
      <c r="L135" s="335"/>
      <c r="M135" s="335"/>
      <c r="N135" s="335"/>
      <c r="O135" s="335"/>
      <c r="P135" s="335"/>
      <c r="Q135" s="335"/>
      <c r="R135" s="335"/>
      <c r="S135" s="335"/>
      <c r="T135" s="335"/>
      <c r="U135" s="335"/>
      <c r="V135" s="335"/>
      <c r="W135" s="335"/>
      <c r="X135" s="335"/>
      <c r="Y135" s="335"/>
      <c r="Z135" s="335"/>
      <c r="AA135" s="335"/>
      <c r="AB135" s="335"/>
      <c r="AC135" s="335"/>
      <c r="AD135" s="335"/>
      <c r="AE135" s="335"/>
      <c r="AF135" s="335"/>
      <c r="AG135" s="335"/>
      <c r="AH135" s="335"/>
      <c r="AI135" s="335"/>
      <c r="AJ135" s="335"/>
      <c r="AK135" s="335"/>
      <c r="AL135" s="335"/>
      <c r="AM135" s="354"/>
      <c r="AN135" s="354"/>
      <c r="AO135" s="127" t="s">
        <v>331</v>
      </c>
      <c r="AP135" s="157"/>
      <c r="AQ135" s="157"/>
      <c r="AR135" s="157"/>
      <c r="AS135" s="368"/>
      <c r="AT135" s="368"/>
      <c r="AU135" s="359"/>
      <c r="AV135" s="359"/>
      <c r="AW135" s="359"/>
      <c r="AX135" s="359"/>
      <c r="AY135" s="359"/>
      <c r="AZ135" s="359"/>
      <c r="BA135" s="359"/>
      <c r="BB135" s="359"/>
      <c r="BC135" s="359"/>
      <c r="BD135" s="359"/>
      <c r="BE135" s="359"/>
      <c r="BF135" s="359"/>
      <c r="BG135" s="359"/>
      <c r="BH135" s="359"/>
      <c r="BI135" s="359"/>
      <c r="BJ135" s="359"/>
      <c r="BK135" s="359"/>
      <c r="BL135" s="359"/>
      <c r="BM135" s="359"/>
      <c r="BN135" s="335"/>
      <c r="BO135" s="335"/>
      <c r="BP135" s="335"/>
      <c r="BQ135" s="335"/>
      <c r="BR135" s="335"/>
      <c r="BS135" s="335"/>
      <c r="BT135" s="335"/>
      <c r="BU135" s="335"/>
      <c r="BV135" s="335"/>
      <c r="BW135" s="335"/>
      <c r="BX135" s="335"/>
      <c r="BY135" s="335"/>
      <c r="BZ135" s="335"/>
      <c r="CA135" s="335"/>
      <c r="CB135" s="335"/>
      <c r="CC135" s="359"/>
      <c r="CD135" s="359"/>
      <c r="CE135" s="359"/>
      <c r="CF135" s="359"/>
      <c r="CG135" s="359"/>
      <c r="CH135" s="359"/>
      <c r="CI135" s="359"/>
      <c r="CJ135" s="359"/>
      <c r="CK135" s="359"/>
    </row>
    <row r="136" spans="1:89" s="4" customFormat="1" ht="36">
      <c r="A136" s="443"/>
      <c r="B136" s="333"/>
      <c r="C136" s="385"/>
      <c r="D136" s="440"/>
      <c r="E136" s="354"/>
      <c r="F136" s="354"/>
      <c r="G136" s="354"/>
      <c r="H136" s="354"/>
      <c r="I136" s="354"/>
      <c r="J136" s="354"/>
      <c r="K136" s="335"/>
      <c r="L136" s="335"/>
      <c r="M136" s="335"/>
      <c r="N136" s="335"/>
      <c r="O136" s="335"/>
      <c r="P136" s="335"/>
      <c r="Q136" s="335"/>
      <c r="R136" s="335"/>
      <c r="S136" s="335"/>
      <c r="T136" s="335"/>
      <c r="U136" s="335"/>
      <c r="V136" s="335"/>
      <c r="W136" s="335"/>
      <c r="X136" s="335"/>
      <c r="Y136" s="335"/>
      <c r="Z136" s="335"/>
      <c r="AA136" s="335"/>
      <c r="AB136" s="335"/>
      <c r="AC136" s="335"/>
      <c r="AD136" s="335"/>
      <c r="AE136" s="335"/>
      <c r="AF136" s="335"/>
      <c r="AG136" s="335"/>
      <c r="AH136" s="335"/>
      <c r="AI136" s="335"/>
      <c r="AJ136" s="335"/>
      <c r="AK136" s="335"/>
      <c r="AL136" s="335"/>
      <c r="AM136" s="354"/>
      <c r="AN136" s="355"/>
      <c r="AO136" s="127" t="s">
        <v>331</v>
      </c>
      <c r="AP136" s="157"/>
      <c r="AQ136" s="157"/>
      <c r="AR136" s="157"/>
      <c r="AS136" s="368"/>
      <c r="AT136" s="368"/>
      <c r="AU136" s="359"/>
      <c r="AV136" s="359"/>
      <c r="AW136" s="359"/>
      <c r="AX136" s="359"/>
      <c r="AY136" s="359"/>
      <c r="AZ136" s="359"/>
      <c r="BA136" s="359"/>
      <c r="BB136" s="359"/>
      <c r="BC136" s="359"/>
      <c r="BD136" s="359"/>
      <c r="BE136" s="359"/>
      <c r="BF136" s="359"/>
      <c r="BG136" s="359"/>
      <c r="BH136" s="359"/>
      <c r="BI136" s="359"/>
      <c r="BJ136" s="359"/>
      <c r="BK136" s="359"/>
      <c r="BL136" s="359"/>
      <c r="BM136" s="359"/>
      <c r="BN136" s="92"/>
      <c r="BO136" s="92"/>
      <c r="BP136" s="92"/>
      <c r="BQ136" s="92"/>
      <c r="BR136" s="92"/>
      <c r="BS136" s="92"/>
      <c r="BT136" s="92"/>
      <c r="BU136" s="92"/>
      <c r="BV136" s="92"/>
      <c r="BW136" s="92"/>
      <c r="BX136" s="92"/>
      <c r="BY136" s="92"/>
      <c r="BZ136" s="92"/>
      <c r="CA136" s="92"/>
      <c r="CB136" s="92"/>
      <c r="CC136" s="359"/>
      <c r="CD136" s="359"/>
      <c r="CE136" s="359"/>
      <c r="CF136" s="359"/>
      <c r="CG136" s="359"/>
      <c r="CH136" s="359"/>
      <c r="CI136" s="359"/>
      <c r="CJ136" s="359"/>
      <c r="CK136" s="359"/>
    </row>
    <row r="137" spans="1:89" s="4" customFormat="1" ht="84">
      <c r="A137" s="443"/>
      <c r="B137" s="333"/>
      <c r="C137" s="385"/>
      <c r="D137" s="440"/>
      <c r="E137" s="354"/>
      <c r="F137" s="354"/>
      <c r="G137" s="354"/>
      <c r="H137" s="354"/>
      <c r="I137" s="354"/>
      <c r="J137" s="354"/>
      <c r="K137" s="335"/>
      <c r="L137" s="335"/>
      <c r="M137" s="335"/>
      <c r="N137" s="335"/>
      <c r="O137" s="335"/>
      <c r="P137" s="335"/>
      <c r="Q137" s="335"/>
      <c r="R137" s="335"/>
      <c r="S137" s="335"/>
      <c r="T137" s="335"/>
      <c r="U137" s="335"/>
      <c r="V137" s="335"/>
      <c r="W137" s="335"/>
      <c r="X137" s="335"/>
      <c r="Y137" s="335"/>
      <c r="Z137" s="335"/>
      <c r="AA137" s="335"/>
      <c r="AB137" s="335"/>
      <c r="AC137" s="335"/>
      <c r="AD137" s="335"/>
      <c r="AE137" s="335"/>
      <c r="AF137" s="335"/>
      <c r="AG137" s="335"/>
      <c r="AH137" s="335"/>
      <c r="AI137" s="335"/>
      <c r="AJ137" s="335"/>
      <c r="AK137" s="335"/>
      <c r="AL137" s="335"/>
      <c r="AM137" s="354"/>
      <c r="AN137" s="353" t="s">
        <v>188</v>
      </c>
      <c r="AO137" s="127" t="s">
        <v>333</v>
      </c>
      <c r="AP137" s="156"/>
      <c r="AQ137" s="156"/>
      <c r="AR137" s="156"/>
      <c r="AS137" s="369"/>
      <c r="AT137" s="369"/>
      <c r="AU137" s="358"/>
      <c r="AV137" s="358"/>
      <c r="AW137" s="358"/>
      <c r="AX137" s="358"/>
      <c r="AY137" s="358"/>
      <c r="AZ137" s="358"/>
      <c r="BA137" s="358"/>
      <c r="BB137" s="358"/>
      <c r="BC137" s="358"/>
      <c r="BD137" s="358"/>
      <c r="BE137" s="358"/>
      <c r="BF137" s="358"/>
      <c r="BG137" s="358"/>
      <c r="BH137" s="358"/>
      <c r="BI137" s="358"/>
      <c r="BJ137" s="358"/>
      <c r="BK137" s="358"/>
      <c r="BL137" s="358"/>
      <c r="BM137" s="358"/>
      <c r="BN137" s="92"/>
      <c r="BO137" s="92"/>
      <c r="BP137" s="92"/>
      <c r="BQ137" s="92"/>
      <c r="BR137" s="92"/>
      <c r="BS137" s="92"/>
      <c r="BT137" s="92"/>
      <c r="BU137" s="92"/>
      <c r="BV137" s="92"/>
      <c r="BW137" s="92"/>
      <c r="BX137" s="92"/>
      <c r="BY137" s="92"/>
      <c r="BZ137" s="92"/>
      <c r="CA137" s="92"/>
      <c r="CB137" s="92"/>
      <c r="CC137" s="358"/>
      <c r="CD137" s="358"/>
      <c r="CE137" s="358"/>
      <c r="CF137" s="358"/>
      <c r="CG137" s="358"/>
      <c r="CH137" s="358"/>
      <c r="CI137" s="358"/>
      <c r="CJ137" s="358"/>
      <c r="CK137" s="358"/>
    </row>
    <row r="138" spans="1:89" s="4" customFormat="1" ht="84">
      <c r="A138" s="443"/>
      <c r="B138" s="333"/>
      <c r="C138" s="385"/>
      <c r="D138" s="440"/>
      <c r="E138" s="354"/>
      <c r="F138" s="354"/>
      <c r="G138" s="354"/>
      <c r="H138" s="354"/>
      <c r="I138" s="354"/>
      <c r="J138" s="354"/>
      <c r="K138" s="335"/>
      <c r="L138" s="335"/>
      <c r="M138" s="335"/>
      <c r="N138" s="335"/>
      <c r="O138" s="335"/>
      <c r="P138" s="335"/>
      <c r="Q138" s="335"/>
      <c r="R138" s="335"/>
      <c r="S138" s="335"/>
      <c r="T138" s="335"/>
      <c r="U138" s="335"/>
      <c r="V138" s="335"/>
      <c r="W138" s="335"/>
      <c r="X138" s="335"/>
      <c r="Y138" s="335"/>
      <c r="Z138" s="335"/>
      <c r="AA138" s="335"/>
      <c r="AB138" s="335"/>
      <c r="AC138" s="335"/>
      <c r="AD138" s="335"/>
      <c r="AE138" s="335"/>
      <c r="AF138" s="335"/>
      <c r="AG138" s="335"/>
      <c r="AH138" s="335"/>
      <c r="AI138" s="335"/>
      <c r="AJ138" s="335"/>
      <c r="AK138" s="335"/>
      <c r="AL138" s="335"/>
      <c r="AM138" s="354"/>
      <c r="AN138" s="354"/>
      <c r="AO138" s="127" t="s">
        <v>333</v>
      </c>
      <c r="AP138" s="157"/>
      <c r="AQ138" s="157"/>
      <c r="AR138" s="157"/>
      <c r="AS138" s="148"/>
      <c r="AT138" s="148"/>
      <c r="AU138" s="114"/>
      <c r="AV138" s="114"/>
      <c r="AW138" s="114"/>
      <c r="AX138" s="114"/>
      <c r="AY138" s="114"/>
      <c r="AZ138" s="114"/>
      <c r="BA138" s="114"/>
      <c r="BB138" s="114"/>
      <c r="BC138" s="114"/>
      <c r="BD138" s="114"/>
      <c r="BE138" s="114"/>
      <c r="BF138" s="114"/>
      <c r="BG138" s="114"/>
      <c r="BH138" s="114"/>
      <c r="BI138" s="114"/>
      <c r="BJ138" s="114"/>
      <c r="BK138" s="114"/>
      <c r="BL138" s="114"/>
      <c r="BM138" s="114"/>
      <c r="BN138" s="119"/>
      <c r="BO138" s="119"/>
      <c r="BP138" s="119"/>
      <c r="BQ138" s="119"/>
      <c r="BR138" s="119"/>
      <c r="BS138" s="119"/>
      <c r="BT138" s="119"/>
      <c r="BU138" s="119"/>
      <c r="BV138" s="119"/>
      <c r="BW138" s="119"/>
      <c r="BX138" s="119"/>
      <c r="BY138" s="119"/>
      <c r="BZ138" s="119"/>
      <c r="CA138" s="119"/>
      <c r="CB138" s="119"/>
      <c r="CC138" s="114"/>
      <c r="CD138" s="114"/>
      <c r="CE138" s="114"/>
      <c r="CF138" s="114"/>
      <c r="CG138" s="114"/>
      <c r="CH138" s="114"/>
      <c r="CI138" s="114"/>
      <c r="CJ138" s="114"/>
      <c r="CK138" s="114"/>
    </row>
    <row r="139" spans="1:89" s="4" customFormat="1" ht="84">
      <c r="A139" s="443"/>
      <c r="B139" s="333"/>
      <c r="C139" s="385"/>
      <c r="D139" s="440"/>
      <c r="E139" s="354"/>
      <c r="F139" s="354"/>
      <c r="G139" s="354"/>
      <c r="H139" s="354"/>
      <c r="I139" s="354"/>
      <c r="J139" s="354"/>
      <c r="K139" s="335"/>
      <c r="L139" s="335"/>
      <c r="M139" s="335"/>
      <c r="N139" s="335"/>
      <c r="O139" s="335"/>
      <c r="P139" s="335"/>
      <c r="Q139" s="335"/>
      <c r="R139" s="335"/>
      <c r="S139" s="335"/>
      <c r="T139" s="335"/>
      <c r="U139" s="335"/>
      <c r="V139" s="335"/>
      <c r="W139" s="335"/>
      <c r="X139" s="335"/>
      <c r="Y139" s="335"/>
      <c r="Z139" s="335"/>
      <c r="AA139" s="335"/>
      <c r="AB139" s="335"/>
      <c r="AC139" s="335"/>
      <c r="AD139" s="335"/>
      <c r="AE139" s="335"/>
      <c r="AF139" s="335"/>
      <c r="AG139" s="335"/>
      <c r="AH139" s="335"/>
      <c r="AI139" s="335"/>
      <c r="AJ139" s="335"/>
      <c r="AK139" s="335"/>
      <c r="AL139" s="335"/>
      <c r="AM139" s="354"/>
      <c r="AN139" s="354"/>
      <c r="AO139" s="127" t="s">
        <v>332</v>
      </c>
      <c r="AP139" s="157"/>
      <c r="AQ139" s="157"/>
      <c r="AR139" s="157"/>
      <c r="AS139" s="148"/>
      <c r="AT139" s="148"/>
      <c r="AU139" s="114"/>
      <c r="AV139" s="114"/>
      <c r="AW139" s="114"/>
      <c r="AX139" s="114"/>
      <c r="AY139" s="114"/>
      <c r="AZ139" s="114"/>
      <c r="BA139" s="114"/>
      <c r="BB139" s="114"/>
      <c r="BC139" s="114"/>
      <c r="BD139" s="114"/>
      <c r="BE139" s="114"/>
      <c r="BF139" s="114"/>
      <c r="BG139" s="114"/>
      <c r="BH139" s="114"/>
      <c r="BI139" s="114"/>
      <c r="BJ139" s="114"/>
      <c r="BK139" s="114"/>
      <c r="BL139" s="114"/>
      <c r="BM139" s="114"/>
      <c r="BN139" s="119"/>
      <c r="BO139" s="119"/>
      <c r="BP139" s="119"/>
      <c r="BQ139" s="119"/>
      <c r="BR139" s="119"/>
      <c r="BS139" s="119"/>
      <c r="BT139" s="119"/>
      <c r="BU139" s="119"/>
      <c r="BV139" s="119"/>
      <c r="BW139" s="119"/>
      <c r="BX139" s="119"/>
      <c r="BY139" s="119"/>
      <c r="BZ139" s="119"/>
      <c r="CA139" s="119"/>
      <c r="CB139" s="119"/>
      <c r="CC139" s="114"/>
      <c r="CD139" s="114"/>
      <c r="CE139" s="114"/>
      <c r="CF139" s="114"/>
      <c r="CG139" s="114"/>
      <c r="CH139" s="114"/>
      <c r="CI139" s="114"/>
      <c r="CJ139" s="114"/>
      <c r="CK139" s="114"/>
    </row>
    <row r="140" spans="1:89" s="4" customFormat="1" ht="48">
      <c r="A140" s="443"/>
      <c r="B140" s="333"/>
      <c r="C140" s="433"/>
      <c r="D140" s="441"/>
      <c r="E140" s="355"/>
      <c r="F140" s="355"/>
      <c r="G140" s="355"/>
      <c r="H140" s="355"/>
      <c r="I140" s="355"/>
      <c r="J140" s="355"/>
      <c r="K140" s="335"/>
      <c r="L140" s="335"/>
      <c r="M140" s="335"/>
      <c r="N140" s="335"/>
      <c r="O140" s="335"/>
      <c r="P140" s="335"/>
      <c r="Q140" s="335"/>
      <c r="R140" s="335"/>
      <c r="S140" s="335"/>
      <c r="T140" s="335"/>
      <c r="U140" s="335"/>
      <c r="V140" s="335"/>
      <c r="W140" s="335"/>
      <c r="X140" s="335"/>
      <c r="Y140" s="335"/>
      <c r="Z140" s="335"/>
      <c r="AA140" s="335"/>
      <c r="AB140" s="335"/>
      <c r="AC140" s="335"/>
      <c r="AD140" s="335"/>
      <c r="AE140" s="335"/>
      <c r="AF140" s="335"/>
      <c r="AG140" s="335"/>
      <c r="AH140" s="335"/>
      <c r="AI140" s="335"/>
      <c r="AJ140" s="335"/>
      <c r="AK140" s="335"/>
      <c r="AL140" s="335"/>
      <c r="AM140" s="355"/>
      <c r="AN140" s="355"/>
      <c r="AO140" s="127" t="s">
        <v>187</v>
      </c>
      <c r="AP140" s="157"/>
      <c r="AQ140" s="157"/>
      <c r="AR140" s="157"/>
      <c r="AS140" s="148"/>
      <c r="AT140" s="148"/>
      <c r="AU140" s="114"/>
      <c r="AV140" s="114"/>
      <c r="AW140" s="114"/>
      <c r="AX140" s="114"/>
      <c r="AY140" s="114"/>
      <c r="AZ140" s="114"/>
      <c r="BA140" s="114"/>
      <c r="BB140" s="114"/>
      <c r="BC140" s="114"/>
      <c r="BD140" s="114"/>
      <c r="BE140" s="114"/>
      <c r="BF140" s="114"/>
      <c r="BG140" s="114"/>
      <c r="BH140" s="114"/>
      <c r="BI140" s="114"/>
      <c r="BJ140" s="114"/>
      <c r="BK140" s="114"/>
      <c r="BL140" s="114"/>
      <c r="BM140" s="114"/>
      <c r="BN140" s="119"/>
      <c r="BO140" s="119"/>
      <c r="BP140" s="119"/>
      <c r="BQ140" s="119"/>
      <c r="BR140" s="119"/>
      <c r="BS140" s="119"/>
      <c r="BT140" s="119"/>
      <c r="BU140" s="119"/>
      <c r="BV140" s="119"/>
      <c r="BW140" s="119"/>
      <c r="BX140" s="119"/>
      <c r="BY140" s="119"/>
      <c r="BZ140" s="119"/>
      <c r="CA140" s="119"/>
      <c r="CB140" s="119"/>
      <c r="CC140" s="114"/>
      <c r="CD140" s="114"/>
      <c r="CE140" s="114"/>
      <c r="CF140" s="114"/>
      <c r="CG140" s="114"/>
      <c r="CH140" s="114"/>
      <c r="CI140" s="114"/>
      <c r="CJ140" s="114"/>
      <c r="CK140" s="114"/>
    </row>
    <row r="141" spans="1:89" s="4" customFormat="1" ht="48">
      <c r="A141" s="443"/>
      <c r="B141" s="333"/>
      <c r="C141" s="384" t="s">
        <v>334</v>
      </c>
      <c r="D141" s="384" t="s">
        <v>506</v>
      </c>
      <c r="E141" s="343">
        <v>0</v>
      </c>
      <c r="F141" s="343">
        <v>0.2</v>
      </c>
      <c r="G141" s="343">
        <v>0.2</v>
      </c>
      <c r="H141" s="343">
        <v>0.2</v>
      </c>
      <c r="I141" s="343">
        <v>0.2</v>
      </c>
      <c r="J141" s="343">
        <v>0.2</v>
      </c>
      <c r="K141" s="335"/>
      <c r="L141" s="335"/>
      <c r="M141" s="335"/>
      <c r="N141" s="335"/>
      <c r="O141" s="335"/>
      <c r="P141" s="335"/>
      <c r="Q141" s="335"/>
      <c r="R141" s="335"/>
      <c r="S141" s="335"/>
      <c r="T141" s="335"/>
      <c r="U141" s="335"/>
      <c r="V141" s="335"/>
      <c r="W141" s="335"/>
      <c r="X141" s="335"/>
      <c r="Y141" s="335"/>
      <c r="Z141" s="335"/>
      <c r="AA141" s="335"/>
      <c r="AB141" s="335"/>
      <c r="AC141" s="335"/>
      <c r="AD141" s="335"/>
      <c r="AE141" s="335"/>
      <c r="AF141" s="335"/>
      <c r="AG141" s="335"/>
      <c r="AH141" s="335"/>
      <c r="AI141" s="335"/>
      <c r="AJ141" s="335"/>
      <c r="AK141" s="335"/>
      <c r="AL141" s="335"/>
      <c r="AM141" s="325" t="s">
        <v>65</v>
      </c>
      <c r="AN141" s="325" t="s">
        <v>62</v>
      </c>
      <c r="AO141" s="129" t="s">
        <v>335</v>
      </c>
      <c r="AP141" s="165"/>
      <c r="AQ141" s="165"/>
      <c r="AR141" s="165"/>
      <c r="AS141" s="367"/>
      <c r="AT141" s="367"/>
      <c r="AU141" s="357"/>
      <c r="AV141" s="357"/>
      <c r="AW141" s="357"/>
      <c r="AX141" s="357"/>
      <c r="AY141" s="357"/>
      <c r="AZ141" s="357"/>
      <c r="BA141" s="357">
        <v>135000000</v>
      </c>
      <c r="BB141" s="357"/>
      <c r="BC141" s="357"/>
      <c r="BD141" s="357"/>
      <c r="BE141" s="357"/>
      <c r="BF141" s="357"/>
      <c r="BG141" s="357"/>
      <c r="BH141" s="357"/>
      <c r="BI141" s="357"/>
      <c r="BJ141" s="357"/>
      <c r="BK141" s="357"/>
      <c r="BL141" s="357"/>
      <c r="BM141" s="357"/>
      <c r="BN141" s="310">
        <f>SUM(BC141:BM144)</f>
        <v>0</v>
      </c>
      <c r="BO141" s="310">
        <f>BN141+BB141</f>
        <v>0</v>
      </c>
      <c r="BP141" s="335"/>
      <c r="BQ141" s="335"/>
      <c r="BR141" s="335"/>
      <c r="BS141" s="335"/>
      <c r="BT141" s="335"/>
      <c r="BU141" s="335"/>
      <c r="BV141" s="310">
        <f>SUM(BQ141:BU144)</f>
        <v>0</v>
      </c>
      <c r="BW141" s="310">
        <f>BV141+BP141</f>
        <v>0</v>
      </c>
      <c r="BX141" s="335"/>
      <c r="BY141" s="335"/>
      <c r="BZ141" s="335"/>
      <c r="CA141" s="335"/>
      <c r="CB141" s="310">
        <f>SUM(BY141:CA144)</f>
        <v>0</v>
      </c>
      <c r="CC141" s="364">
        <f>CB141+BX141</f>
        <v>0</v>
      </c>
      <c r="CD141" s="357"/>
      <c r="CE141" s="357"/>
      <c r="CF141" s="357"/>
      <c r="CG141" s="364">
        <f>SUM(CE141:CF144)</f>
        <v>0</v>
      </c>
      <c r="CH141" s="364">
        <f>CG141+CD141</f>
        <v>0</v>
      </c>
      <c r="CI141" s="357"/>
      <c r="CJ141" s="364">
        <f>CH141+CC141+BW141+BO141+CI141</f>
        <v>0</v>
      </c>
      <c r="CK141" s="364"/>
    </row>
    <row r="142" spans="1:89" s="4" customFormat="1" ht="60">
      <c r="A142" s="443"/>
      <c r="B142" s="333"/>
      <c r="C142" s="385"/>
      <c r="D142" s="385"/>
      <c r="E142" s="413"/>
      <c r="F142" s="413"/>
      <c r="G142" s="413"/>
      <c r="H142" s="413"/>
      <c r="I142" s="413"/>
      <c r="J142" s="413"/>
      <c r="K142" s="335"/>
      <c r="L142" s="335"/>
      <c r="M142" s="335"/>
      <c r="N142" s="335"/>
      <c r="O142" s="335"/>
      <c r="P142" s="335"/>
      <c r="Q142" s="335"/>
      <c r="R142" s="335"/>
      <c r="S142" s="335"/>
      <c r="T142" s="335"/>
      <c r="U142" s="335"/>
      <c r="V142" s="335"/>
      <c r="W142" s="335"/>
      <c r="X142" s="335"/>
      <c r="Y142" s="335"/>
      <c r="Z142" s="335"/>
      <c r="AA142" s="335"/>
      <c r="AB142" s="335"/>
      <c r="AC142" s="335"/>
      <c r="AD142" s="335"/>
      <c r="AE142" s="335"/>
      <c r="AF142" s="335"/>
      <c r="AG142" s="335"/>
      <c r="AH142" s="335"/>
      <c r="AI142" s="335"/>
      <c r="AJ142" s="335"/>
      <c r="AK142" s="335"/>
      <c r="AL142" s="335"/>
      <c r="AM142" s="326"/>
      <c r="AN142" s="326"/>
      <c r="AO142" s="127" t="s">
        <v>336</v>
      </c>
      <c r="AP142" s="157"/>
      <c r="AQ142" s="157"/>
      <c r="AR142" s="157"/>
      <c r="AS142" s="368"/>
      <c r="AT142" s="368"/>
      <c r="AU142" s="359"/>
      <c r="AV142" s="359"/>
      <c r="AW142" s="359"/>
      <c r="AX142" s="359"/>
      <c r="AY142" s="359"/>
      <c r="AZ142" s="359"/>
      <c r="BA142" s="359"/>
      <c r="BB142" s="359"/>
      <c r="BC142" s="359"/>
      <c r="BD142" s="359"/>
      <c r="BE142" s="359"/>
      <c r="BF142" s="359"/>
      <c r="BG142" s="359"/>
      <c r="BH142" s="359"/>
      <c r="BI142" s="359"/>
      <c r="BJ142" s="359"/>
      <c r="BK142" s="359"/>
      <c r="BL142" s="359"/>
      <c r="BM142" s="359"/>
      <c r="BN142" s="310"/>
      <c r="BO142" s="310"/>
      <c r="BP142" s="335"/>
      <c r="BQ142" s="335"/>
      <c r="BR142" s="335"/>
      <c r="BS142" s="335"/>
      <c r="BT142" s="335"/>
      <c r="BU142" s="335"/>
      <c r="BV142" s="310"/>
      <c r="BW142" s="310"/>
      <c r="BX142" s="335"/>
      <c r="BY142" s="335"/>
      <c r="BZ142" s="335"/>
      <c r="CA142" s="335"/>
      <c r="CB142" s="310"/>
      <c r="CC142" s="365"/>
      <c r="CD142" s="359"/>
      <c r="CE142" s="359"/>
      <c r="CF142" s="359"/>
      <c r="CG142" s="365"/>
      <c r="CH142" s="365"/>
      <c r="CI142" s="359"/>
      <c r="CJ142" s="365"/>
      <c r="CK142" s="365"/>
    </row>
    <row r="143" spans="1:89" s="4" customFormat="1" ht="48">
      <c r="A143" s="443"/>
      <c r="B143" s="333"/>
      <c r="C143" s="385"/>
      <c r="D143" s="385"/>
      <c r="E143" s="413"/>
      <c r="F143" s="413"/>
      <c r="G143" s="413"/>
      <c r="H143" s="413"/>
      <c r="I143" s="413"/>
      <c r="J143" s="413"/>
      <c r="K143" s="335"/>
      <c r="L143" s="335"/>
      <c r="M143" s="335"/>
      <c r="N143" s="335"/>
      <c r="O143" s="335"/>
      <c r="P143" s="335"/>
      <c r="Q143" s="335"/>
      <c r="R143" s="335"/>
      <c r="S143" s="335"/>
      <c r="T143" s="335"/>
      <c r="U143" s="335"/>
      <c r="V143" s="335"/>
      <c r="W143" s="335"/>
      <c r="X143" s="335"/>
      <c r="Y143" s="335"/>
      <c r="Z143" s="335"/>
      <c r="AA143" s="335"/>
      <c r="AB143" s="335"/>
      <c r="AC143" s="335"/>
      <c r="AD143" s="335"/>
      <c r="AE143" s="335"/>
      <c r="AF143" s="335"/>
      <c r="AG143" s="335"/>
      <c r="AH143" s="335"/>
      <c r="AI143" s="335"/>
      <c r="AJ143" s="335"/>
      <c r="AK143" s="335"/>
      <c r="AL143" s="335"/>
      <c r="AM143" s="326"/>
      <c r="AN143" s="326"/>
      <c r="AO143" s="127" t="s">
        <v>337</v>
      </c>
      <c r="AP143" s="157"/>
      <c r="AQ143" s="157"/>
      <c r="AR143" s="157"/>
      <c r="AS143" s="368"/>
      <c r="AT143" s="368"/>
      <c r="AU143" s="359"/>
      <c r="AV143" s="359"/>
      <c r="AW143" s="359"/>
      <c r="AX143" s="359"/>
      <c r="AY143" s="359"/>
      <c r="AZ143" s="359"/>
      <c r="BA143" s="359"/>
      <c r="BB143" s="359"/>
      <c r="BC143" s="359"/>
      <c r="BD143" s="359"/>
      <c r="BE143" s="359"/>
      <c r="BF143" s="359"/>
      <c r="BG143" s="359"/>
      <c r="BH143" s="359"/>
      <c r="BI143" s="359"/>
      <c r="BJ143" s="359"/>
      <c r="BK143" s="359"/>
      <c r="BL143" s="359"/>
      <c r="BM143" s="359"/>
      <c r="BN143" s="310"/>
      <c r="BO143" s="310"/>
      <c r="BP143" s="335"/>
      <c r="BQ143" s="335"/>
      <c r="BR143" s="335"/>
      <c r="BS143" s="335"/>
      <c r="BT143" s="335"/>
      <c r="BU143" s="335"/>
      <c r="BV143" s="310"/>
      <c r="BW143" s="310"/>
      <c r="BX143" s="335"/>
      <c r="BY143" s="335"/>
      <c r="BZ143" s="335"/>
      <c r="CA143" s="335"/>
      <c r="CB143" s="310"/>
      <c r="CC143" s="365"/>
      <c r="CD143" s="359"/>
      <c r="CE143" s="359"/>
      <c r="CF143" s="359"/>
      <c r="CG143" s="365"/>
      <c r="CH143" s="365"/>
      <c r="CI143" s="359"/>
      <c r="CJ143" s="365"/>
      <c r="CK143" s="365"/>
    </row>
    <row r="144" spans="1:89" s="4" customFormat="1" ht="48">
      <c r="A144" s="443"/>
      <c r="B144" s="333"/>
      <c r="C144" s="385"/>
      <c r="D144" s="385"/>
      <c r="E144" s="413"/>
      <c r="F144" s="413"/>
      <c r="G144" s="413"/>
      <c r="H144" s="413"/>
      <c r="I144" s="413"/>
      <c r="J144" s="413"/>
      <c r="K144" s="335"/>
      <c r="L144" s="335"/>
      <c r="M144" s="335"/>
      <c r="N144" s="335"/>
      <c r="O144" s="335"/>
      <c r="P144" s="335"/>
      <c r="Q144" s="335"/>
      <c r="R144" s="335"/>
      <c r="S144" s="335"/>
      <c r="T144" s="335"/>
      <c r="U144" s="335"/>
      <c r="V144" s="335"/>
      <c r="W144" s="335"/>
      <c r="X144" s="335"/>
      <c r="Y144" s="335"/>
      <c r="Z144" s="335"/>
      <c r="AA144" s="335"/>
      <c r="AB144" s="335"/>
      <c r="AC144" s="335"/>
      <c r="AD144" s="335"/>
      <c r="AE144" s="335"/>
      <c r="AF144" s="335"/>
      <c r="AG144" s="335"/>
      <c r="AH144" s="335"/>
      <c r="AI144" s="335"/>
      <c r="AJ144" s="335"/>
      <c r="AK144" s="335"/>
      <c r="AL144" s="335"/>
      <c r="AM144" s="326"/>
      <c r="AN144" s="326"/>
      <c r="AO144" s="94" t="s">
        <v>338</v>
      </c>
      <c r="AP144" s="166"/>
      <c r="AQ144" s="166"/>
      <c r="AR144" s="166"/>
      <c r="AS144" s="368"/>
      <c r="AT144" s="368"/>
      <c r="AU144" s="359"/>
      <c r="AV144" s="359"/>
      <c r="AW144" s="359"/>
      <c r="AX144" s="359"/>
      <c r="AY144" s="359"/>
      <c r="AZ144" s="359"/>
      <c r="BA144" s="359"/>
      <c r="BB144" s="359"/>
      <c r="BC144" s="359"/>
      <c r="BD144" s="359"/>
      <c r="BE144" s="359"/>
      <c r="BF144" s="359"/>
      <c r="BG144" s="359"/>
      <c r="BH144" s="359"/>
      <c r="BI144" s="359"/>
      <c r="BJ144" s="359"/>
      <c r="BK144" s="359"/>
      <c r="BL144" s="359"/>
      <c r="BM144" s="359"/>
      <c r="BN144" s="310"/>
      <c r="BO144" s="310"/>
      <c r="BP144" s="335"/>
      <c r="BQ144" s="335"/>
      <c r="BR144" s="335"/>
      <c r="BS144" s="335"/>
      <c r="BT144" s="335"/>
      <c r="BU144" s="335"/>
      <c r="BV144" s="310"/>
      <c r="BW144" s="310"/>
      <c r="BX144" s="335"/>
      <c r="BY144" s="335"/>
      <c r="BZ144" s="335"/>
      <c r="CA144" s="335"/>
      <c r="CB144" s="310"/>
      <c r="CC144" s="365"/>
      <c r="CD144" s="359"/>
      <c r="CE144" s="359"/>
      <c r="CF144" s="359"/>
      <c r="CG144" s="365"/>
      <c r="CH144" s="365"/>
      <c r="CI144" s="359"/>
      <c r="CJ144" s="365"/>
      <c r="CK144" s="365"/>
    </row>
    <row r="145" spans="1:89" s="4" customFormat="1" ht="36">
      <c r="A145" s="443"/>
      <c r="B145" s="333"/>
      <c r="C145" s="385"/>
      <c r="D145" s="433"/>
      <c r="E145" s="344"/>
      <c r="F145" s="344"/>
      <c r="G145" s="344"/>
      <c r="H145" s="344"/>
      <c r="I145" s="344"/>
      <c r="J145" s="344"/>
      <c r="K145" s="335"/>
      <c r="L145" s="335"/>
      <c r="M145" s="335"/>
      <c r="N145" s="335"/>
      <c r="O145" s="335"/>
      <c r="P145" s="335"/>
      <c r="Q145" s="335"/>
      <c r="R145" s="335"/>
      <c r="S145" s="335"/>
      <c r="T145" s="335"/>
      <c r="U145" s="335"/>
      <c r="V145" s="335"/>
      <c r="W145" s="335"/>
      <c r="X145" s="335"/>
      <c r="Y145" s="335"/>
      <c r="Z145" s="335"/>
      <c r="AA145" s="335"/>
      <c r="AB145" s="335"/>
      <c r="AC145" s="335"/>
      <c r="AD145" s="335"/>
      <c r="AE145" s="335"/>
      <c r="AF145" s="335"/>
      <c r="AG145" s="335"/>
      <c r="AH145" s="335"/>
      <c r="AI145" s="335"/>
      <c r="AJ145" s="335"/>
      <c r="AK145" s="335"/>
      <c r="AL145" s="335"/>
      <c r="AM145" s="327"/>
      <c r="AN145" s="327"/>
      <c r="AO145" s="94" t="s">
        <v>189</v>
      </c>
      <c r="AP145" s="167"/>
      <c r="AQ145" s="167"/>
      <c r="AR145" s="167"/>
      <c r="AS145" s="369"/>
      <c r="AT145" s="369"/>
      <c r="AU145" s="358"/>
      <c r="AV145" s="358"/>
      <c r="AW145" s="358"/>
      <c r="AX145" s="358"/>
      <c r="AY145" s="358"/>
      <c r="AZ145" s="358"/>
      <c r="BA145" s="358"/>
      <c r="BB145" s="358"/>
      <c r="BC145" s="358"/>
      <c r="BD145" s="358"/>
      <c r="BE145" s="358"/>
      <c r="BF145" s="358"/>
      <c r="BG145" s="358"/>
      <c r="BH145" s="358"/>
      <c r="BI145" s="358"/>
      <c r="BJ145" s="358"/>
      <c r="BK145" s="358"/>
      <c r="BL145" s="358"/>
      <c r="BM145" s="358"/>
      <c r="BN145" s="26"/>
      <c r="BO145" s="26"/>
      <c r="BP145" s="92"/>
      <c r="BQ145" s="92"/>
      <c r="BR145" s="92"/>
      <c r="BS145" s="92"/>
      <c r="BT145" s="92"/>
      <c r="BU145" s="92"/>
      <c r="BV145" s="26"/>
      <c r="BW145" s="26"/>
      <c r="BX145" s="92"/>
      <c r="BY145" s="92"/>
      <c r="BZ145" s="92"/>
      <c r="CA145" s="92"/>
      <c r="CB145" s="26"/>
      <c r="CC145" s="366"/>
      <c r="CD145" s="358"/>
      <c r="CE145" s="358"/>
      <c r="CF145" s="358"/>
      <c r="CG145" s="366"/>
      <c r="CH145" s="366"/>
      <c r="CI145" s="358"/>
      <c r="CJ145" s="366"/>
      <c r="CK145" s="366"/>
    </row>
    <row r="146" spans="1:89" s="4" customFormat="1" ht="60">
      <c r="A146" s="443"/>
      <c r="B146" s="333"/>
      <c r="C146" s="385"/>
      <c r="D146" s="384" t="s">
        <v>339</v>
      </c>
      <c r="E146" s="343">
        <v>0</v>
      </c>
      <c r="F146" s="343">
        <v>0.2</v>
      </c>
      <c r="G146" s="343">
        <v>0.2</v>
      </c>
      <c r="H146" s="343">
        <v>0.2</v>
      </c>
      <c r="I146" s="343">
        <v>0.2</v>
      </c>
      <c r="J146" s="343">
        <v>0.2</v>
      </c>
      <c r="K146" s="335"/>
      <c r="L146" s="335"/>
      <c r="M146" s="335"/>
      <c r="N146" s="335"/>
      <c r="O146" s="335"/>
      <c r="P146" s="335"/>
      <c r="Q146" s="335"/>
      <c r="R146" s="335"/>
      <c r="S146" s="335"/>
      <c r="T146" s="335"/>
      <c r="U146" s="335"/>
      <c r="V146" s="335"/>
      <c r="W146" s="335"/>
      <c r="X146" s="335"/>
      <c r="Y146" s="335"/>
      <c r="Z146" s="335"/>
      <c r="AA146" s="335"/>
      <c r="AB146" s="335"/>
      <c r="AC146" s="335"/>
      <c r="AD146" s="335"/>
      <c r="AE146" s="335"/>
      <c r="AF146" s="335"/>
      <c r="AG146" s="335"/>
      <c r="AH146" s="335"/>
      <c r="AI146" s="335"/>
      <c r="AJ146" s="335"/>
      <c r="AK146" s="335"/>
      <c r="AL146" s="335"/>
      <c r="AM146" s="325" t="s">
        <v>101</v>
      </c>
      <c r="AN146" s="325" t="s">
        <v>47</v>
      </c>
      <c r="AO146" s="94" t="s">
        <v>340</v>
      </c>
      <c r="AP146" s="168"/>
      <c r="AQ146" s="168"/>
      <c r="AR146" s="168"/>
      <c r="AS146" s="367"/>
      <c r="AT146" s="367"/>
      <c r="AU146" s="357"/>
      <c r="AV146" s="357"/>
      <c r="AW146" s="357"/>
      <c r="AX146" s="357"/>
      <c r="AY146" s="357"/>
      <c r="AZ146" s="357"/>
      <c r="BA146" s="357">
        <v>170000000</v>
      </c>
      <c r="BB146" s="357"/>
      <c r="BC146" s="357"/>
      <c r="BD146" s="357"/>
      <c r="BE146" s="357"/>
      <c r="BF146" s="357"/>
      <c r="BG146" s="357"/>
      <c r="BH146" s="357"/>
      <c r="BI146" s="357"/>
      <c r="BJ146" s="357"/>
      <c r="BK146" s="357"/>
      <c r="BL146" s="357"/>
      <c r="BM146" s="357"/>
      <c r="BN146" s="310">
        <f>SUM(BC146:BM153)</f>
        <v>0</v>
      </c>
      <c r="BO146" s="310">
        <f>BB146</f>
        <v>0</v>
      </c>
      <c r="BP146" s="335"/>
      <c r="BQ146" s="335"/>
      <c r="BR146" s="335"/>
      <c r="BS146" s="335"/>
      <c r="BT146" s="335"/>
      <c r="BU146" s="335"/>
      <c r="BV146" s="310">
        <f>SUM(BQ146:BU153)</f>
        <v>0</v>
      </c>
      <c r="BW146" s="310">
        <f>BV146+BP146</f>
        <v>0</v>
      </c>
      <c r="BX146" s="335"/>
      <c r="BY146" s="335"/>
      <c r="BZ146" s="335"/>
      <c r="CA146" s="335"/>
      <c r="CB146" s="310">
        <f>SUM(BY146:CA153)</f>
        <v>0</v>
      </c>
      <c r="CC146" s="364">
        <f>CB146+BX146</f>
        <v>0</v>
      </c>
      <c r="CD146" s="357"/>
      <c r="CE146" s="357"/>
      <c r="CF146" s="357"/>
      <c r="CG146" s="364">
        <f>SUM(CE146:CF153)</f>
        <v>0</v>
      </c>
      <c r="CH146" s="364">
        <f>CG146+CD146</f>
        <v>0</v>
      </c>
      <c r="CI146" s="357">
        <v>51600000</v>
      </c>
      <c r="CJ146" s="364">
        <f>CH146+CC146+BW146+BO146+CI152+CI146</f>
        <v>103200000</v>
      </c>
      <c r="CK146" s="364"/>
    </row>
    <row r="147" spans="1:89" s="4" customFormat="1" ht="48">
      <c r="A147" s="443"/>
      <c r="B147" s="333"/>
      <c r="C147" s="385"/>
      <c r="D147" s="385"/>
      <c r="E147" s="413"/>
      <c r="F147" s="413"/>
      <c r="G147" s="413"/>
      <c r="H147" s="413"/>
      <c r="I147" s="413"/>
      <c r="J147" s="413"/>
      <c r="K147" s="335"/>
      <c r="L147" s="335"/>
      <c r="M147" s="335"/>
      <c r="N147" s="335"/>
      <c r="O147" s="335"/>
      <c r="P147" s="335"/>
      <c r="Q147" s="335"/>
      <c r="R147" s="335"/>
      <c r="S147" s="335"/>
      <c r="T147" s="335"/>
      <c r="U147" s="335"/>
      <c r="V147" s="335"/>
      <c r="W147" s="335"/>
      <c r="X147" s="335"/>
      <c r="Y147" s="335"/>
      <c r="Z147" s="335"/>
      <c r="AA147" s="335"/>
      <c r="AB147" s="335"/>
      <c r="AC147" s="335"/>
      <c r="AD147" s="335"/>
      <c r="AE147" s="335"/>
      <c r="AF147" s="335"/>
      <c r="AG147" s="335"/>
      <c r="AH147" s="335"/>
      <c r="AI147" s="335"/>
      <c r="AJ147" s="335"/>
      <c r="AK147" s="335"/>
      <c r="AL147" s="335"/>
      <c r="AM147" s="326"/>
      <c r="AN147" s="326"/>
      <c r="AO147" s="94" t="s">
        <v>191</v>
      </c>
      <c r="AP147" s="166"/>
      <c r="AQ147" s="166"/>
      <c r="AR147" s="166"/>
      <c r="AS147" s="368"/>
      <c r="AT147" s="368"/>
      <c r="AU147" s="359"/>
      <c r="AV147" s="359"/>
      <c r="AW147" s="359"/>
      <c r="AX147" s="359"/>
      <c r="AY147" s="359"/>
      <c r="AZ147" s="359"/>
      <c r="BA147" s="359"/>
      <c r="BB147" s="359"/>
      <c r="BC147" s="359"/>
      <c r="BD147" s="359"/>
      <c r="BE147" s="359"/>
      <c r="BF147" s="359"/>
      <c r="BG147" s="359"/>
      <c r="BH147" s="359"/>
      <c r="BI147" s="359"/>
      <c r="BJ147" s="359"/>
      <c r="BK147" s="359"/>
      <c r="BL147" s="359"/>
      <c r="BM147" s="359"/>
      <c r="BN147" s="310"/>
      <c r="BO147" s="310"/>
      <c r="BP147" s="335"/>
      <c r="BQ147" s="335"/>
      <c r="BR147" s="335"/>
      <c r="BS147" s="335"/>
      <c r="BT147" s="335"/>
      <c r="BU147" s="335"/>
      <c r="BV147" s="310"/>
      <c r="BW147" s="310"/>
      <c r="BX147" s="335"/>
      <c r="BY147" s="335"/>
      <c r="BZ147" s="335"/>
      <c r="CA147" s="335"/>
      <c r="CB147" s="310"/>
      <c r="CC147" s="365"/>
      <c r="CD147" s="359"/>
      <c r="CE147" s="359"/>
      <c r="CF147" s="359"/>
      <c r="CG147" s="365"/>
      <c r="CH147" s="365"/>
      <c r="CI147" s="359"/>
      <c r="CJ147" s="365"/>
      <c r="CK147" s="365"/>
    </row>
    <row r="148" spans="1:89" s="4" customFormat="1" ht="36">
      <c r="A148" s="443"/>
      <c r="B148" s="333"/>
      <c r="C148" s="433"/>
      <c r="D148" s="433"/>
      <c r="E148" s="344"/>
      <c r="F148" s="344"/>
      <c r="G148" s="344"/>
      <c r="H148" s="344"/>
      <c r="I148" s="344"/>
      <c r="J148" s="344"/>
      <c r="K148" s="335"/>
      <c r="L148" s="335"/>
      <c r="M148" s="335"/>
      <c r="N148" s="335"/>
      <c r="O148" s="335"/>
      <c r="P148" s="335"/>
      <c r="Q148" s="335"/>
      <c r="R148" s="335"/>
      <c r="S148" s="335"/>
      <c r="T148" s="335"/>
      <c r="U148" s="335"/>
      <c r="V148" s="335"/>
      <c r="W148" s="335"/>
      <c r="X148" s="335"/>
      <c r="Y148" s="335"/>
      <c r="Z148" s="335"/>
      <c r="AA148" s="335"/>
      <c r="AB148" s="335"/>
      <c r="AC148" s="335"/>
      <c r="AD148" s="335"/>
      <c r="AE148" s="335"/>
      <c r="AF148" s="335"/>
      <c r="AG148" s="335"/>
      <c r="AH148" s="335"/>
      <c r="AI148" s="335"/>
      <c r="AJ148" s="335"/>
      <c r="AK148" s="335"/>
      <c r="AL148" s="335"/>
      <c r="AM148" s="327"/>
      <c r="AN148" s="327"/>
      <c r="AO148" s="94" t="s">
        <v>192</v>
      </c>
      <c r="AP148" s="167"/>
      <c r="AQ148" s="167"/>
      <c r="AR148" s="167"/>
      <c r="AS148" s="369"/>
      <c r="AT148" s="369"/>
      <c r="AU148" s="358"/>
      <c r="AV148" s="358"/>
      <c r="AW148" s="358"/>
      <c r="AX148" s="358"/>
      <c r="AY148" s="358"/>
      <c r="AZ148" s="358"/>
      <c r="BA148" s="359"/>
      <c r="BB148" s="359"/>
      <c r="BC148" s="359"/>
      <c r="BD148" s="359"/>
      <c r="BE148" s="359"/>
      <c r="BF148" s="359"/>
      <c r="BG148" s="359"/>
      <c r="BH148" s="359"/>
      <c r="BI148" s="359"/>
      <c r="BJ148" s="359"/>
      <c r="BK148" s="359"/>
      <c r="BL148" s="359"/>
      <c r="BM148" s="359"/>
      <c r="BN148" s="310"/>
      <c r="BO148" s="310"/>
      <c r="BP148" s="335"/>
      <c r="BQ148" s="335"/>
      <c r="BR148" s="335"/>
      <c r="BS148" s="335"/>
      <c r="BT148" s="335"/>
      <c r="BU148" s="335"/>
      <c r="BV148" s="310"/>
      <c r="BW148" s="310"/>
      <c r="BX148" s="335"/>
      <c r="BY148" s="335"/>
      <c r="BZ148" s="335"/>
      <c r="CA148" s="335"/>
      <c r="CB148" s="310"/>
      <c r="CC148" s="365"/>
      <c r="CD148" s="359"/>
      <c r="CE148" s="359"/>
      <c r="CF148" s="359"/>
      <c r="CG148" s="365"/>
      <c r="CH148" s="365"/>
      <c r="CI148" s="358"/>
      <c r="CJ148" s="365"/>
      <c r="CK148" s="365"/>
    </row>
    <row r="149" spans="1:89" s="4" customFormat="1" ht="84">
      <c r="A149" s="443"/>
      <c r="B149" s="333"/>
      <c r="C149" s="384" t="s">
        <v>341</v>
      </c>
      <c r="D149" s="489" t="s">
        <v>342</v>
      </c>
      <c r="E149" s="325">
        <v>20000</v>
      </c>
      <c r="F149" s="325">
        <v>34600</v>
      </c>
      <c r="G149" s="325">
        <v>20000</v>
      </c>
      <c r="H149" s="325">
        <v>34600</v>
      </c>
      <c r="I149" s="325">
        <v>20000</v>
      </c>
      <c r="J149" s="325">
        <v>34600</v>
      </c>
      <c r="K149" s="335"/>
      <c r="L149" s="335"/>
      <c r="M149" s="335"/>
      <c r="N149" s="335"/>
      <c r="O149" s="335"/>
      <c r="P149" s="335"/>
      <c r="Q149" s="335"/>
      <c r="R149" s="335"/>
      <c r="S149" s="335"/>
      <c r="T149" s="335"/>
      <c r="U149" s="335"/>
      <c r="V149" s="335"/>
      <c r="W149" s="335"/>
      <c r="X149" s="335"/>
      <c r="Y149" s="335"/>
      <c r="Z149" s="335"/>
      <c r="AA149" s="335"/>
      <c r="AB149" s="335"/>
      <c r="AC149" s="335"/>
      <c r="AD149" s="335"/>
      <c r="AE149" s="335"/>
      <c r="AF149" s="335"/>
      <c r="AG149" s="335"/>
      <c r="AH149" s="335"/>
      <c r="AI149" s="335"/>
      <c r="AJ149" s="335"/>
      <c r="AK149" s="335"/>
      <c r="AL149" s="335"/>
      <c r="AM149" s="325" t="s">
        <v>50</v>
      </c>
      <c r="AN149" s="325" t="s">
        <v>64</v>
      </c>
      <c r="AO149" s="129" t="s">
        <v>343</v>
      </c>
      <c r="AP149" s="165"/>
      <c r="AQ149" s="165"/>
      <c r="AR149" s="165"/>
      <c r="AS149" s="367"/>
      <c r="AT149" s="367"/>
      <c r="AU149" s="357"/>
      <c r="AV149" s="357"/>
      <c r="AW149" s="357"/>
      <c r="AX149" s="357"/>
      <c r="AY149" s="357"/>
      <c r="AZ149" s="357"/>
      <c r="BA149" s="359"/>
      <c r="BB149" s="359"/>
      <c r="BC149" s="359"/>
      <c r="BD149" s="359"/>
      <c r="BE149" s="359"/>
      <c r="BF149" s="359"/>
      <c r="BG149" s="359"/>
      <c r="BH149" s="359"/>
      <c r="BI149" s="359"/>
      <c r="BJ149" s="359"/>
      <c r="BK149" s="359"/>
      <c r="BL149" s="359"/>
      <c r="BM149" s="359"/>
      <c r="BN149" s="310"/>
      <c r="BO149" s="310"/>
      <c r="BP149" s="335"/>
      <c r="BQ149" s="335"/>
      <c r="BR149" s="335"/>
      <c r="BS149" s="335"/>
      <c r="BT149" s="335"/>
      <c r="BU149" s="335"/>
      <c r="BV149" s="310"/>
      <c r="BW149" s="310"/>
      <c r="BX149" s="335"/>
      <c r="BY149" s="335"/>
      <c r="BZ149" s="335"/>
      <c r="CA149" s="335"/>
      <c r="CB149" s="310"/>
      <c r="CC149" s="365"/>
      <c r="CD149" s="359"/>
      <c r="CE149" s="359"/>
      <c r="CF149" s="359"/>
      <c r="CG149" s="365"/>
      <c r="CH149" s="365"/>
      <c r="CI149" s="112"/>
      <c r="CJ149" s="365"/>
      <c r="CK149" s="365"/>
    </row>
    <row r="150" spans="1:89" s="4" customFormat="1" ht="48">
      <c r="A150" s="443"/>
      <c r="B150" s="333"/>
      <c r="C150" s="385"/>
      <c r="D150" s="490"/>
      <c r="E150" s="326"/>
      <c r="F150" s="326"/>
      <c r="G150" s="326"/>
      <c r="H150" s="326"/>
      <c r="I150" s="326"/>
      <c r="J150" s="326"/>
      <c r="K150" s="335"/>
      <c r="L150" s="335"/>
      <c r="M150" s="335"/>
      <c r="N150" s="335"/>
      <c r="O150" s="335"/>
      <c r="P150" s="335"/>
      <c r="Q150" s="335"/>
      <c r="R150" s="335"/>
      <c r="S150" s="335"/>
      <c r="T150" s="335"/>
      <c r="U150" s="335"/>
      <c r="V150" s="335"/>
      <c r="W150" s="335"/>
      <c r="X150" s="335"/>
      <c r="Y150" s="335"/>
      <c r="Z150" s="335"/>
      <c r="AA150" s="335"/>
      <c r="AB150" s="335"/>
      <c r="AC150" s="335"/>
      <c r="AD150" s="335"/>
      <c r="AE150" s="335"/>
      <c r="AF150" s="335"/>
      <c r="AG150" s="335"/>
      <c r="AH150" s="335"/>
      <c r="AI150" s="335"/>
      <c r="AJ150" s="335"/>
      <c r="AK150" s="335"/>
      <c r="AL150" s="335"/>
      <c r="AM150" s="326"/>
      <c r="AN150" s="326"/>
      <c r="AO150" s="129" t="s">
        <v>344</v>
      </c>
      <c r="AP150" s="169"/>
      <c r="AQ150" s="169"/>
      <c r="AR150" s="169"/>
      <c r="AS150" s="368"/>
      <c r="AT150" s="368"/>
      <c r="AU150" s="359"/>
      <c r="AV150" s="359"/>
      <c r="AW150" s="359"/>
      <c r="AX150" s="359"/>
      <c r="AY150" s="359"/>
      <c r="AZ150" s="359"/>
      <c r="BA150" s="359"/>
      <c r="BB150" s="359"/>
      <c r="BC150" s="359"/>
      <c r="BD150" s="359"/>
      <c r="BE150" s="359"/>
      <c r="BF150" s="359"/>
      <c r="BG150" s="359"/>
      <c r="BH150" s="359"/>
      <c r="BI150" s="359"/>
      <c r="BJ150" s="359"/>
      <c r="BK150" s="359"/>
      <c r="BL150" s="359"/>
      <c r="BM150" s="359"/>
      <c r="BN150" s="310"/>
      <c r="BO150" s="310"/>
      <c r="BP150" s="335"/>
      <c r="BQ150" s="335"/>
      <c r="BR150" s="335"/>
      <c r="BS150" s="335"/>
      <c r="BT150" s="335"/>
      <c r="BU150" s="335"/>
      <c r="BV150" s="310"/>
      <c r="BW150" s="310"/>
      <c r="BX150" s="335"/>
      <c r="BY150" s="335"/>
      <c r="BZ150" s="335"/>
      <c r="CA150" s="335"/>
      <c r="CB150" s="310"/>
      <c r="CC150" s="365"/>
      <c r="CD150" s="359"/>
      <c r="CE150" s="359"/>
      <c r="CF150" s="359"/>
      <c r="CG150" s="365"/>
      <c r="CH150" s="365"/>
      <c r="CI150" s="112"/>
      <c r="CJ150" s="365"/>
      <c r="CK150" s="365"/>
    </row>
    <row r="151" spans="1:89" s="4" customFormat="1" ht="60">
      <c r="A151" s="443"/>
      <c r="B151" s="333"/>
      <c r="C151" s="385"/>
      <c r="D151" s="491"/>
      <c r="E151" s="327"/>
      <c r="F151" s="327"/>
      <c r="G151" s="327"/>
      <c r="H151" s="327"/>
      <c r="I151" s="327"/>
      <c r="J151" s="327"/>
      <c r="K151" s="335"/>
      <c r="L151" s="335"/>
      <c r="M151" s="335"/>
      <c r="N151" s="335"/>
      <c r="O151" s="335"/>
      <c r="P151" s="335"/>
      <c r="Q151" s="335"/>
      <c r="R151" s="335"/>
      <c r="S151" s="335"/>
      <c r="T151" s="335"/>
      <c r="U151" s="335"/>
      <c r="V151" s="335"/>
      <c r="W151" s="335"/>
      <c r="X151" s="335"/>
      <c r="Y151" s="335"/>
      <c r="Z151" s="335"/>
      <c r="AA151" s="335"/>
      <c r="AB151" s="335"/>
      <c r="AC151" s="335"/>
      <c r="AD151" s="335"/>
      <c r="AE151" s="335"/>
      <c r="AF151" s="335"/>
      <c r="AG151" s="335"/>
      <c r="AH151" s="335"/>
      <c r="AI151" s="335"/>
      <c r="AJ151" s="335"/>
      <c r="AK151" s="335"/>
      <c r="AL151" s="335"/>
      <c r="AM151" s="327"/>
      <c r="AN151" s="327"/>
      <c r="AO151" s="129" t="s">
        <v>345</v>
      </c>
      <c r="AP151" s="170"/>
      <c r="AQ151" s="170"/>
      <c r="AR151" s="170"/>
      <c r="AS151" s="369"/>
      <c r="AT151" s="369"/>
      <c r="AU151" s="358"/>
      <c r="AV151" s="358"/>
      <c r="AW151" s="358"/>
      <c r="AX151" s="358"/>
      <c r="AY151" s="358"/>
      <c r="AZ151" s="358"/>
      <c r="BA151" s="359"/>
      <c r="BB151" s="359"/>
      <c r="BC151" s="359"/>
      <c r="BD151" s="359"/>
      <c r="BE151" s="359"/>
      <c r="BF151" s="359"/>
      <c r="BG151" s="359"/>
      <c r="BH151" s="359"/>
      <c r="BI151" s="359"/>
      <c r="BJ151" s="359"/>
      <c r="BK151" s="359"/>
      <c r="BL151" s="359"/>
      <c r="BM151" s="359"/>
      <c r="BN151" s="310"/>
      <c r="BO151" s="310"/>
      <c r="BP151" s="335"/>
      <c r="BQ151" s="335"/>
      <c r="BR151" s="335"/>
      <c r="BS151" s="335"/>
      <c r="BT151" s="335"/>
      <c r="BU151" s="335"/>
      <c r="BV151" s="310"/>
      <c r="BW151" s="310"/>
      <c r="BX151" s="335"/>
      <c r="BY151" s="335"/>
      <c r="BZ151" s="335"/>
      <c r="CA151" s="335"/>
      <c r="CB151" s="310"/>
      <c r="CC151" s="365"/>
      <c r="CD151" s="359"/>
      <c r="CE151" s="359"/>
      <c r="CF151" s="359"/>
      <c r="CG151" s="365"/>
      <c r="CH151" s="365"/>
      <c r="CI151" s="112"/>
      <c r="CJ151" s="365"/>
      <c r="CK151" s="365"/>
    </row>
    <row r="152" spans="1:89" s="4" customFormat="1" ht="48">
      <c r="A152" s="443"/>
      <c r="B152" s="333"/>
      <c r="C152" s="385"/>
      <c r="D152" s="384" t="s">
        <v>346</v>
      </c>
      <c r="E152" s="343">
        <v>0</v>
      </c>
      <c r="F152" s="343">
        <v>0.2</v>
      </c>
      <c r="G152" s="343">
        <v>0.2</v>
      </c>
      <c r="H152" s="343">
        <v>0.2</v>
      </c>
      <c r="I152" s="343">
        <v>0.2</v>
      </c>
      <c r="J152" s="343">
        <v>0.2</v>
      </c>
      <c r="K152" s="335"/>
      <c r="L152" s="335"/>
      <c r="M152" s="335"/>
      <c r="N152" s="335"/>
      <c r="O152" s="335"/>
      <c r="P152" s="335"/>
      <c r="Q152" s="335"/>
      <c r="R152" s="335"/>
      <c r="S152" s="335"/>
      <c r="T152" s="335"/>
      <c r="U152" s="335"/>
      <c r="V152" s="335"/>
      <c r="W152" s="335"/>
      <c r="X152" s="335"/>
      <c r="Y152" s="335"/>
      <c r="Z152" s="335"/>
      <c r="AA152" s="335"/>
      <c r="AB152" s="335"/>
      <c r="AC152" s="335"/>
      <c r="AD152" s="335"/>
      <c r="AE152" s="335"/>
      <c r="AF152" s="335"/>
      <c r="AG152" s="335"/>
      <c r="AH152" s="335"/>
      <c r="AI152" s="335"/>
      <c r="AJ152" s="335"/>
      <c r="AK152" s="335"/>
      <c r="AL152" s="335"/>
      <c r="AM152" s="325" t="s">
        <v>101</v>
      </c>
      <c r="AN152" s="325" t="s">
        <v>47</v>
      </c>
      <c r="AO152" s="94" t="s">
        <v>347</v>
      </c>
      <c r="AP152" s="168"/>
      <c r="AQ152" s="168"/>
      <c r="AR152" s="168"/>
      <c r="AS152" s="367"/>
      <c r="AT152" s="367"/>
      <c r="AU152" s="357"/>
      <c r="AV152" s="357"/>
      <c r="AW152" s="357"/>
      <c r="AX152" s="357"/>
      <c r="AY152" s="357"/>
      <c r="AZ152" s="357"/>
      <c r="BA152" s="359"/>
      <c r="BB152" s="359"/>
      <c r="BC152" s="359"/>
      <c r="BD152" s="359"/>
      <c r="BE152" s="359"/>
      <c r="BF152" s="359"/>
      <c r="BG152" s="359"/>
      <c r="BH152" s="359"/>
      <c r="BI152" s="359"/>
      <c r="BJ152" s="359"/>
      <c r="BK152" s="359"/>
      <c r="BL152" s="359"/>
      <c r="BM152" s="359"/>
      <c r="BN152" s="310"/>
      <c r="BO152" s="310"/>
      <c r="BP152" s="335"/>
      <c r="BQ152" s="335"/>
      <c r="BR152" s="335"/>
      <c r="BS152" s="335"/>
      <c r="BT152" s="335"/>
      <c r="BU152" s="335"/>
      <c r="BV152" s="310"/>
      <c r="BW152" s="310"/>
      <c r="BX152" s="335"/>
      <c r="BY152" s="335"/>
      <c r="BZ152" s="335"/>
      <c r="CA152" s="335"/>
      <c r="CB152" s="310"/>
      <c r="CC152" s="365"/>
      <c r="CD152" s="359"/>
      <c r="CE152" s="359"/>
      <c r="CF152" s="359"/>
      <c r="CG152" s="365"/>
      <c r="CH152" s="365"/>
      <c r="CI152" s="357">
        <v>51600000</v>
      </c>
      <c r="CJ152" s="365"/>
      <c r="CK152" s="365"/>
    </row>
    <row r="153" spans="1:89" s="4" customFormat="1" ht="24">
      <c r="A153" s="443"/>
      <c r="B153" s="333"/>
      <c r="C153" s="385"/>
      <c r="D153" s="385"/>
      <c r="E153" s="413"/>
      <c r="F153" s="413"/>
      <c r="G153" s="413"/>
      <c r="H153" s="413"/>
      <c r="I153" s="413"/>
      <c r="J153" s="413"/>
      <c r="K153" s="335"/>
      <c r="L153" s="335"/>
      <c r="M153" s="335"/>
      <c r="N153" s="335"/>
      <c r="O153" s="335"/>
      <c r="P153" s="335"/>
      <c r="Q153" s="335"/>
      <c r="R153" s="335"/>
      <c r="S153" s="335"/>
      <c r="T153" s="335"/>
      <c r="U153" s="335"/>
      <c r="V153" s="335"/>
      <c r="W153" s="335"/>
      <c r="X153" s="335"/>
      <c r="Y153" s="335"/>
      <c r="Z153" s="335"/>
      <c r="AA153" s="335"/>
      <c r="AB153" s="335"/>
      <c r="AC153" s="335"/>
      <c r="AD153" s="335"/>
      <c r="AE153" s="335"/>
      <c r="AF153" s="335"/>
      <c r="AG153" s="335"/>
      <c r="AH153" s="335"/>
      <c r="AI153" s="335"/>
      <c r="AJ153" s="335"/>
      <c r="AK153" s="335"/>
      <c r="AL153" s="335"/>
      <c r="AM153" s="326"/>
      <c r="AN153" s="326"/>
      <c r="AO153" s="94" t="s">
        <v>190</v>
      </c>
      <c r="AP153" s="166"/>
      <c r="AQ153" s="166"/>
      <c r="AR153" s="166"/>
      <c r="AS153" s="368"/>
      <c r="AT153" s="368"/>
      <c r="AU153" s="359"/>
      <c r="AV153" s="359"/>
      <c r="AW153" s="359"/>
      <c r="AX153" s="359"/>
      <c r="AY153" s="359"/>
      <c r="AZ153" s="359"/>
      <c r="BA153" s="359"/>
      <c r="BB153" s="359"/>
      <c r="BC153" s="359"/>
      <c r="BD153" s="359"/>
      <c r="BE153" s="359"/>
      <c r="BF153" s="359"/>
      <c r="BG153" s="359"/>
      <c r="BH153" s="359"/>
      <c r="BI153" s="359"/>
      <c r="BJ153" s="359"/>
      <c r="BK153" s="359"/>
      <c r="BL153" s="359"/>
      <c r="BM153" s="359"/>
      <c r="BN153" s="310"/>
      <c r="BO153" s="310"/>
      <c r="BP153" s="335"/>
      <c r="BQ153" s="335"/>
      <c r="BR153" s="335"/>
      <c r="BS153" s="335"/>
      <c r="BT153" s="335"/>
      <c r="BU153" s="335"/>
      <c r="BV153" s="310"/>
      <c r="BW153" s="310"/>
      <c r="BX153" s="335"/>
      <c r="BY153" s="335"/>
      <c r="BZ153" s="335"/>
      <c r="CA153" s="335"/>
      <c r="CB153" s="310"/>
      <c r="CC153" s="365"/>
      <c r="CD153" s="359"/>
      <c r="CE153" s="359"/>
      <c r="CF153" s="359"/>
      <c r="CG153" s="365"/>
      <c r="CH153" s="365"/>
      <c r="CI153" s="359"/>
      <c r="CJ153" s="365"/>
      <c r="CK153" s="365"/>
    </row>
    <row r="154" spans="1:89" s="4" customFormat="1" ht="24">
      <c r="A154" s="443"/>
      <c r="B154" s="333"/>
      <c r="C154" s="385"/>
      <c r="D154" s="433"/>
      <c r="E154" s="344"/>
      <c r="F154" s="344"/>
      <c r="G154" s="344"/>
      <c r="H154" s="344"/>
      <c r="I154" s="344"/>
      <c r="J154" s="344"/>
      <c r="K154" s="335"/>
      <c r="L154" s="335"/>
      <c r="M154" s="335"/>
      <c r="N154" s="335"/>
      <c r="O154" s="335"/>
      <c r="P154" s="335"/>
      <c r="Q154" s="335"/>
      <c r="R154" s="335"/>
      <c r="S154" s="335"/>
      <c r="T154" s="335"/>
      <c r="U154" s="335"/>
      <c r="V154" s="335"/>
      <c r="W154" s="335"/>
      <c r="X154" s="335"/>
      <c r="Y154" s="335"/>
      <c r="Z154" s="335"/>
      <c r="AA154" s="335"/>
      <c r="AB154" s="335"/>
      <c r="AC154" s="335"/>
      <c r="AD154" s="335"/>
      <c r="AE154" s="335"/>
      <c r="AF154" s="335"/>
      <c r="AG154" s="335"/>
      <c r="AH154" s="335"/>
      <c r="AI154" s="335"/>
      <c r="AJ154" s="335"/>
      <c r="AK154" s="335"/>
      <c r="AL154" s="335"/>
      <c r="AM154" s="327"/>
      <c r="AN154" s="327"/>
      <c r="AO154" s="94" t="s">
        <v>348</v>
      </c>
      <c r="AP154" s="167"/>
      <c r="AQ154" s="167"/>
      <c r="AR154" s="167"/>
      <c r="AS154" s="369"/>
      <c r="AT154" s="369"/>
      <c r="AU154" s="358"/>
      <c r="AV154" s="358"/>
      <c r="AW154" s="358"/>
      <c r="AX154" s="358"/>
      <c r="AY154" s="358"/>
      <c r="AZ154" s="358"/>
      <c r="BA154" s="358"/>
      <c r="BB154" s="358"/>
      <c r="BC154" s="358"/>
      <c r="BD154" s="358"/>
      <c r="BE154" s="358"/>
      <c r="BF154" s="358"/>
      <c r="BG154" s="358"/>
      <c r="BH154" s="358"/>
      <c r="BI154" s="358"/>
      <c r="BJ154" s="358"/>
      <c r="BK154" s="358"/>
      <c r="BL154" s="358"/>
      <c r="BM154" s="358"/>
      <c r="BN154" s="26"/>
      <c r="BO154" s="26"/>
      <c r="BP154" s="92"/>
      <c r="BQ154" s="92"/>
      <c r="BR154" s="92"/>
      <c r="BS154" s="92"/>
      <c r="BT154" s="92"/>
      <c r="BU154" s="92"/>
      <c r="BV154" s="26"/>
      <c r="BW154" s="26"/>
      <c r="BX154" s="92"/>
      <c r="BY154" s="92"/>
      <c r="BZ154" s="92"/>
      <c r="CA154" s="92"/>
      <c r="CB154" s="26"/>
      <c r="CC154" s="366"/>
      <c r="CD154" s="358"/>
      <c r="CE154" s="358"/>
      <c r="CF154" s="358"/>
      <c r="CG154" s="366"/>
      <c r="CH154" s="366"/>
      <c r="CI154" s="358"/>
      <c r="CJ154" s="366"/>
      <c r="CK154" s="366"/>
    </row>
    <row r="155" spans="1:89" s="4" customFormat="1" ht="36">
      <c r="A155" s="443"/>
      <c r="B155" s="333"/>
      <c r="C155" s="385"/>
      <c r="D155" s="384" t="s">
        <v>349</v>
      </c>
      <c r="E155" s="343">
        <v>0</v>
      </c>
      <c r="F155" s="343">
        <v>0.2</v>
      </c>
      <c r="G155" s="343">
        <v>0.5</v>
      </c>
      <c r="H155" s="343">
        <v>0.3</v>
      </c>
      <c r="I155" s="343">
        <v>0</v>
      </c>
      <c r="J155" s="343">
        <v>0</v>
      </c>
      <c r="K155" s="335"/>
      <c r="L155" s="335"/>
      <c r="M155" s="335"/>
      <c r="N155" s="335"/>
      <c r="O155" s="335"/>
      <c r="P155" s="335"/>
      <c r="Q155" s="335"/>
      <c r="R155" s="335"/>
      <c r="S155" s="335"/>
      <c r="T155" s="335"/>
      <c r="U155" s="335"/>
      <c r="V155" s="335"/>
      <c r="W155" s="335"/>
      <c r="X155" s="335"/>
      <c r="Y155" s="335"/>
      <c r="Z155" s="335"/>
      <c r="AA155" s="335"/>
      <c r="AB155" s="335"/>
      <c r="AC155" s="335"/>
      <c r="AD155" s="335"/>
      <c r="AE155" s="335"/>
      <c r="AF155" s="335"/>
      <c r="AG155" s="335"/>
      <c r="AH155" s="335"/>
      <c r="AI155" s="335"/>
      <c r="AJ155" s="335"/>
      <c r="AK155" s="335"/>
      <c r="AL155" s="335"/>
      <c r="AM155" s="325" t="s">
        <v>27</v>
      </c>
      <c r="AN155" s="325" t="s">
        <v>63</v>
      </c>
      <c r="AO155" s="94" t="s">
        <v>350</v>
      </c>
      <c r="AP155" s="168"/>
      <c r="AQ155" s="168"/>
      <c r="AR155" s="168"/>
      <c r="AS155" s="367"/>
      <c r="AT155" s="367"/>
      <c r="AU155" s="357"/>
      <c r="AV155" s="357"/>
      <c r="AW155" s="357"/>
      <c r="AX155" s="357"/>
      <c r="AY155" s="357"/>
      <c r="AZ155" s="357"/>
      <c r="BA155" s="357">
        <f>1045000000-5634</f>
        <v>1044994366</v>
      </c>
      <c r="BB155" s="357"/>
      <c r="BC155" s="357"/>
      <c r="BD155" s="357"/>
      <c r="BE155" s="357"/>
      <c r="BF155" s="357"/>
      <c r="BG155" s="357"/>
      <c r="BH155" s="357"/>
      <c r="BI155" s="357"/>
      <c r="BJ155" s="357"/>
      <c r="BK155" s="357"/>
      <c r="BL155" s="357"/>
      <c r="BM155" s="357"/>
      <c r="BN155" s="364">
        <f>SUM(BC155:BM155)</f>
        <v>0</v>
      </c>
      <c r="BO155" s="364">
        <f>BN155+BB155</f>
        <v>0</v>
      </c>
      <c r="BP155" s="357">
        <v>55117780</v>
      </c>
      <c r="BQ155" s="357"/>
      <c r="BR155" s="357"/>
      <c r="BS155" s="357"/>
      <c r="BT155" s="357"/>
      <c r="BU155" s="357"/>
      <c r="BV155" s="364">
        <f>SUM(BQ155:BU155)</f>
        <v>0</v>
      </c>
      <c r="BW155" s="364">
        <f>BV155+BP155</f>
        <v>55117780</v>
      </c>
      <c r="BX155" s="357"/>
      <c r="BY155" s="357"/>
      <c r="BZ155" s="357"/>
      <c r="CA155" s="357"/>
      <c r="CB155" s="364">
        <f>SUM(BY155:CA155)</f>
        <v>0</v>
      </c>
      <c r="CC155" s="364">
        <f>CB155+BX155</f>
        <v>0</v>
      </c>
      <c r="CD155" s="357"/>
      <c r="CE155" s="357"/>
      <c r="CF155" s="357"/>
      <c r="CG155" s="364">
        <f>SUM(CE155:CF155)</f>
        <v>0</v>
      </c>
      <c r="CH155" s="364">
        <f>CG155+CD155</f>
        <v>0</v>
      </c>
      <c r="CI155" s="357">
        <v>13050000</v>
      </c>
      <c r="CJ155" s="364">
        <f>CH155+CC155+BW155+BO155+CI155</f>
        <v>68167780</v>
      </c>
      <c r="CK155" s="364"/>
    </row>
    <row r="156" spans="1:89" s="4" customFormat="1" ht="48">
      <c r="A156" s="443"/>
      <c r="B156" s="333"/>
      <c r="C156" s="385"/>
      <c r="D156" s="385"/>
      <c r="E156" s="413"/>
      <c r="F156" s="413"/>
      <c r="G156" s="413"/>
      <c r="H156" s="413"/>
      <c r="I156" s="413"/>
      <c r="J156" s="413"/>
      <c r="K156" s="335"/>
      <c r="L156" s="335"/>
      <c r="M156" s="335"/>
      <c r="N156" s="335"/>
      <c r="O156" s="335"/>
      <c r="P156" s="335"/>
      <c r="Q156" s="335"/>
      <c r="R156" s="335"/>
      <c r="S156" s="335"/>
      <c r="T156" s="335"/>
      <c r="U156" s="335"/>
      <c r="V156" s="335"/>
      <c r="W156" s="335"/>
      <c r="X156" s="335"/>
      <c r="Y156" s="335"/>
      <c r="Z156" s="335"/>
      <c r="AA156" s="335"/>
      <c r="AB156" s="335"/>
      <c r="AC156" s="335"/>
      <c r="AD156" s="335"/>
      <c r="AE156" s="335"/>
      <c r="AF156" s="335"/>
      <c r="AG156" s="335"/>
      <c r="AH156" s="335"/>
      <c r="AI156" s="335"/>
      <c r="AJ156" s="335"/>
      <c r="AK156" s="335"/>
      <c r="AL156" s="335"/>
      <c r="AM156" s="326"/>
      <c r="AN156" s="326"/>
      <c r="AO156" s="94" t="s">
        <v>351</v>
      </c>
      <c r="AP156" s="166"/>
      <c r="AQ156" s="166"/>
      <c r="AR156" s="166"/>
      <c r="AS156" s="368"/>
      <c r="AT156" s="368"/>
      <c r="AU156" s="359"/>
      <c r="AV156" s="359"/>
      <c r="AW156" s="359"/>
      <c r="AX156" s="359"/>
      <c r="AY156" s="359"/>
      <c r="AZ156" s="359"/>
      <c r="BA156" s="359"/>
      <c r="BB156" s="359"/>
      <c r="BC156" s="359"/>
      <c r="BD156" s="359"/>
      <c r="BE156" s="359"/>
      <c r="BF156" s="359"/>
      <c r="BG156" s="359"/>
      <c r="BH156" s="359"/>
      <c r="BI156" s="359"/>
      <c r="BJ156" s="359"/>
      <c r="BK156" s="359"/>
      <c r="BL156" s="359"/>
      <c r="BM156" s="359"/>
      <c r="BN156" s="365"/>
      <c r="BO156" s="365"/>
      <c r="BP156" s="359"/>
      <c r="BQ156" s="359"/>
      <c r="BR156" s="359"/>
      <c r="BS156" s="359"/>
      <c r="BT156" s="359"/>
      <c r="BU156" s="359"/>
      <c r="BV156" s="365"/>
      <c r="BW156" s="365"/>
      <c r="BX156" s="359"/>
      <c r="BY156" s="359"/>
      <c r="BZ156" s="359"/>
      <c r="CA156" s="359"/>
      <c r="CB156" s="365"/>
      <c r="CC156" s="365"/>
      <c r="CD156" s="359"/>
      <c r="CE156" s="359"/>
      <c r="CF156" s="359"/>
      <c r="CG156" s="365"/>
      <c r="CH156" s="365"/>
      <c r="CI156" s="359"/>
      <c r="CJ156" s="365"/>
      <c r="CK156" s="365"/>
    </row>
    <row r="157" spans="1:89" s="4" customFormat="1" ht="48">
      <c r="A157" s="443"/>
      <c r="B157" s="333"/>
      <c r="C157" s="433"/>
      <c r="D157" s="433"/>
      <c r="E157" s="344"/>
      <c r="F157" s="344"/>
      <c r="G157" s="344"/>
      <c r="H157" s="344"/>
      <c r="I157" s="344"/>
      <c r="J157" s="344"/>
      <c r="K157" s="335"/>
      <c r="L157" s="335"/>
      <c r="M157" s="335"/>
      <c r="N157" s="335"/>
      <c r="O157" s="335"/>
      <c r="P157" s="335"/>
      <c r="Q157" s="335"/>
      <c r="R157" s="335"/>
      <c r="S157" s="335"/>
      <c r="T157" s="335"/>
      <c r="U157" s="335"/>
      <c r="V157" s="335"/>
      <c r="W157" s="335"/>
      <c r="X157" s="335"/>
      <c r="Y157" s="335"/>
      <c r="Z157" s="335"/>
      <c r="AA157" s="335"/>
      <c r="AB157" s="335"/>
      <c r="AC157" s="335"/>
      <c r="AD157" s="335"/>
      <c r="AE157" s="335"/>
      <c r="AF157" s="335"/>
      <c r="AG157" s="335"/>
      <c r="AH157" s="335"/>
      <c r="AI157" s="335"/>
      <c r="AJ157" s="335"/>
      <c r="AK157" s="335"/>
      <c r="AL157" s="335"/>
      <c r="AM157" s="327"/>
      <c r="AN157" s="327"/>
      <c r="AO157" s="94" t="s">
        <v>352</v>
      </c>
      <c r="AP157" s="167"/>
      <c r="AQ157" s="167"/>
      <c r="AR157" s="167"/>
      <c r="AS157" s="369"/>
      <c r="AT157" s="369"/>
      <c r="AU157" s="358"/>
      <c r="AV157" s="358"/>
      <c r="AW157" s="358"/>
      <c r="AX157" s="358"/>
      <c r="AY157" s="358"/>
      <c r="AZ157" s="358"/>
      <c r="BA157" s="358"/>
      <c r="BB157" s="358"/>
      <c r="BC157" s="358"/>
      <c r="BD157" s="358"/>
      <c r="BE157" s="358"/>
      <c r="BF157" s="358"/>
      <c r="BG157" s="358"/>
      <c r="BH157" s="358"/>
      <c r="BI157" s="358"/>
      <c r="BJ157" s="358"/>
      <c r="BK157" s="358"/>
      <c r="BL157" s="358"/>
      <c r="BM157" s="358"/>
      <c r="BN157" s="366"/>
      <c r="BO157" s="366"/>
      <c r="BP157" s="358"/>
      <c r="BQ157" s="358"/>
      <c r="BR157" s="358"/>
      <c r="BS157" s="358"/>
      <c r="BT157" s="358"/>
      <c r="BU157" s="358"/>
      <c r="BV157" s="366"/>
      <c r="BW157" s="366"/>
      <c r="BX157" s="358"/>
      <c r="BY157" s="358"/>
      <c r="BZ157" s="358"/>
      <c r="CA157" s="358"/>
      <c r="CB157" s="366"/>
      <c r="CC157" s="366"/>
      <c r="CD157" s="358"/>
      <c r="CE157" s="358"/>
      <c r="CF157" s="358"/>
      <c r="CG157" s="366"/>
      <c r="CH157" s="366"/>
      <c r="CI157" s="358"/>
      <c r="CJ157" s="366"/>
      <c r="CK157" s="366"/>
    </row>
    <row r="158" spans="1:89" s="4" customFormat="1" ht="24">
      <c r="A158" s="443"/>
      <c r="B158" s="333"/>
      <c r="C158" s="384" t="s">
        <v>353</v>
      </c>
      <c r="D158" s="489" t="s">
        <v>356</v>
      </c>
      <c r="E158" s="325">
        <v>28</v>
      </c>
      <c r="F158" s="325">
        <v>42</v>
      </c>
      <c r="G158" s="325">
        <v>28</v>
      </c>
      <c r="H158" s="325">
        <v>42</v>
      </c>
      <c r="I158" s="325">
        <v>28</v>
      </c>
      <c r="J158" s="325">
        <v>42</v>
      </c>
      <c r="K158" s="335"/>
      <c r="L158" s="335"/>
      <c r="M158" s="335"/>
      <c r="N158" s="335"/>
      <c r="O158" s="335"/>
      <c r="P158" s="335"/>
      <c r="Q158" s="335"/>
      <c r="R158" s="335"/>
      <c r="S158" s="335"/>
      <c r="T158" s="335"/>
      <c r="U158" s="335"/>
      <c r="V158" s="335"/>
      <c r="W158" s="335"/>
      <c r="X158" s="335"/>
      <c r="Y158" s="335"/>
      <c r="Z158" s="335"/>
      <c r="AA158" s="335"/>
      <c r="AB158" s="335"/>
      <c r="AC158" s="335"/>
      <c r="AD158" s="335"/>
      <c r="AE158" s="335"/>
      <c r="AF158" s="335"/>
      <c r="AG158" s="335"/>
      <c r="AH158" s="335"/>
      <c r="AI158" s="335"/>
      <c r="AJ158" s="335"/>
      <c r="AK158" s="335"/>
      <c r="AL158" s="335"/>
      <c r="AM158" s="325" t="s">
        <v>48</v>
      </c>
      <c r="AN158" s="325" t="s">
        <v>76</v>
      </c>
      <c r="AO158" s="127" t="s">
        <v>354</v>
      </c>
      <c r="AP158" s="105"/>
      <c r="AQ158" s="105"/>
      <c r="AR158" s="105"/>
      <c r="AS158" s="367"/>
      <c r="AT158" s="367"/>
      <c r="AU158" s="357"/>
      <c r="AV158" s="357"/>
      <c r="AW158" s="357"/>
      <c r="AX158" s="357"/>
      <c r="AY158" s="357"/>
      <c r="AZ158" s="357"/>
      <c r="BA158" s="357">
        <v>4350000000</v>
      </c>
      <c r="BB158" s="357"/>
      <c r="BC158" s="357"/>
      <c r="BD158" s="357"/>
      <c r="BE158" s="357"/>
      <c r="BF158" s="357"/>
      <c r="BG158" s="357"/>
      <c r="BH158" s="357"/>
      <c r="BI158" s="357"/>
      <c r="BJ158" s="357"/>
      <c r="BK158" s="357"/>
      <c r="BL158" s="357"/>
      <c r="BM158" s="357"/>
      <c r="BN158" s="335">
        <f>SUM(BC158:BM159)</f>
        <v>0</v>
      </c>
      <c r="BO158" s="310">
        <f>BN158+BB158</f>
        <v>0</v>
      </c>
      <c r="BP158" s="335"/>
      <c r="BQ158" s="335"/>
      <c r="BR158" s="335"/>
      <c r="BS158" s="335"/>
      <c r="BT158" s="335"/>
      <c r="BU158" s="357"/>
      <c r="BV158" s="357">
        <f>SUM(BQ158:BU159)</f>
        <v>0</v>
      </c>
      <c r="BW158" s="364">
        <f>BV158+BP158</f>
        <v>0</v>
      </c>
      <c r="BX158" s="357"/>
      <c r="BY158" s="357"/>
      <c r="BZ158" s="357"/>
      <c r="CA158" s="357"/>
      <c r="CB158" s="357">
        <f>SUM(BY158:CA159)</f>
        <v>0</v>
      </c>
      <c r="CC158" s="364">
        <f>CB158+BX158</f>
        <v>0</v>
      </c>
      <c r="CD158" s="357"/>
      <c r="CE158" s="357"/>
      <c r="CF158" s="357"/>
      <c r="CG158" s="357">
        <f>SUM(CE158:CF159)</f>
        <v>0</v>
      </c>
      <c r="CH158" s="364">
        <f>CG158+CD158</f>
        <v>0</v>
      </c>
      <c r="CI158" s="357"/>
      <c r="CJ158" s="364">
        <f>CH158+CC158+BW158+BO158+CI158</f>
        <v>0</v>
      </c>
      <c r="CK158" s="364"/>
    </row>
    <row r="159" spans="1:89" s="4" customFormat="1" ht="48">
      <c r="A159" s="443"/>
      <c r="B159" s="333"/>
      <c r="C159" s="385"/>
      <c r="D159" s="490"/>
      <c r="E159" s="326"/>
      <c r="F159" s="326"/>
      <c r="G159" s="326"/>
      <c r="H159" s="326"/>
      <c r="I159" s="326"/>
      <c r="J159" s="326"/>
      <c r="K159" s="335"/>
      <c r="L159" s="335"/>
      <c r="M159" s="335"/>
      <c r="N159" s="335"/>
      <c r="O159" s="335"/>
      <c r="P159" s="335"/>
      <c r="Q159" s="335"/>
      <c r="R159" s="335"/>
      <c r="S159" s="335"/>
      <c r="T159" s="335"/>
      <c r="U159" s="335"/>
      <c r="V159" s="335"/>
      <c r="W159" s="335"/>
      <c r="X159" s="335"/>
      <c r="Y159" s="335"/>
      <c r="Z159" s="335"/>
      <c r="AA159" s="335"/>
      <c r="AB159" s="335"/>
      <c r="AC159" s="335"/>
      <c r="AD159" s="335"/>
      <c r="AE159" s="335"/>
      <c r="AF159" s="335"/>
      <c r="AG159" s="335"/>
      <c r="AH159" s="335"/>
      <c r="AI159" s="335"/>
      <c r="AJ159" s="335"/>
      <c r="AK159" s="335"/>
      <c r="AL159" s="335"/>
      <c r="AM159" s="326"/>
      <c r="AN159" s="326"/>
      <c r="AO159" s="127" t="s">
        <v>417</v>
      </c>
      <c r="AP159" s="157"/>
      <c r="AQ159" s="157"/>
      <c r="AR159" s="157"/>
      <c r="AS159" s="368"/>
      <c r="AT159" s="368"/>
      <c r="AU159" s="359"/>
      <c r="AV159" s="359"/>
      <c r="AW159" s="359"/>
      <c r="AX159" s="359"/>
      <c r="AY159" s="359"/>
      <c r="AZ159" s="359"/>
      <c r="BA159" s="359"/>
      <c r="BB159" s="359"/>
      <c r="BC159" s="359"/>
      <c r="BD159" s="359"/>
      <c r="BE159" s="359"/>
      <c r="BF159" s="359"/>
      <c r="BG159" s="359"/>
      <c r="BH159" s="359"/>
      <c r="BI159" s="359"/>
      <c r="BJ159" s="359"/>
      <c r="BK159" s="359"/>
      <c r="BL159" s="359"/>
      <c r="BM159" s="359"/>
      <c r="BN159" s="335"/>
      <c r="BO159" s="310"/>
      <c r="BP159" s="335"/>
      <c r="BQ159" s="335"/>
      <c r="BR159" s="335"/>
      <c r="BS159" s="335"/>
      <c r="BT159" s="335"/>
      <c r="BU159" s="359"/>
      <c r="BV159" s="359"/>
      <c r="BW159" s="365"/>
      <c r="BX159" s="359"/>
      <c r="BY159" s="359"/>
      <c r="BZ159" s="359"/>
      <c r="CA159" s="359"/>
      <c r="CB159" s="359"/>
      <c r="CC159" s="365"/>
      <c r="CD159" s="359"/>
      <c r="CE159" s="359"/>
      <c r="CF159" s="359"/>
      <c r="CG159" s="359"/>
      <c r="CH159" s="365"/>
      <c r="CI159" s="359"/>
      <c r="CJ159" s="365"/>
      <c r="CK159" s="365"/>
    </row>
    <row r="160" spans="1:89" s="4" customFormat="1" ht="36">
      <c r="A160" s="443"/>
      <c r="B160" s="334"/>
      <c r="C160" s="433"/>
      <c r="D160" s="491"/>
      <c r="E160" s="327"/>
      <c r="F160" s="327"/>
      <c r="G160" s="327"/>
      <c r="H160" s="327"/>
      <c r="I160" s="327"/>
      <c r="J160" s="327"/>
      <c r="K160" s="335"/>
      <c r="L160" s="335"/>
      <c r="M160" s="335"/>
      <c r="N160" s="335"/>
      <c r="O160" s="335"/>
      <c r="P160" s="335"/>
      <c r="Q160" s="335"/>
      <c r="R160" s="335"/>
      <c r="S160" s="335"/>
      <c r="T160" s="335"/>
      <c r="U160" s="335"/>
      <c r="V160" s="335"/>
      <c r="W160" s="335"/>
      <c r="X160" s="335"/>
      <c r="Y160" s="335"/>
      <c r="Z160" s="335"/>
      <c r="AA160" s="335"/>
      <c r="AB160" s="335"/>
      <c r="AC160" s="335"/>
      <c r="AD160" s="335"/>
      <c r="AE160" s="335"/>
      <c r="AF160" s="335"/>
      <c r="AG160" s="335"/>
      <c r="AH160" s="335"/>
      <c r="AI160" s="335"/>
      <c r="AJ160" s="335"/>
      <c r="AK160" s="335"/>
      <c r="AL160" s="335"/>
      <c r="AM160" s="327"/>
      <c r="AN160" s="327"/>
      <c r="AO160" s="127" t="s">
        <v>355</v>
      </c>
      <c r="AP160" s="156"/>
      <c r="AQ160" s="156"/>
      <c r="AR160" s="156"/>
      <c r="AS160" s="369"/>
      <c r="AT160" s="369"/>
      <c r="AU160" s="358"/>
      <c r="AV160" s="358"/>
      <c r="AW160" s="358"/>
      <c r="AX160" s="358"/>
      <c r="AY160" s="358"/>
      <c r="AZ160" s="358"/>
      <c r="BA160" s="358"/>
      <c r="BB160" s="358"/>
      <c r="BC160" s="358"/>
      <c r="BD160" s="358"/>
      <c r="BE160" s="358"/>
      <c r="BF160" s="358"/>
      <c r="BG160" s="358"/>
      <c r="BH160" s="358"/>
      <c r="BI160" s="358"/>
      <c r="BJ160" s="358"/>
      <c r="BK160" s="358"/>
      <c r="BL160" s="358"/>
      <c r="BM160" s="358"/>
      <c r="BN160" s="119"/>
      <c r="BO160" s="26"/>
      <c r="BP160" s="119"/>
      <c r="BQ160" s="119"/>
      <c r="BR160" s="119"/>
      <c r="BS160" s="119"/>
      <c r="BT160" s="119"/>
      <c r="BU160" s="358"/>
      <c r="BV160" s="358"/>
      <c r="BW160" s="366"/>
      <c r="BX160" s="358"/>
      <c r="BY160" s="358"/>
      <c r="BZ160" s="358"/>
      <c r="CA160" s="358"/>
      <c r="CB160" s="358"/>
      <c r="CC160" s="366"/>
      <c r="CD160" s="358"/>
      <c r="CE160" s="358"/>
      <c r="CF160" s="358"/>
      <c r="CG160" s="358"/>
      <c r="CH160" s="366"/>
      <c r="CI160" s="358"/>
      <c r="CJ160" s="366"/>
      <c r="CK160" s="366"/>
    </row>
    <row r="161" spans="1:89" s="34" customFormat="1">
      <c r="A161" s="443"/>
      <c r="B161" s="486" t="s">
        <v>137</v>
      </c>
      <c r="C161" s="486"/>
      <c r="D161" s="486"/>
      <c r="E161" s="68"/>
      <c r="F161" s="68"/>
      <c r="G161" s="68"/>
      <c r="H161" s="68"/>
      <c r="I161" s="68"/>
      <c r="J161" s="68"/>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107"/>
      <c r="AN161" s="107"/>
      <c r="AO161" s="32"/>
      <c r="AP161" s="161"/>
      <c r="AQ161" s="161"/>
      <c r="AR161" s="161"/>
      <c r="AS161" s="46"/>
      <c r="AT161" s="46"/>
      <c r="AU161" s="46"/>
      <c r="AV161" s="46"/>
      <c r="AW161" s="46"/>
      <c r="AX161" s="46"/>
      <c r="AY161" s="33"/>
      <c r="AZ161" s="33"/>
      <c r="BA161" s="46" t="e">
        <f>SUM(BA128:BA155)-#REF!</f>
        <v>#REF!</v>
      </c>
      <c r="BB161" s="46">
        <f t="shared" ref="BB161:BM161" si="10">SUM(BB128:BB155)</f>
        <v>1070000000</v>
      </c>
      <c r="BC161" s="33">
        <f t="shared" si="10"/>
        <v>0</v>
      </c>
      <c r="BD161" s="33">
        <f t="shared" si="10"/>
        <v>0</v>
      </c>
      <c r="BE161" s="33">
        <f t="shared" si="10"/>
        <v>0</v>
      </c>
      <c r="BF161" s="33">
        <f t="shared" si="10"/>
        <v>0</v>
      </c>
      <c r="BG161" s="33">
        <f t="shared" si="10"/>
        <v>0</v>
      </c>
      <c r="BH161" s="33">
        <f t="shared" si="10"/>
        <v>0</v>
      </c>
      <c r="BI161" s="33">
        <f t="shared" si="10"/>
        <v>0</v>
      </c>
      <c r="BJ161" s="33">
        <f t="shared" si="10"/>
        <v>0</v>
      </c>
      <c r="BK161" s="33">
        <f t="shared" si="10"/>
        <v>0</v>
      </c>
      <c r="BL161" s="33">
        <f t="shared" si="10"/>
        <v>0</v>
      </c>
      <c r="BM161" s="33">
        <f t="shared" si="10"/>
        <v>0</v>
      </c>
      <c r="BN161" s="69">
        <f>SUM(BC161:BM161)</f>
        <v>0</v>
      </c>
      <c r="BO161" s="69">
        <f>BN161+BB161</f>
        <v>1070000000</v>
      </c>
      <c r="BP161" s="46">
        <f>SUM(BP128:BP155)</f>
        <v>1277117780</v>
      </c>
      <c r="BQ161" s="46">
        <f t="shared" ref="BQ161:BW161" si="11">SUM(BQ128:BQ155)</f>
        <v>0</v>
      </c>
      <c r="BR161" s="46">
        <f t="shared" si="11"/>
        <v>0</v>
      </c>
      <c r="BS161" s="46">
        <f t="shared" si="11"/>
        <v>0</v>
      </c>
      <c r="BT161" s="46">
        <f t="shared" si="11"/>
        <v>0</v>
      </c>
      <c r="BU161" s="46">
        <f t="shared" si="11"/>
        <v>0</v>
      </c>
      <c r="BV161" s="46">
        <f t="shared" si="11"/>
        <v>0</v>
      </c>
      <c r="BW161" s="46">
        <f t="shared" si="11"/>
        <v>1277117780</v>
      </c>
      <c r="BX161" s="46">
        <f t="shared" ref="BX161:CH161" si="12">SUM(BX128:BX155)</f>
        <v>668722625</v>
      </c>
      <c r="BY161" s="46">
        <f t="shared" si="12"/>
        <v>0</v>
      </c>
      <c r="BZ161" s="46">
        <f t="shared" si="12"/>
        <v>0</v>
      </c>
      <c r="CA161" s="46">
        <f t="shared" si="12"/>
        <v>0</v>
      </c>
      <c r="CB161" s="46">
        <f t="shared" si="12"/>
        <v>0</v>
      </c>
      <c r="CC161" s="46">
        <f t="shared" si="12"/>
        <v>668722625</v>
      </c>
      <c r="CD161" s="46">
        <f t="shared" si="12"/>
        <v>300000000</v>
      </c>
      <c r="CE161" s="46">
        <f t="shared" si="12"/>
        <v>0</v>
      </c>
      <c r="CF161" s="46">
        <f t="shared" si="12"/>
        <v>0</v>
      </c>
      <c r="CG161" s="46">
        <f t="shared" si="12"/>
        <v>0</v>
      </c>
      <c r="CH161" s="46">
        <f t="shared" si="12"/>
        <v>300000000</v>
      </c>
      <c r="CI161" s="46">
        <f>SUM(CI128:CI155)</f>
        <v>185350000</v>
      </c>
      <c r="CJ161" s="46">
        <f>SUM(CJ128:CJ157)</f>
        <v>3501190405</v>
      </c>
      <c r="CK161" s="69"/>
    </row>
    <row r="162" spans="1:89" s="4" customFormat="1" ht="24">
      <c r="A162" s="443"/>
      <c r="B162" s="445" t="s">
        <v>384</v>
      </c>
      <c r="C162" s="393" t="s">
        <v>357</v>
      </c>
      <c r="D162" s="332" t="s">
        <v>491</v>
      </c>
      <c r="E162" s="345">
        <v>0.3</v>
      </c>
      <c r="F162" s="345">
        <v>0.7</v>
      </c>
      <c r="G162" s="345"/>
      <c r="H162" s="345"/>
      <c r="I162" s="345"/>
      <c r="J162" s="345"/>
      <c r="K162" s="310"/>
      <c r="L162" s="310"/>
      <c r="M162" s="310"/>
      <c r="N162" s="310"/>
      <c r="O162" s="310"/>
      <c r="P162" s="310"/>
      <c r="Q162" s="310"/>
      <c r="R162" s="310"/>
      <c r="S162" s="310"/>
      <c r="T162" s="310"/>
      <c r="U162" s="310"/>
      <c r="V162" s="310"/>
      <c r="W162" s="310"/>
      <c r="X162" s="310"/>
      <c r="Y162" s="310"/>
      <c r="Z162" s="310"/>
      <c r="AA162" s="310"/>
      <c r="AB162" s="310"/>
      <c r="AC162" s="310"/>
      <c r="AD162" s="310"/>
      <c r="AE162" s="310"/>
      <c r="AF162" s="310"/>
      <c r="AG162" s="310"/>
      <c r="AH162" s="310"/>
      <c r="AI162" s="310"/>
      <c r="AJ162" s="310"/>
      <c r="AK162" s="310"/>
      <c r="AL162" s="310"/>
      <c r="AM162" s="346" t="s">
        <v>27</v>
      </c>
      <c r="AN162" s="352" t="s">
        <v>10</v>
      </c>
      <c r="AO162" s="127" t="s">
        <v>358</v>
      </c>
      <c r="AP162" s="105"/>
      <c r="AQ162" s="105"/>
      <c r="AR162" s="105"/>
      <c r="AS162" s="418"/>
      <c r="AT162" s="418"/>
      <c r="AU162" s="364"/>
      <c r="AV162" s="364"/>
      <c r="AW162" s="364"/>
      <c r="AX162" s="364"/>
      <c r="AY162" s="364"/>
      <c r="AZ162" s="364"/>
      <c r="BA162" s="392">
        <v>2000000000</v>
      </c>
      <c r="BB162" s="310">
        <v>640000000</v>
      </c>
      <c r="BC162" s="310"/>
      <c r="BD162" s="310"/>
      <c r="BE162" s="310"/>
      <c r="BF162" s="310"/>
      <c r="BG162" s="310"/>
      <c r="BH162" s="310"/>
      <c r="BI162" s="310"/>
      <c r="BJ162" s="310"/>
      <c r="BK162" s="310"/>
      <c r="BL162" s="310"/>
      <c r="BM162" s="310"/>
      <c r="BN162" s="310">
        <f>SUM(BC162:BM175)</f>
        <v>0</v>
      </c>
      <c r="BO162" s="310">
        <f>BN162+BB162</f>
        <v>640000000</v>
      </c>
      <c r="BP162" s="310">
        <v>20000000</v>
      </c>
      <c r="BQ162" s="310"/>
      <c r="BR162" s="310"/>
      <c r="BS162" s="310"/>
      <c r="BT162" s="310"/>
      <c r="BU162" s="310"/>
      <c r="BV162" s="310">
        <f>SUM(BQ162:BU175)</f>
        <v>0</v>
      </c>
      <c r="BW162" s="310">
        <f>BV162+BP162</f>
        <v>20000000</v>
      </c>
      <c r="BX162" s="392">
        <v>3840000000</v>
      </c>
      <c r="BY162" s="310"/>
      <c r="BZ162" s="310"/>
      <c r="CA162" s="310"/>
      <c r="CB162" s="310">
        <f>SUM(BY162:CA175)</f>
        <v>0</v>
      </c>
      <c r="CC162" s="310">
        <f>CB162+BX162</f>
        <v>3840000000</v>
      </c>
      <c r="CD162" s="310">
        <v>10000000</v>
      </c>
      <c r="CE162" s="310"/>
      <c r="CF162" s="310"/>
      <c r="CG162" s="310">
        <f>SUM(CE162:CF175)</f>
        <v>0</v>
      </c>
      <c r="CH162" s="310">
        <f>CG162+CD162</f>
        <v>10000000</v>
      </c>
      <c r="CI162" s="310"/>
      <c r="CJ162" s="310">
        <f>CH162+CC162+BW162+BO162+CI162</f>
        <v>4510000000</v>
      </c>
      <c r="CK162" s="310"/>
    </row>
    <row r="163" spans="1:89" s="4" customFormat="1" ht="36">
      <c r="A163" s="443"/>
      <c r="B163" s="445"/>
      <c r="C163" s="394"/>
      <c r="D163" s="333"/>
      <c r="E163" s="345"/>
      <c r="F163" s="345"/>
      <c r="G163" s="345"/>
      <c r="H163" s="345"/>
      <c r="I163" s="345"/>
      <c r="J163" s="345"/>
      <c r="K163" s="310"/>
      <c r="L163" s="310"/>
      <c r="M163" s="310"/>
      <c r="N163" s="310"/>
      <c r="O163" s="310"/>
      <c r="P163" s="310"/>
      <c r="Q163" s="310"/>
      <c r="R163" s="310"/>
      <c r="S163" s="310"/>
      <c r="T163" s="310"/>
      <c r="U163" s="310"/>
      <c r="V163" s="310"/>
      <c r="W163" s="310"/>
      <c r="X163" s="310"/>
      <c r="Y163" s="310"/>
      <c r="Z163" s="310"/>
      <c r="AA163" s="310"/>
      <c r="AB163" s="310"/>
      <c r="AC163" s="310"/>
      <c r="AD163" s="310"/>
      <c r="AE163" s="310"/>
      <c r="AF163" s="310"/>
      <c r="AG163" s="310"/>
      <c r="AH163" s="310"/>
      <c r="AI163" s="310"/>
      <c r="AJ163" s="310"/>
      <c r="AK163" s="310"/>
      <c r="AL163" s="310"/>
      <c r="AM163" s="346"/>
      <c r="AN163" s="352"/>
      <c r="AO163" s="127" t="s">
        <v>359</v>
      </c>
      <c r="AP163" s="157"/>
      <c r="AQ163" s="157"/>
      <c r="AR163" s="157"/>
      <c r="AS163" s="419"/>
      <c r="AT163" s="419"/>
      <c r="AU163" s="365"/>
      <c r="AV163" s="365"/>
      <c r="AW163" s="365"/>
      <c r="AX163" s="365"/>
      <c r="AY163" s="365"/>
      <c r="AZ163" s="365"/>
      <c r="BA163" s="392"/>
      <c r="BB163" s="310"/>
      <c r="BC163" s="310"/>
      <c r="BD163" s="310"/>
      <c r="BE163" s="310"/>
      <c r="BF163" s="310"/>
      <c r="BG163" s="310"/>
      <c r="BH163" s="310"/>
      <c r="BI163" s="310"/>
      <c r="BJ163" s="310"/>
      <c r="BK163" s="310"/>
      <c r="BL163" s="310"/>
      <c r="BM163" s="310"/>
      <c r="BN163" s="310"/>
      <c r="BO163" s="310"/>
      <c r="BP163" s="310"/>
      <c r="BQ163" s="310"/>
      <c r="BR163" s="310"/>
      <c r="BS163" s="310"/>
      <c r="BT163" s="310"/>
      <c r="BU163" s="310"/>
      <c r="BV163" s="310"/>
      <c r="BW163" s="310"/>
      <c r="BX163" s="392"/>
      <c r="BY163" s="310"/>
      <c r="BZ163" s="310"/>
      <c r="CA163" s="310"/>
      <c r="CB163" s="310"/>
      <c r="CC163" s="310"/>
      <c r="CD163" s="310"/>
      <c r="CE163" s="310"/>
      <c r="CF163" s="310"/>
      <c r="CG163" s="310"/>
      <c r="CH163" s="310"/>
      <c r="CI163" s="310"/>
      <c r="CJ163" s="310"/>
      <c r="CK163" s="310"/>
    </row>
    <row r="164" spans="1:89" s="4" customFormat="1" ht="36">
      <c r="A164" s="443"/>
      <c r="B164" s="445"/>
      <c r="C164" s="394"/>
      <c r="D164" s="333"/>
      <c r="E164" s="345"/>
      <c r="F164" s="345"/>
      <c r="G164" s="345"/>
      <c r="H164" s="345"/>
      <c r="I164" s="345"/>
      <c r="J164" s="345"/>
      <c r="K164" s="310"/>
      <c r="L164" s="310"/>
      <c r="M164" s="310"/>
      <c r="N164" s="310"/>
      <c r="O164" s="310"/>
      <c r="P164" s="310"/>
      <c r="Q164" s="310"/>
      <c r="R164" s="310"/>
      <c r="S164" s="310"/>
      <c r="T164" s="310"/>
      <c r="U164" s="310"/>
      <c r="V164" s="310"/>
      <c r="W164" s="310"/>
      <c r="X164" s="310"/>
      <c r="Y164" s="310"/>
      <c r="Z164" s="310"/>
      <c r="AA164" s="310"/>
      <c r="AB164" s="310"/>
      <c r="AC164" s="310"/>
      <c r="AD164" s="310"/>
      <c r="AE164" s="310"/>
      <c r="AF164" s="310"/>
      <c r="AG164" s="310"/>
      <c r="AH164" s="310"/>
      <c r="AI164" s="310"/>
      <c r="AJ164" s="310"/>
      <c r="AK164" s="310"/>
      <c r="AL164" s="310"/>
      <c r="AM164" s="346"/>
      <c r="AN164" s="352" t="s">
        <v>11</v>
      </c>
      <c r="AO164" s="127" t="s">
        <v>360</v>
      </c>
      <c r="AP164" s="157"/>
      <c r="AQ164" s="157"/>
      <c r="AR164" s="157"/>
      <c r="AS164" s="419"/>
      <c r="AT164" s="419"/>
      <c r="AU164" s="365"/>
      <c r="AV164" s="365"/>
      <c r="AW164" s="365"/>
      <c r="AX164" s="365"/>
      <c r="AY164" s="365"/>
      <c r="AZ164" s="365"/>
      <c r="BA164" s="392"/>
      <c r="BB164" s="310"/>
      <c r="BC164" s="310"/>
      <c r="BD164" s="310"/>
      <c r="BE164" s="310"/>
      <c r="BF164" s="310"/>
      <c r="BG164" s="310"/>
      <c r="BH164" s="310"/>
      <c r="BI164" s="310"/>
      <c r="BJ164" s="310"/>
      <c r="BK164" s="310"/>
      <c r="BL164" s="310"/>
      <c r="BM164" s="310"/>
      <c r="BN164" s="310"/>
      <c r="BO164" s="310"/>
      <c r="BP164" s="310"/>
      <c r="BQ164" s="310"/>
      <c r="BR164" s="310"/>
      <c r="BS164" s="310"/>
      <c r="BT164" s="310"/>
      <c r="BU164" s="310"/>
      <c r="BV164" s="310"/>
      <c r="BW164" s="310"/>
      <c r="BX164" s="392"/>
      <c r="BY164" s="310"/>
      <c r="BZ164" s="310"/>
      <c r="CA164" s="310"/>
      <c r="CB164" s="310"/>
      <c r="CC164" s="310"/>
      <c r="CD164" s="310"/>
      <c r="CE164" s="310"/>
      <c r="CF164" s="310"/>
      <c r="CG164" s="310"/>
      <c r="CH164" s="310"/>
      <c r="CI164" s="310"/>
      <c r="CJ164" s="310"/>
      <c r="CK164" s="310"/>
    </row>
    <row r="165" spans="1:89" s="4" customFormat="1" ht="36">
      <c r="A165" s="443"/>
      <c r="B165" s="445"/>
      <c r="C165" s="395"/>
      <c r="D165" s="334"/>
      <c r="E165" s="345"/>
      <c r="F165" s="345"/>
      <c r="G165" s="345"/>
      <c r="H165" s="345"/>
      <c r="I165" s="345"/>
      <c r="J165" s="345"/>
      <c r="K165" s="310"/>
      <c r="L165" s="310"/>
      <c r="M165" s="310"/>
      <c r="N165" s="310"/>
      <c r="O165" s="310"/>
      <c r="P165" s="310"/>
      <c r="Q165" s="310"/>
      <c r="R165" s="310"/>
      <c r="S165" s="310"/>
      <c r="T165" s="310"/>
      <c r="U165" s="310"/>
      <c r="V165" s="310"/>
      <c r="W165" s="310"/>
      <c r="X165" s="310"/>
      <c r="Y165" s="310"/>
      <c r="Z165" s="310"/>
      <c r="AA165" s="310"/>
      <c r="AB165" s="310"/>
      <c r="AC165" s="310"/>
      <c r="AD165" s="310"/>
      <c r="AE165" s="310"/>
      <c r="AF165" s="310"/>
      <c r="AG165" s="310"/>
      <c r="AH165" s="310"/>
      <c r="AI165" s="310"/>
      <c r="AJ165" s="310"/>
      <c r="AK165" s="310"/>
      <c r="AL165" s="310"/>
      <c r="AM165" s="346"/>
      <c r="AN165" s="352"/>
      <c r="AO165" s="127" t="s">
        <v>361</v>
      </c>
      <c r="AP165" s="157"/>
      <c r="AQ165" s="157"/>
      <c r="AR165" s="157"/>
      <c r="AS165" s="419"/>
      <c r="AT165" s="419"/>
      <c r="AU165" s="365"/>
      <c r="AV165" s="365"/>
      <c r="AW165" s="365"/>
      <c r="AX165" s="365"/>
      <c r="AY165" s="365"/>
      <c r="AZ165" s="365"/>
      <c r="BA165" s="392"/>
      <c r="BB165" s="310"/>
      <c r="BC165" s="310"/>
      <c r="BD165" s="310"/>
      <c r="BE165" s="310"/>
      <c r="BF165" s="310"/>
      <c r="BG165" s="310"/>
      <c r="BH165" s="310"/>
      <c r="BI165" s="310"/>
      <c r="BJ165" s="310"/>
      <c r="BK165" s="310"/>
      <c r="BL165" s="310"/>
      <c r="BM165" s="310"/>
      <c r="BN165" s="310"/>
      <c r="BO165" s="310"/>
      <c r="BP165" s="310"/>
      <c r="BQ165" s="310"/>
      <c r="BR165" s="310"/>
      <c r="BS165" s="310"/>
      <c r="BT165" s="310"/>
      <c r="BU165" s="310"/>
      <c r="BV165" s="310"/>
      <c r="BW165" s="310"/>
      <c r="BX165" s="392"/>
      <c r="BY165" s="310"/>
      <c r="BZ165" s="310"/>
      <c r="CA165" s="310"/>
      <c r="CB165" s="310"/>
      <c r="CC165" s="310"/>
      <c r="CD165" s="310"/>
      <c r="CE165" s="310"/>
      <c r="CF165" s="310"/>
      <c r="CG165" s="310"/>
      <c r="CH165" s="310"/>
      <c r="CI165" s="310"/>
      <c r="CJ165" s="310"/>
      <c r="CK165" s="310"/>
    </row>
    <row r="166" spans="1:89" s="4" customFormat="1" ht="60">
      <c r="A166" s="443"/>
      <c r="B166" s="445"/>
      <c r="C166" s="393" t="s">
        <v>362</v>
      </c>
      <c r="D166" s="150" t="s">
        <v>492</v>
      </c>
      <c r="E166" s="345"/>
      <c r="F166" s="345"/>
      <c r="G166" s="345"/>
      <c r="H166" s="345"/>
      <c r="I166" s="345"/>
      <c r="J166" s="345"/>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346"/>
      <c r="AN166" s="352" t="s">
        <v>12</v>
      </c>
      <c r="AO166" s="129" t="s">
        <v>363</v>
      </c>
      <c r="AP166" s="169"/>
      <c r="AQ166" s="169"/>
      <c r="AR166" s="169"/>
      <c r="AS166" s="419"/>
      <c r="AT166" s="419"/>
      <c r="AU166" s="365"/>
      <c r="AV166" s="365"/>
      <c r="AW166" s="365"/>
      <c r="AX166" s="365"/>
      <c r="AY166" s="365"/>
      <c r="AZ166" s="365"/>
      <c r="BA166" s="392"/>
      <c r="BB166" s="310"/>
      <c r="BC166" s="310"/>
      <c r="BD166" s="310"/>
      <c r="BE166" s="310"/>
      <c r="BF166" s="310"/>
      <c r="BG166" s="310"/>
      <c r="BH166" s="310"/>
      <c r="BI166" s="310"/>
      <c r="BJ166" s="310"/>
      <c r="BK166" s="310"/>
      <c r="BL166" s="310"/>
      <c r="BM166" s="310"/>
      <c r="BN166" s="310"/>
      <c r="BO166" s="310"/>
      <c r="BP166" s="310"/>
      <c r="BQ166" s="310"/>
      <c r="BR166" s="310"/>
      <c r="BS166" s="310"/>
      <c r="BT166" s="310"/>
      <c r="BU166" s="310"/>
      <c r="BV166" s="310"/>
      <c r="BW166" s="310"/>
      <c r="BX166" s="392"/>
      <c r="BY166" s="310"/>
      <c r="BZ166" s="310"/>
      <c r="CA166" s="310"/>
      <c r="CB166" s="310"/>
      <c r="CC166" s="310"/>
      <c r="CD166" s="310"/>
      <c r="CE166" s="310"/>
      <c r="CF166" s="310"/>
      <c r="CG166" s="310"/>
      <c r="CH166" s="310"/>
      <c r="CI166" s="310"/>
      <c r="CJ166" s="310"/>
      <c r="CK166" s="310"/>
    </row>
    <row r="167" spans="1:89" s="4" customFormat="1" ht="60">
      <c r="A167" s="443"/>
      <c r="B167" s="445"/>
      <c r="C167" s="394"/>
      <c r="D167" s="332" t="s">
        <v>493</v>
      </c>
      <c r="E167" s="345"/>
      <c r="F167" s="345"/>
      <c r="G167" s="345"/>
      <c r="H167" s="345"/>
      <c r="I167" s="345"/>
      <c r="J167" s="345"/>
      <c r="K167" s="310"/>
      <c r="L167" s="310"/>
      <c r="M167" s="310"/>
      <c r="N167" s="310"/>
      <c r="O167" s="310"/>
      <c r="P167" s="310"/>
      <c r="Q167" s="310"/>
      <c r="R167" s="310"/>
      <c r="S167" s="310"/>
      <c r="T167" s="310"/>
      <c r="U167" s="310"/>
      <c r="V167" s="310"/>
      <c r="W167" s="310"/>
      <c r="X167" s="310"/>
      <c r="Y167" s="310"/>
      <c r="Z167" s="310"/>
      <c r="AA167" s="310"/>
      <c r="AB167" s="310"/>
      <c r="AC167" s="310"/>
      <c r="AD167" s="310"/>
      <c r="AE167" s="310"/>
      <c r="AF167" s="310"/>
      <c r="AG167" s="310"/>
      <c r="AH167" s="310"/>
      <c r="AI167" s="310"/>
      <c r="AJ167" s="310"/>
      <c r="AK167" s="310"/>
      <c r="AL167" s="310"/>
      <c r="AM167" s="346"/>
      <c r="AN167" s="352"/>
      <c r="AO167" s="127" t="s">
        <v>364</v>
      </c>
      <c r="AP167" s="157"/>
      <c r="AQ167" s="157"/>
      <c r="AR167" s="157"/>
      <c r="AS167" s="419"/>
      <c r="AT167" s="419"/>
      <c r="AU167" s="365"/>
      <c r="AV167" s="365"/>
      <c r="AW167" s="365"/>
      <c r="AX167" s="365"/>
      <c r="AY167" s="365"/>
      <c r="AZ167" s="365"/>
      <c r="BA167" s="392"/>
      <c r="BB167" s="310"/>
      <c r="BC167" s="310"/>
      <c r="BD167" s="310"/>
      <c r="BE167" s="310"/>
      <c r="BF167" s="310"/>
      <c r="BG167" s="310"/>
      <c r="BH167" s="310"/>
      <c r="BI167" s="310"/>
      <c r="BJ167" s="310"/>
      <c r="BK167" s="310"/>
      <c r="BL167" s="310"/>
      <c r="BM167" s="310"/>
      <c r="BN167" s="310"/>
      <c r="BO167" s="310"/>
      <c r="BP167" s="310"/>
      <c r="BQ167" s="310"/>
      <c r="BR167" s="310"/>
      <c r="BS167" s="310"/>
      <c r="BT167" s="310"/>
      <c r="BU167" s="310"/>
      <c r="BV167" s="310"/>
      <c r="BW167" s="310"/>
      <c r="BX167" s="392"/>
      <c r="BY167" s="310"/>
      <c r="BZ167" s="310"/>
      <c r="CA167" s="310"/>
      <c r="CB167" s="310"/>
      <c r="CC167" s="310"/>
      <c r="CD167" s="310"/>
      <c r="CE167" s="310"/>
      <c r="CF167" s="310"/>
      <c r="CG167" s="310"/>
      <c r="CH167" s="310"/>
      <c r="CI167" s="310"/>
      <c r="CJ167" s="310"/>
      <c r="CK167" s="310"/>
    </row>
    <row r="168" spans="1:89" s="4" customFormat="1" ht="36">
      <c r="A168" s="443"/>
      <c r="B168" s="445"/>
      <c r="C168" s="394"/>
      <c r="D168" s="333"/>
      <c r="E168" s="345"/>
      <c r="F168" s="345"/>
      <c r="G168" s="345"/>
      <c r="H168" s="345"/>
      <c r="I168" s="345"/>
      <c r="J168" s="345"/>
      <c r="K168" s="310"/>
      <c r="L168" s="310"/>
      <c r="M168" s="310"/>
      <c r="N168" s="310"/>
      <c r="O168" s="310"/>
      <c r="P168" s="310"/>
      <c r="Q168" s="310"/>
      <c r="R168" s="310"/>
      <c r="S168" s="310"/>
      <c r="T168" s="310"/>
      <c r="U168" s="310"/>
      <c r="V168" s="310"/>
      <c r="W168" s="310"/>
      <c r="X168" s="310"/>
      <c r="Y168" s="310"/>
      <c r="Z168" s="310"/>
      <c r="AA168" s="310"/>
      <c r="AB168" s="310"/>
      <c r="AC168" s="310"/>
      <c r="AD168" s="310"/>
      <c r="AE168" s="310"/>
      <c r="AF168" s="310"/>
      <c r="AG168" s="310"/>
      <c r="AH168" s="310"/>
      <c r="AI168" s="310"/>
      <c r="AJ168" s="310"/>
      <c r="AK168" s="310"/>
      <c r="AL168" s="310"/>
      <c r="AM168" s="346"/>
      <c r="AN168" s="352"/>
      <c r="AO168" s="127" t="s">
        <v>365</v>
      </c>
      <c r="AP168" s="157"/>
      <c r="AQ168" s="157"/>
      <c r="AR168" s="157"/>
      <c r="AS168" s="419"/>
      <c r="AT168" s="419"/>
      <c r="AU168" s="365"/>
      <c r="AV168" s="365"/>
      <c r="AW168" s="365"/>
      <c r="AX168" s="365"/>
      <c r="AY168" s="365"/>
      <c r="AZ168" s="365"/>
      <c r="BA168" s="392"/>
      <c r="BB168" s="310"/>
      <c r="BC168" s="310"/>
      <c r="BD168" s="310"/>
      <c r="BE168" s="310"/>
      <c r="BF168" s="310"/>
      <c r="BG168" s="310"/>
      <c r="BH168" s="310"/>
      <c r="BI168" s="310"/>
      <c r="BJ168" s="310"/>
      <c r="BK168" s="310"/>
      <c r="BL168" s="310"/>
      <c r="BM168" s="310"/>
      <c r="BN168" s="310"/>
      <c r="BO168" s="310"/>
      <c r="BP168" s="310"/>
      <c r="BQ168" s="310"/>
      <c r="BR168" s="310"/>
      <c r="BS168" s="310"/>
      <c r="BT168" s="310"/>
      <c r="BU168" s="310"/>
      <c r="BV168" s="310"/>
      <c r="BW168" s="310"/>
      <c r="BX168" s="392"/>
      <c r="BY168" s="310"/>
      <c r="BZ168" s="310"/>
      <c r="CA168" s="310"/>
      <c r="CB168" s="310"/>
      <c r="CC168" s="310"/>
      <c r="CD168" s="310"/>
      <c r="CE168" s="310"/>
      <c r="CF168" s="310"/>
      <c r="CG168" s="310"/>
      <c r="CH168" s="310"/>
      <c r="CI168" s="310"/>
      <c r="CJ168" s="310"/>
      <c r="CK168" s="310"/>
    </row>
    <row r="169" spans="1:89" s="4" customFormat="1" ht="36">
      <c r="A169" s="443"/>
      <c r="B169" s="445"/>
      <c r="C169" s="394"/>
      <c r="D169" s="333"/>
      <c r="E169" s="345"/>
      <c r="F169" s="345"/>
      <c r="G169" s="345"/>
      <c r="H169" s="345"/>
      <c r="I169" s="345"/>
      <c r="J169" s="345"/>
      <c r="K169" s="310"/>
      <c r="L169" s="310"/>
      <c r="M169" s="310"/>
      <c r="N169" s="310"/>
      <c r="O169" s="310"/>
      <c r="P169" s="310"/>
      <c r="Q169" s="310"/>
      <c r="R169" s="310"/>
      <c r="S169" s="310"/>
      <c r="T169" s="310"/>
      <c r="U169" s="310"/>
      <c r="V169" s="310"/>
      <c r="W169" s="310"/>
      <c r="X169" s="310"/>
      <c r="Y169" s="310"/>
      <c r="Z169" s="310"/>
      <c r="AA169" s="310"/>
      <c r="AB169" s="310"/>
      <c r="AC169" s="310"/>
      <c r="AD169" s="310"/>
      <c r="AE169" s="310"/>
      <c r="AF169" s="310"/>
      <c r="AG169" s="310"/>
      <c r="AH169" s="310"/>
      <c r="AI169" s="310"/>
      <c r="AJ169" s="310"/>
      <c r="AK169" s="310"/>
      <c r="AL169" s="310"/>
      <c r="AM169" s="346"/>
      <c r="AN169" s="352" t="s">
        <v>84</v>
      </c>
      <c r="AO169" s="127" t="s">
        <v>366</v>
      </c>
      <c r="AP169" s="157"/>
      <c r="AQ169" s="157"/>
      <c r="AR169" s="157"/>
      <c r="AS169" s="419"/>
      <c r="AT169" s="419"/>
      <c r="AU169" s="365"/>
      <c r="AV169" s="365"/>
      <c r="AW169" s="365"/>
      <c r="AX169" s="365"/>
      <c r="AY169" s="365"/>
      <c r="AZ169" s="365"/>
      <c r="BA169" s="392"/>
      <c r="BB169" s="310"/>
      <c r="BC169" s="310"/>
      <c r="BD169" s="310"/>
      <c r="BE169" s="310"/>
      <c r="BF169" s="310"/>
      <c r="BG169" s="310"/>
      <c r="BH169" s="310"/>
      <c r="BI169" s="310"/>
      <c r="BJ169" s="310"/>
      <c r="BK169" s="310"/>
      <c r="BL169" s="310"/>
      <c r="BM169" s="310"/>
      <c r="BN169" s="310"/>
      <c r="BO169" s="310"/>
      <c r="BP169" s="310"/>
      <c r="BQ169" s="310"/>
      <c r="BR169" s="310"/>
      <c r="BS169" s="310"/>
      <c r="BT169" s="310"/>
      <c r="BU169" s="310"/>
      <c r="BV169" s="310"/>
      <c r="BW169" s="310"/>
      <c r="BX169" s="392"/>
      <c r="BY169" s="310"/>
      <c r="BZ169" s="310"/>
      <c r="CA169" s="310"/>
      <c r="CB169" s="310"/>
      <c r="CC169" s="310"/>
      <c r="CD169" s="310"/>
      <c r="CE169" s="310"/>
      <c r="CF169" s="310"/>
      <c r="CG169" s="310"/>
      <c r="CH169" s="310"/>
      <c r="CI169" s="310"/>
      <c r="CJ169" s="310"/>
      <c r="CK169" s="310"/>
    </row>
    <row r="170" spans="1:89" s="4" customFormat="1" ht="48">
      <c r="A170" s="443"/>
      <c r="B170" s="445"/>
      <c r="C170" s="394"/>
      <c r="D170" s="333"/>
      <c r="E170" s="345"/>
      <c r="F170" s="345"/>
      <c r="G170" s="345"/>
      <c r="H170" s="345"/>
      <c r="I170" s="345"/>
      <c r="J170" s="345"/>
      <c r="K170" s="310"/>
      <c r="L170" s="310"/>
      <c r="M170" s="310"/>
      <c r="N170" s="310"/>
      <c r="O170" s="310"/>
      <c r="P170" s="310"/>
      <c r="Q170" s="310"/>
      <c r="R170" s="310"/>
      <c r="S170" s="310"/>
      <c r="T170" s="310"/>
      <c r="U170" s="310"/>
      <c r="V170" s="310"/>
      <c r="W170" s="310"/>
      <c r="X170" s="310"/>
      <c r="Y170" s="310"/>
      <c r="Z170" s="310"/>
      <c r="AA170" s="310"/>
      <c r="AB170" s="310"/>
      <c r="AC170" s="310"/>
      <c r="AD170" s="310"/>
      <c r="AE170" s="310"/>
      <c r="AF170" s="310"/>
      <c r="AG170" s="310"/>
      <c r="AH170" s="310"/>
      <c r="AI170" s="310"/>
      <c r="AJ170" s="310"/>
      <c r="AK170" s="310"/>
      <c r="AL170" s="310"/>
      <c r="AM170" s="346"/>
      <c r="AN170" s="352"/>
      <c r="AO170" s="127" t="s">
        <v>367</v>
      </c>
      <c r="AP170" s="157"/>
      <c r="AQ170" s="157"/>
      <c r="AR170" s="157"/>
      <c r="AS170" s="419"/>
      <c r="AT170" s="419"/>
      <c r="AU170" s="365"/>
      <c r="AV170" s="365"/>
      <c r="AW170" s="365"/>
      <c r="AX170" s="365"/>
      <c r="AY170" s="365"/>
      <c r="AZ170" s="365"/>
      <c r="BA170" s="392"/>
      <c r="BB170" s="310"/>
      <c r="BC170" s="310"/>
      <c r="BD170" s="310"/>
      <c r="BE170" s="310"/>
      <c r="BF170" s="310"/>
      <c r="BG170" s="310"/>
      <c r="BH170" s="310"/>
      <c r="BI170" s="310"/>
      <c r="BJ170" s="310"/>
      <c r="BK170" s="310"/>
      <c r="BL170" s="310"/>
      <c r="BM170" s="310"/>
      <c r="BN170" s="310"/>
      <c r="BO170" s="310"/>
      <c r="BP170" s="310"/>
      <c r="BQ170" s="310"/>
      <c r="BR170" s="310"/>
      <c r="BS170" s="310"/>
      <c r="BT170" s="310"/>
      <c r="BU170" s="310"/>
      <c r="BV170" s="310"/>
      <c r="BW170" s="310"/>
      <c r="BX170" s="392"/>
      <c r="BY170" s="310"/>
      <c r="BZ170" s="310"/>
      <c r="CA170" s="310"/>
      <c r="CB170" s="310"/>
      <c r="CC170" s="310"/>
      <c r="CD170" s="310"/>
      <c r="CE170" s="310"/>
      <c r="CF170" s="310"/>
      <c r="CG170" s="310"/>
      <c r="CH170" s="310"/>
      <c r="CI170" s="310"/>
      <c r="CJ170" s="310"/>
      <c r="CK170" s="310"/>
    </row>
    <row r="171" spans="1:89" s="4" customFormat="1" ht="24">
      <c r="A171" s="443"/>
      <c r="B171" s="445"/>
      <c r="C171" s="394"/>
      <c r="D171" s="333"/>
      <c r="E171" s="345"/>
      <c r="F171" s="345"/>
      <c r="G171" s="345"/>
      <c r="H171" s="345"/>
      <c r="I171" s="345"/>
      <c r="J171" s="345"/>
      <c r="K171" s="310"/>
      <c r="L171" s="310"/>
      <c r="M171" s="310"/>
      <c r="N171" s="310"/>
      <c r="O171" s="310"/>
      <c r="P171" s="310"/>
      <c r="Q171" s="310"/>
      <c r="R171" s="310"/>
      <c r="S171" s="310"/>
      <c r="T171" s="310"/>
      <c r="U171" s="310"/>
      <c r="V171" s="310"/>
      <c r="W171" s="310"/>
      <c r="X171" s="310"/>
      <c r="Y171" s="310"/>
      <c r="Z171" s="310"/>
      <c r="AA171" s="310"/>
      <c r="AB171" s="310"/>
      <c r="AC171" s="310"/>
      <c r="AD171" s="310"/>
      <c r="AE171" s="310"/>
      <c r="AF171" s="310"/>
      <c r="AG171" s="310"/>
      <c r="AH171" s="310"/>
      <c r="AI171" s="310"/>
      <c r="AJ171" s="310"/>
      <c r="AK171" s="310"/>
      <c r="AL171" s="310"/>
      <c r="AM171" s="346"/>
      <c r="AN171" s="352"/>
      <c r="AO171" s="127" t="s">
        <v>368</v>
      </c>
      <c r="AP171" s="157"/>
      <c r="AQ171" s="157"/>
      <c r="AR171" s="157"/>
      <c r="AS171" s="419"/>
      <c r="AT171" s="419"/>
      <c r="AU171" s="365"/>
      <c r="AV171" s="365"/>
      <c r="AW171" s="365"/>
      <c r="AX171" s="365"/>
      <c r="AY171" s="365"/>
      <c r="AZ171" s="365"/>
      <c r="BA171" s="392"/>
      <c r="BB171" s="310"/>
      <c r="BC171" s="310"/>
      <c r="BD171" s="310"/>
      <c r="BE171" s="310"/>
      <c r="BF171" s="310"/>
      <c r="BG171" s="310"/>
      <c r="BH171" s="310"/>
      <c r="BI171" s="310"/>
      <c r="BJ171" s="310"/>
      <c r="BK171" s="310"/>
      <c r="BL171" s="310"/>
      <c r="BM171" s="310"/>
      <c r="BN171" s="310"/>
      <c r="BO171" s="310"/>
      <c r="BP171" s="310"/>
      <c r="BQ171" s="310"/>
      <c r="BR171" s="310"/>
      <c r="BS171" s="310"/>
      <c r="BT171" s="310"/>
      <c r="BU171" s="310"/>
      <c r="BV171" s="310"/>
      <c r="BW171" s="310"/>
      <c r="BX171" s="392"/>
      <c r="BY171" s="310"/>
      <c r="BZ171" s="310"/>
      <c r="CA171" s="310"/>
      <c r="CB171" s="310"/>
      <c r="CC171" s="310"/>
      <c r="CD171" s="310"/>
      <c r="CE171" s="310"/>
      <c r="CF171" s="310"/>
      <c r="CG171" s="310"/>
      <c r="CH171" s="310"/>
      <c r="CI171" s="310"/>
      <c r="CJ171" s="310"/>
      <c r="CK171" s="310"/>
    </row>
    <row r="172" spans="1:89" s="4" customFormat="1" ht="24">
      <c r="A172" s="443"/>
      <c r="B172" s="445"/>
      <c r="C172" s="394"/>
      <c r="D172" s="333"/>
      <c r="E172" s="345"/>
      <c r="F172" s="345"/>
      <c r="G172" s="345"/>
      <c r="H172" s="345"/>
      <c r="I172" s="345"/>
      <c r="J172" s="345"/>
      <c r="K172" s="310"/>
      <c r="L172" s="310"/>
      <c r="M172" s="310"/>
      <c r="N172" s="310"/>
      <c r="O172" s="310"/>
      <c r="P172" s="310"/>
      <c r="Q172" s="310"/>
      <c r="R172" s="310"/>
      <c r="S172" s="310"/>
      <c r="T172" s="310"/>
      <c r="U172" s="310"/>
      <c r="V172" s="310"/>
      <c r="W172" s="310"/>
      <c r="X172" s="310"/>
      <c r="Y172" s="310"/>
      <c r="Z172" s="310"/>
      <c r="AA172" s="310"/>
      <c r="AB172" s="310"/>
      <c r="AC172" s="310"/>
      <c r="AD172" s="310"/>
      <c r="AE172" s="310"/>
      <c r="AF172" s="310"/>
      <c r="AG172" s="310"/>
      <c r="AH172" s="310"/>
      <c r="AI172" s="310"/>
      <c r="AJ172" s="310"/>
      <c r="AK172" s="310"/>
      <c r="AL172" s="310"/>
      <c r="AM172" s="346"/>
      <c r="AN172" s="352"/>
      <c r="AO172" s="127" t="s">
        <v>369</v>
      </c>
      <c r="AP172" s="157"/>
      <c r="AQ172" s="157"/>
      <c r="AR172" s="157"/>
      <c r="AS172" s="419"/>
      <c r="AT172" s="419"/>
      <c r="AU172" s="365"/>
      <c r="AV172" s="365"/>
      <c r="AW172" s="365"/>
      <c r="AX172" s="365"/>
      <c r="AY172" s="365"/>
      <c r="AZ172" s="365"/>
      <c r="BA172" s="392"/>
      <c r="BB172" s="310"/>
      <c r="BC172" s="310"/>
      <c r="BD172" s="310"/>
      <c r="BE172" s="310"/>
      <c r="BF172" s="310"/>
      <c r="BG172" s="310"/>
      <c r="BH172" s="310"/>
      <c r="BI172" s="310"/>
      <c r="BJ172" s="310"/>
      <c r="BK172" s="310"/>
      <c r="BL172" s="310"/>
      <c r="BM172" s="310"/>
      <c r="BN172" s="310"/>
      <c r="BO172" s="310"/>
      <c r="BP172" s="310"/>
      <c r="BQ172" s="310"/>
      <c r="BR172" s="310"/>
      <c r="BS172" s="310"/>
      <c r="BT172" s="310"/>
      <c r="BU172" s="310"/>
      <c r="BV172" s="310"/>
      <c r="BW172" s="310"/>
      <c r="BX172" s="392"/>
      <c r="BY172" s="310"/>
      <c r="BZ172" s="310"/>
      <c r="CA172" s="310"/>
      <c r="CB172" s="310"/>
      <c r="CC172" s="310"/>
      <c r="CD172" s="310"/>
      <c r="CE172" s="310"/>
      <c r="CF172" s="310"/>
      <c r="CG172" s="310"/>
      <c r="CH172" s="310"/>
      <c r="CI172" s="310"/>
      <c r="CJ172" s="310"/>
      <c r="CK172" s="310"/>
    </row>
    <row r="173" spans="1:89" s="4" customFormat="1" ht="24">
      <c r="A173" s="443"/>
      <c r="B173" s="445"/>
      <c r="C173" s="394"/>
      <c r="D173" s="333"/>
      <c r="E173" s="345"/>
      <c r="F173" s="345"/>
      <c r="G173" s="345"/>
      <c r="H173" s="345"/>
      <c r="I173" s="345"/>
      <c r="J173" s="345"/>
      <c r="K173" s="310"/>
      <c r="L173" s="310"/>
      <c r="M173" s="310"/>
      <c r="N173" s="310"/>
      <c r="O173" s="310"/>
      <c r="P173" s="310"/>
      <c r="Q173" s="310"/>
      <c r="R173" s="310"/>
      <c r="S173" s="310"/>
      <c r="T173" s="310"/>
      <c r="U173" s="310"/>
      <c r="V173" s="310"/>
      <c r="W173" s="310"/>
      <c r="X173" s="310"/>
      <c r="Y173" s="310"/>
      <c r="Z173" s="310"/>
      <c r="AA173" s="310"/>
      <c r="AB173" s="310"/>
      <c r="AC173" s="310"/>
      <c r="AD173" s="310"/>
      <c r="AE173" s="310"/>
      <c r="AF173" s="310"/>
      <c r="AG173" s="310"/>
      <c r="AH173" s="310"/>
      <c r="AI173" s="310"/>
      <c r="AJ173" s="310"/>
      <c r="AK173" s="310"/>
      <c r="AL173" s="310"/>
      <c r="AM173" s="346"/>
      <c r="AN173" s="352"/>
      <c r="AO173" s="127" t="s">
        <v>370</v>
      </c>
      <c r="AP173" s="157"/>
      <c r="AQ173" s="157"/>
      <c r="AR173" s="157"/>
      <c r="AS173" s="419"/>
      <c r="AT173" s="419"/>
      <c r="AU173" s="365"/>
      <c r="AV173" s="365"/>
      <c r="AW173" s="365"/>
      <c r="AX173" s="365"/>
      <c r="AY173" s="365"/>
      <c r="AZ173" s="365"/>
      <c r="BA173" s="392"/>
      <c r="BB173" s="310"/>
      <c r="BC173" s="310"/>
      <c r="BD173" s="310"/>
      <c r="BE173" s="310"/>
      <c r="BF173" s="310"/>
      <c r="BG173" s="310"/>
      <c r="BH173" s="310"/>
      <c r="BI173" s="310"/>
      <c r="BJ173" s="310"/>
      <c r="BK173" s="310"/>
      <c r="BL173" s="310"/>
      <c r="BM173" s="310"/>
      <c r="BN173" s="310"/>
      <c r="BO173" s="310"/>
      <c r="BP173" s="310"/>
      <c r="BQ173" s="310"/>
      <c r="BR173" s="310"/>
      <c r="BS173" s="310"/>
      <c r="BT173" s="310"/>
      <c r="BU173" s="310"/>
      <c r="BV173" s="310"/>
      <c r="BW173" s="310"/>
      <c r="BX173" s="392"/>
      <c r="BY173" s="310"/>
      <c r="BZ173" s="310"/>
      <c r="CA173" s="310"/>
      <c r="CB173" s="310"/>
      <c r="CC173" s="310"/>
      <c r="CD173" s="310"/>
      <c r="CE173" s="310"/>
      <c r="CF173" s="310"/>
      <c r="CG173" s="310"/>
      <c r="CH173" s="310"/>
      <c r="CI173" s="310"/>
      <c r="CJ173" s="310"/>
      <c r="CK173" s="310"/>
    </row>
    <row r="174" spans="1:89" s="4" customFormat="1" ht="36">
      <c r="A174" s="443"/>
      <c r="B174" s="445"/>
      <c r="C174" s="394"/>
      <c r="D174" s="333"/>
      <c r="E174" s="345"/>
      <c r="F174" s="345"/>
      <c r="G174" s="345"/>
      <c r="H174" s="345"/>
      <c r="I174" s="345"/>
      <c r="J174" s="345"/>
      <c r="K174" s="310"/>
      <c r="L174" s="310"/>
      <c r="M174" s="310"/>
      <c r="N174" s="310"/>
      <c r="O174" s="310"/>
      <c r="P174" s="310"/>
      <c r="Q174" s="310"/>
      <c r="R174" s="310"/>
      <c r="S174" s="310"/>
      <c r="T174" s="310"/>
      <c r="U174" s="310"/>
      <c r="V174" s="310"/>
      <c r="W174" s="310"/>
      <c r="X174" s="310"/>
      <c r="Y174" s="310"/>
      <c r="Z174" s="310"/>
      <c r="AA174" s="310"/>
      <c r="AB174" s="310"/>
      <c r="AC174" s="310"/>
      <c r="AD174" s="310"/>
      <c r="AE174" s="310"/>
      <c r="AF174" s="310"/>
      <c r="AG174" s="310"/>
      <c r="AH174" s="310"/>
      <c r="AI174" s="310"/>
      <c r="AJ174" s="310"/>
      <c r="AK174" s="310"/>
      <c r="AL174" s="310"/>
      <c r="AM174" s="346"/>
      <c r="AN174" s="352"/>
      <c r="AO174" s="127" t="s">
        <v>371</v>
      </c>
      <c r="AP174" s="157"/>
      <c r="AQ174" s="157"/>
      <c r="AR174" s="157"/>
      <c r="AS174" s="419"/>
      <c r="AT174" s="419"/>
      <c r="AU174" s="365"/>
      <c r="AV174" s="365"/>
      <c r="AW174" s="365"/>
      <c r="AX174" s="365"/>
      <c r="AY174" s="365"/>
      <c r="AZ174" s="365"/>
      <c r="BA174" s="392"/>
      <c r="BB174" s="310"/>
      <c r="BC174" s="310"/>
      <c r="BD174" s="310"/>
      <c r="BE174" s="310"/>
      <c r="BF174" s="310"/>
      <c r="BG174" s="310"/>
      <c r="BH174" s="310"/>
      <c r="BI174" s="310"/>
      <c r="BJ174" s="310"/>
      <c r="BK174" s="310"/>
      <c r="BL174" s="310"/>
      <c r="BM174" s="310"/>
      <c r="BN174" s="310"/>
      <c r="BO174" s="310"/>
      <c r="BP174" s="310"/>
      <c r="BQ174" s="310"/>
      <c r="BR174" s="310"/>
      <c r="BS174" s="310"/>
      <c r="BT174" s="310"/>
      <c r="BU174" s="310"/>
      <c r="BV174" s="310"/>
      <c r="BW174" s="310"/>
      <c r="BX174" s="392"/>
      <c r="BY174" s="310"/>
      <c r="BZ174" s="310"/>
      <c r="CA174" s="310"/>
      <c r="CB174" s="310"/>
      <c r="CC174" s="310"/>
      <c r="CD174" s="310"/>
      <c r="CE174" s="310"/>
      <c r="CF174" s="310"/>
      <c r="CG174" s="310"/>
      <c r="CH174" s="310"/>
      <c r="CI174" s="310"/>
      <c r="CJ174" s="310"/>
      <c r="CK174" s="310"/>
    </row>
    <row r="175" spans="1:89" s="4" customFormat="1" ht="36">
      <c r="A175" s="443"/>
      <c r="B175" s="445"/>
      <c r="C175" s="394"/>
      <c r="D175" s="334"/>
      <c r="E175" s="345"/>
      <c r="F175" s="345"/>
      <c r="G175" s="345"/>
      <c r="H175" s="345"/>
      <c r="I175" s="345"/>
      <c r="J175" s="345"/>
      <c r="K175" s="310"/>
      <c r="L175" s="310"/>
      <c r="M175" s="310"/>
      <c r="N175" s="310"/>
      <c r="O175" s="310"/>
      <c r="P175" s="310"/>
      <c r="Q175" s="310"/>
      <c r="R175" s="310"/>
      <c r="S175" s="310"/>
      <c r="T175" s="310"/>
      <c r="U175" s="310"/>
      <c r="V175" s="310"/>
      <c r="W175" s="310"/>
      <c r="X175" s="310"/>
      <c r="Y175" s="310"/>
      <c r="Z175" s="310"/>
      <c r="AA175" s="310"/>
      <c r="AB175" s="310"/>
      <c r="AC175" s="310"/>
      <c r="AD175" s="310"/>
      <c r="AE175" s="310"/>
      <c r="AF175" s="310"/>
      <c r="AG175" s="310"/>
      <c r="AH175" s="310"/>
      <c r="AI175" s="310"/>
      <c r="AJ175" s="310"/>
      <c r="AK175" s="310"/>
      <c r="AL175" s="310"/>
      <c r="AM175" s="346"/>
      <c r="AN175" s="352"/>
      <c r="AO175" s="127" t="s">
        <v>372</v>
      </c>
      <c r="AP175" s="157"/>
      <c r="AQ175" s="157"/>
      <c r="AR175" s="157"/>
      <c r="AS175" s="419"/>
      <c r="AT175" s="419"/>
      <c r="AU175" s="365"/>
      <c r="AV175" s="365"/>
      <c r="AW175" s="365"/>
      <c r="AX175" s="365"/>
      <c r="AY175" s="365"/>
      <c r="AZ175" s="365"/>
      <c r="BA175" s="392"/>
      <c r="BB175" s="310"/>
      <c r="BC175" s="310"/>
      <c r="BD175" s="310"/>
      <c r="BE175" s="310"/>
      <c r="BF175" s="310"/>
      <c r="BG175" s="310"/>
      <c r="BH175" s="310"/>
      <c r="BI175" s="310"/>
      <c r="BJ175" s="310"/>
      <c r="BK175" s="310"/>
      <c r="BL175" s="310"/>
      <c r="BM175" s="310"/>
      <c r="BN175" s="310"/>
      <c r="BO175" s="310"/>
      <c r="BP175" s="310"/>
      <c r="BQ175" s="310"/>
      <c r="BR175" s="310"/>
      <c r="BS175" s="310"/>
      <c r="BT175" s="310"/>
      <c r="BU175" s="310"/>
      <c r="BV175" s="310"/>
      <c r="BW175" s="310"/>
      <c r="BX175" s="392"/>
      <c r="BY175" s="310"/>
      <c r="BZ175" s="310"/>
      <c r="CA175" s="310"/>
      <c r="CB175" s="310"/>
      <c r="CC175" s="310"/>
      <c r="CD175" s="310"/>
      <c r="CE175" s="310"/>
      <c r="CF175" s="310"/>
      <c r="CG175" s="310"/>
      <c r="CH175" s="310"/>
      <c r="CI175" s="310"/>
      <c r="CJ175" s="310"/>
      <c r="CK175" s="310"/>
    </row>
    <row r="176" spans="1:89" s="4" customFormat="1" ht="60" customHeight="1">
      <c r="A176" s="443"/>
      <c r="B176" s="445"/>
      <c r="C176" s="394"/>
      <c r="D176" s="388" t="s">
        <v>494</v>
      </c>
      <c r="E176" s="346"/>
      <c r="F176" s="345">
        <v>0.2</v>
      </c>
      <c r="G176" s="345">
        <v>0.2</v>
      </c>
      <c r="H176" s="345">
        <v>0.2</v>
      </c>
      <c r="I176" s="345">
        <v>0.2</v>
      </c>
      <c r="J176" s="345">
        <v>0.2</v>
      </c>
      <c r="K176" s="310"/>
      <c r="L176" s="310"/>
      <c r="M176" s="310"/>
      <c r="N176" s="310"/>
      <c r="O176" s="310"/>
      <c r="P176" s="310"/>
      <c r="Q176" s="310"/>
      <c r="R176" s="310"/>
      <c r="S176" s="310"/>
      <c r="T176" s="310"/>
      <c r="U176" s="310"/>
      <c r="V176" s="310"/>
      <c r="W176" s="310"/>
      <c r="X176" s="310"/>
      <c r="Y176" s="310"/>
      <c r="Z176" s="310"/>
      <c r="AA176" s="310"/>
      <c r="AB176" s="310"/>
      <c r="AC176" s="310"/>
      <c r="AD176" s="310"/>
      <c r="AE176" s="310"/>
      <c r="AF176" s="310"/>
      <c r="AG176" s="310"/>
      <c r="AH176" s="310"/>
      <c r="AI176" s="310"/>
      <c r="AJ176" s="310"/>
      <c r="AK176" s="310"/>
      <c r="AL176" s="310"/>
      <c r="AM176" s="346" t="s">
        <v>68</v>
      </c>
      <c r="AN176" s="352" t="s">
        <v>85</v>
      </c>
      <c r="AO176" s="388" t="s">
        <v>373</v>
      </c>
      <c r="AP176" s="105"/>
      <c r="AQ176" s="105"/>
      <c r="AR176" s="105"/>
      <c r="AS176" s="418"/>
      <c r="AT176" s="418"/>
      <c r="AU176" s="364"/>
      <c r="AV176" s="364"/>
      <c r="AW176" s="364"/>
      <c r="AX176" s="364"/>
      <c r="AY176" s="364"/>
      <c r="AZ176" s="364"/>
      <c r="BA176" s="392"/>
      <c r="BB176" s="310">
        <v>490000000</v>
      </c>
      <c r="BC176" s="310"/>
      <c r="BD176" s="310"/>
      <c r="BE176" s="310"/>
      <c r="BF176" s="310"/>
      <c r="BG176" s="310"/>
      <c r="BH176" s="310"/>
      <c r="BI176" s="310"/>
      <c r="BJ176" s="310"/>
      <c r="BK176" s="310"/>
      <c r="BL176" s="310"/>
      <c r="BM176" s="310"/>
      <c r="BN176" s="310">
        <f>SUM(BC176:BM179)</f>
        <v>0</v>
      </c>
      <c r="BO176" s="310">
        <f>BN176+BB176</f>
        <v>490000000</v>
      </c>
      <c r="BP176" s="310">
        <v>300000000</v>
      </c>
      <c r="BQ176" s="310"/>
      <c r="BR176" s="310"/>
      <c r="BS176" s="310"/>
      <c r="BT176" s="310"/>
      <c r="BU176" s="310"/>
      <c r="BV176" s="310">
        <f>SUM(BQ176:BU179)</f>
        <v>0</v>
      </c>
      <c r="BW176" s="310">
        <f>BV176+BP176</f>
        <v>300000000</v>
      </c>
      <c r="BX176" s="392"/>
      <c r="BY176" s="310"/>
      <c r="BZ176" s="310"/>
      <c r="CA176" s="310"/>
      <c r="CB176" s="310">
        <f>SUM(BY176:CA179)</f>
        <v>0</v>
      </c>
      <c r="CC176" s="310">
        <f>CB176+BX176</f>
        <v>0</v>
      </c>
      <c r="CD176" s="310">
        <v>100000000</v>
      </c>
      <c r="CE176" s="310"/>
      <c r="CF176" s="310"/>
      <c r="CG176" s="310">
        <f>SUM(CE176:CF179)</f>
        <v>0</v>
      </c>
      <c r="CH176" s="310">
        <f>CG176+CD176</f>
        <v>100000000</v>
      </c>
      <c r="CI176" s="310"/>
      <c r="CJ176" s="310">
        <f>CH176+CC176+BW176+BO176+CI176</f>
        <v>890000000</v>
      </c>
      <c r="CK176" s="310"/>
    </row>
    <row r="177" spans="1:89" s="4" customFormat="1">
      <c r="A177" s="443"/>
      <c r="B177" s="445"/>
      <c r="C177" s="394"/>
      <c r="D177" s="389"/>
      <c r="E177" s="346"/>
      <c r="F177" s="346"/>
      <c r="G177" s="346"/>
      <c r="H177" s="346"/>
      <c r="I177" s="346"/>
      <c r="J177" s="346"/>
      <c r="K177" s="310"/>
      <c r="L177" s="310"/>
      <c r="M177" s="310"/>
      <c r="N177" s="310"/>
      <c r="O177" s="310"/>
      <c r="P177" s="310"/>
      <c r="Q177" s="310"/>
      <c r="R177" s="310"/>
      <c r="S177" s="310"/>
      <c r="T177" s="310"/>
      <c r="U177" s="310"/>
      <c r="V177" s="310"/>
      <c r="W177" s="310"/>
      <c r="X177" s="310"/>
      <c r="Y177" s="310"/>
      <c r="Z177" s="310"/>
      <c r="AA177" s="310"/>
      <c r="AB177" s="310"/>
      <c r="AC177" s="310"/>
      <c r="AD177" s="310"/>
      <c r="AE177" s="310"/>
      <c r="AF177" s="310"/>
      <c r="AG177" s="310"/>
      <c r="AH177" s="310"/>
      <c r="AI177" s="310"/>
      <c r="AJ177" s="310"/>
      <c r="AK177" s="310"/>
      <c r="AL177" s="310"/>
      <c r="AM177" s="346"/>
      <c r="AN177" s="352"/>
      <c r="AO177" s="389"/>
      <c r="AP177" s="157"/>
      <c r="AQ177" s="157"/>
      <c r="AR177" s="157"/>
      <c r="AS177" s="419"/>
      <c r="AT177" s="419"/>
      <c r="AU177" s="365"/>
      <c r="AV177" s="365"/>
      <c r="AW177" s="365"/>
      <c r="AX177" s="365"/>
      <c r="AY177" s="365"/>
      <c r="AZ177" s="365"/>
      <c r="BA177" s="392"/>
      <c r="BB177" s="310"/>
      <c r="BC177" s="310"/>
      <c r="BD177" s="310"/>
      <c r="BE177" s="310"/>
      <c r="BF177" s="310"/>
      <c r="BG177" s="310"/>
      <c r="BH177" s="310"/>
      <c r="BI177" s="310"/>
      <c r="BJ177" s="310"/>
      <c r="BK177" s="310"/>
      <c r="BL177" s="310"/>
      <c r="BM177" s="310"/>
      <c r="BN177" s="310"/>
      <c r="BO177" s="310"/>
      <c r="BP177" s="310"/>
      <c r="BQ177" s="310"/>
      <c r="BR177" s="310"/>
      <c r="BS177" s="310"/>
      <c r="BT177" s="310"/>
      <c r="BU177" s="310"/>
      <c r="BV177" s="310"/>
      <c r="BW177" s="310"/>
      <c r="BX177" s="392"/>
      <c r="BY177" s="310"/>
      <c r="BZ177" s="310"/>
      <c r="CA177" s="310"/>
      <c r="CB177" s="310"/>
      <c r="CC177" s="310"/>
      <c r="CD177" s="310"/>
      <c r="CE177" s="310"/>
      <c r="CF177" s="310"/>
      <c r="CG177" s="310"/>
      <c r="CH177" s="310"/>
      <c r="CI177" s="310"/>
      <c r="CJ177" s="310"/>
      <c r="CK177" s="310"/>
    </row>
    <row r="178" spans="1:89" s="4" customFormat="1">
      <c r="A178" s="443"/>
      <c r="B178" s="445"/>
      <c r="C178" s="394"/>
      <c r="D178" s="389"/>
      <c r="E178" s="346"/>
      <c r="F178" s="346"/>
      <c r="G178" s="346"/>
      <c r="H178" s="346"/>
      <c r="I178" s="346"/>
      <c r="J178" s="346"/>
      <c r="K178" s="310"/>
      <c r="L178" s="310"/>
      <c r="M178" s="310"/>
      <c r="N178" s="310"/>
      <c r="O178" s="310"/>
      <c r="P178" s="310"/>
      <c r="Q178" s="310"/>
      <c r="R178" s="310"/>
      <c r="S178" s="310"/>
      <c r="T178" s="310"/>
      <c r="U178" s="310"/>
      <c r="V178" s="310"/>
      <c r="W178" s="310"/>
      <c r="X178" s="310"/>
      <c r="Y178" s="310"/>
      <c r="Z178" s="310"/>
      <c r="AA178" s="310"/>
      <c r="AB178" s="310"/>
      <c r="AC178" s="310"/>
      <c r="AD178" s="310"/>
      <c r="AE178" s="310"/>
      <c r="AF178" s="310"/>
      <c r="AG178" s="310"/>
      <c r="AH178" s="310"/>
      <c r="AI178" s="310"/>
      <c r="AJ178" s="310"/>
      <c r="AK178" s="310"/>
      <c r="AL178" s="310"/>
      <c r="AM178" s="346"/>
      <c r="AN178" s="352"/>
      <c r="AO178" s="389"/>
      <c r="AP178" s="157"/>
      <c r="AQ178" s="157"/>
      <c r="AR178" s="157"/>
      <c r="AS178" s="419"/>
      <c r="AT178" s="419"/>
      <c r="AU178" s="365"/>
      <c r="AV178" s="365"/>
      <c r="AW178" s="365"/>
      <c r="AX178" s="365"/>
      <c r="AY178" s="365"/>
      <c r="AZ178" s="365"/>
      <c r="BA178" s="392"/>
      <c r="BB178" s="310"/>
      <c r="BC178" s="310"/>
      <c r="BD178" s="310"/>
      <c r="BE178" s="310"/>
      <c r="BF178" s="310"/>
      <c r="BG178" s="310"/>
      <c r="BH178" s="310"/>
      <c r="BI178" s="310"/>
      <c r="BJ178" s="310"/>
      <c r="BK178" s="310"/>
      <c r="BL178" s="310"/>
      <c r="BM178" s="310"/>
      <c r="BN178" s="310"/>
      <c r="BO178" s="310"/>
      <c r="BP178" s="310"/>
      <c r="BQ178" s="310"/>
      <c r="BR178" s="310"/>
      <c r="BS178" s="310"/>
      <c r="BT178" s="310"/>
      <c r="BU178" s="310"/>
      <c r="BV178" s="310"/>
      <c r="BW178" s="310"/>
      <c r="BX178" s="392"/>
      <c r="BY178" s="310"/>
      <c r="BZ178" s="310"/>
      <c r="CA178" s="310"/>
      <c r="CB178" s="310"/>
      <c r="CC178" s="310"/>
      <c r="CD178" s="310"/>
      <c r="CE178" s="310"/>
      <c r="CF178" s="310"/>
      <c r="CG178" s="310"/>
      <c r="CH178" s="310"/>
      <c r="CI178" s="310"/>
      <c r="CJ178" s="310"/>
      <c r="CK178" s="310"/>
    </row>
    <row r="179" spans="1:89" s="4" customFormat="1">
      <c r="A179" s="443"/>
      <c r="B179" s="445"/>
      <c r="C179" s="395"/>
      <c r="D179" s="390"/>
      <c r="E179" s="346"/>
      <c r="F179" s="346"/>
      <c r="G179" s="346"/>
      <c r="H179" s="346"/>
      <c r="I179" s="346"/>
      <c r="J179" s="346"/>
      <c r="K179" s="310"/>
      <c r="L179" s="310"/>
      <c r="M179" s="310"/>
      <c r="N179" s="310"/>
      <c r="O179" s="310"/>
      <c r="P179" s="310"/>
      <c r="Q179" s="310"/>
      <c r="R179" s="310"/>
      <c r="S179" s="310"/>
      <c r="T179" s="310"/>
      <c r="U179" s="310"/>
      <c r="V179" s="310"/>
      <c r="W179" s="310"/>
      <c r="X179" s="310"/>
      <c r="Y179" s="310"/>
      <c r="Z179" s="310"/>
      <c r="AA179" s="310"/>
      <c r="AB179" s="310"/>
      <c r="AC179" s="310"/>
      <c r="AD179" s="310"/>
      <c r="AE179" s="310"/>
      <c r="AF179" s="310"/>
      <c r="AG179" s="310"/>
      <c r="AH179" s="310"/>
      <c r="AI179" s="310"/>
      <c r="AJ179" s="310"/>
      <c r="AK179" s="310"/>
      <c r="AL179" s="310"/>
      <c r="AM179" s="346"/>
      <c r="AN179" s="352"/>
      <c r="AO179" s="390"/>
      <c r="AP179" s="156"/>
      <c r="AQ179" s="156"/>
      <c r="AR179" s="156"/>
      <c r="AS179" s="420"/>
      <c r="AT179" s="420"/>
      <c r="AU179" s="366"/>
      <c r="AV179" s="366"/>
      <c r="AW179" s="366"/>
      <c r="AX179" s="366"/>
      <c r="AY179" s="366"/>
      <c r="AZ179" s="366"/>
      <c r="BA179" s="392"/>
      <c r="BB179" s="310"/>
      <c r="BC179" s="310"/>
      <c r="BD179" s="310"/>
      <c r="BE179" s="310"/>
      <c r="BF179" s="310"/>
      <c r="BG179" s="310"/>
      <c r="BH179" s="310"/>
      <c r="BI179" s="310"/>
      <c r="BJ179" s="310"/>
      <c r="BK179" s="310"/>
      <c r="BL179" s="310"/>
      <c r="BM179" s="310"/>
      <c r="BN179" s="310"/>
      <c r="BO179" s="310"/>
      <c r="BP179" s="310"/>
      <c r="BQ179" s="310"/>
      <c r="BR179" s="310"/>
      <c r="BS179" s="310"/>
      <c r="BT179" s="310"/>
      <c r="BU179" s="310"/>
      <c r="BV179" s="310"/>
      <c r="BW179" s="310"/>
      <c r="BX179" s="392"/>
      <c r="BY179" s="310"/>
      <c r="BZ179" s="310"/>
      <c r="CA179" s="310"/>
      <c r="CB179" s="310"/>
      <c r="CC179" s="310"/>
      <c r="CD179" s="310"/>
      <c r="CE179" s="310"/>
      <c r="CF179" s="310"/>
      <c r="CG179" s="310"/>
      <c r="CH179" s="310"/>
      <c r="CI179" s="310"/>
      <c r="CJ179" s="310"/>
      <c r="CK179" s="310"/>
    </row>
    <row r="180" spans="1:89" s="4" customFormat="1" ht="132" customHeight="1">
      <c r="A180" s="443"/>
      <c r="B180" s="445"/>
      <c r="C180" s="393" t="s">
        <v>374</v>
      </c>
      <c r="D180" s="332" t="s">
        <v>383</v>
      </c>
      <c r="E180" s="346"/>
      <c r="F180" s="345">
        <v>0.2</v>
      </c>
      <c r="G180" s="345">
        <v>0.2</v>
      </c>
      <c r="H180" s="345">
        <v>0.2</v>
      </c>
      <c r="I180" s="345">
        <v>0.2</v>
      </c>
      <c r="J180" s="345">
        <v>0.2</v>
      </c>
      <c r="K180" s="310"/>
      <c r="L180" s="310"/>
      <c r="M180" s="310"/>
      <c r="N180" s="310"/>
      <c r="O180" s="310"/>
      <c r="P180" s="310"/>
      <c r="Q180" s="310"/>
      <c r="R180" s="310"/>
      <c r="S180" s="310"/>
      <c r="T180" s="310"/>
      <c r="U180" s="310"/>
      <c r="V180" s="310"/>
      <c r="W180" s="310"/>
      <c r="X180" s="310"/>
      <c r="Y180" s="310"/>
      <c r="Z180" s="310"/>
      <c r="AA180" s="310"/>
      <c r="AB180" s="310"/>
      <c r="AC180" s="310"/>
      <c r="AD180" s="310"/>
      <c r="AE180" s="310"/>
      <c r="AF180" s="310"/>
      <c r="AG180" s="310"/>
      <c r="AH180" s="310"/>
      <c r="AI180" s="310"/>
      <c r="AJ180" s="310"/>
      <c r="AK180" s="310"/>
      <c r="AL180" s="310"/>
      <c r="AM180" s="346" t="s">
        <v>66</v>
      </c>
      <c r="AN180" s="519" t="s">
        <v>86</v>
      </c>
      <c r="AO180" s="127" t="s">
        <v>375</v>
      </c>
      <c r="AP180" s="105"/>
      <c r="AQ180" s="105"/>
      <c r="AR180" s="105"/>
      <c r="AS180" s="418"/>
      <c r="AT180" s="418"/>
      <c r="AU180" s="364"/>
      <c r="AV180" s="364"/>
      <c r="AW180" s="364"/>
      <c r="AX180" s="364"/>
      <c r="AY180" s="364"/>
      <c r="AZ180" s="364"/>
      <c r="BA180" s="392"/>
      <c r="BB180" s="310">
        <v>550000000</v>
      </c>
      <c r="BC180" s="310"/>
      <c r="BD180" s="310"/>
      <c r="BE180" s="310"/>
      <c r="BF180" s="310"/>
      <c r="BG180" s="310"/>
      <c r="BH180" s="310"/>
      <c r="BI180" s="310"/>
      <c r="BJ180" s="310"/>
      <c r="BK180" s="310"/>
      <c r="BL180" s="310"/>
      <c r="BM180" s="310"/>
      <c r="BN180" s="310">
        <f>SUM(BC180:BM184)</f>
        <v>0</v>
      </c>
      <c r="BO180" s="310">
        <f>BN180+BB180</f>
        <v>550000000</v>
      </c>
      <c r="BP180" s="310">
        <v>450000000</v>
      </c>
      <c r="BQ180" s="310"/>
      <c r="BR180" s="310"/>
      <c r="BS180" s="310"/>
      <c r="BT180" s="310"/>
      <c r="BU180" s="310"/>
      <c r="BV180" s="310">
        <f>SUM(BQ180:BU184)</f>
        <v>0</v>
      </c>
      <c r="BW180" s="310">
        <f>BV180+BP180</f>
        <v>450000000</v>
      </c>
      <c r="BX180" s="392"/>
      <c r="BY180" s="310"/>
      <c r="BZ180" s="310"/>
      <c r="CA180" s="310"/>
      <c r="CB180" s="310">
        <f>SUM(BY180:CA184)</f>
        <v>0</v>
      </c>
      <c r="CC180" s="310">
        <f>CB180+BX180</f>
        <v>0</v>
      </c>
      <c r="CD180" s="310">
        <v>50000000</v>
      </c>
      <c r="CE180" s="310"/>
      <c r="CF180" s="310"/>
      <c r="CG180" s="310">
        <f>SUM(CE180:CF184)</f>
        <v>0</v>
      </c>
      <c r="CH180" s="310">
        <f>CG180+CD180</f>
        <v>50000000</v>
      </c>
      <c r="CI180" s="310"/>
      <c r="CJ180" s="310">
        <f>CH180+CC180+BW180+BO180+CI180</f>
        <v>1050000000</v>
      </c>
      <c r="CK180" s="310"/>
    </row>
    <row r="181" spans="1:89" s="4" customFormat="1" ht="24">
      <c r="A181" s="443"/>
      <c r="B181" s="445"/>
      <c r="C181" s="394"/>
      <c r="D181" s="333"/>
      <c r="E181" s="346"/>
      <c r="F181" s="346"/>
      <c r="G181" s="346"/>
      <c r="H181" s="346"/>
      <c r="I181" s="346"/>
      <c r="J181" s="346"/>
      <c r="K181" s="310"/>
      <c r="L181" s="310"/>
      <c r="M181" s="310"/>
      <c r="N181" s="310"/>
      <c r="O181" s="310"/>
      <c r="P181" s="310"/>
      <c r="Q181" s="310"/>
      <c r="R181" s="310"/>
      <c r="S181" s="310"/>
      <c r="T181" s="310"/>
      <c r="U181" s="310"/>
      <c r="V181" s="310"/>
      <c r="W181" s="310"/>
      <c r="X181" s="310"/>
      <c r="Y181" s="310"/>
      <c r="Z181" s="310"/>
      <c r="AA181" s="310"/>
      <c r="AB181" s="310"/>
      <c r="AC181" s="310"/>
      <c r="AD181" s="310"/>
      <c r="AE181" s="310"/>
      <c r="AF181" s="310"/>
      <c r="AG181" s="310"/>
      <c r="AH181" s="310"/>
      <c r="AI181" s="310"/>
      <c r="AJ181" s="310"/>
      <c r="AK181" s="310"/>
      <c r="AL181" s="310"/>
      <c r="AM181" s="346"/>
      <c r="AN181" s="519"/>
      <c r="AO181" s="127" t="s">
        <v>376</v>
      </c>
      <c r="AP181" s="157"/>
      <c r="AQ181" s="157"/>
      <c r="AR181" s="157"/>
      <c r="AS181" s="419"/>
      <c r="AT181" s="419"/>
      <c r="AU181" s="365"/>
      <c r="AV181" s="365"/>
      <c r="AW181" s="365"/>
      <c r="AX181" s="365"/>
      <c r="AY181" s="365"/>
      <c r="AZ181" s="365"/>
      <c r="BA181" s="392"/>
      <c r="BB181" s="310"/>
      <c r="BC181" s="310"/>
      <c r="BD181" s="310"/>
      <c r="BE181" s="310"/>
      <c r="BF181" s="310"/>
      <c r="BG181" s="310"/>
      <c r="BH181" s="310"/>
      <c r="BI181" s="310"/>
      <c r="BJ181" s="310"/>
      <c r="BK181" s="310"/>
      <c r="BL181" s="310"/>
      <c r="BM181" s="310"/>
      <c r="BN181" s="310"/>
      <c r="BO181" s="310"/>
      <c r="BP181" s="310"/>
      <c r="BQ181" s="310"/>
      <c r="BR181" s="310"/>
      <c r="BS181" s="310"/>
      <c r="BT181" s="310"/>
      <c r="BU181" s="310"/>
      <c r="BV181" s="310"/>
      <c r="BW181" s="310"/>
      <c r="BX181" s="392"/>
      <c r="BY181" s="310"/>
      <c r="BZ181" s="310"/>
      <c r="CA181" s="310"/>
      <c r="CB181" s="310"/>
      <c r="CC181" s="310"/>
      <c r="CD181" s="310"/>
      <c r="CE181" s="310"/>
      <c r="CF181" s="310"/>
      <c r="CG181" s="310"/>
      <c r="CH181" s="310"/>
      <c r="CI181" s="310"/>
      <c r="CJ181" s="310"/>
      <c r="CK181" s="310"/>
    </row>
    <row r="182" spans="1:89" s="4" customFormat="1" ht="24">
      <c r="A182" s="443"/>
      <c r="B182" s="445"/>
      <c r="C182" s="394"/>
      <c r="D182" s="333"/>
      <c r="E182" s="346"/>
      <c r="F182" s="346"/>
      <c r="G182" s="346"/>
      <c r="H182" s="346"/>
      <c r="I182" s="346"/>
      <c r="J182" s="346"/>
      <c r="K182" s="310"/>
      <c r="L182" s="310"/>
      <c r="M182" s="310"/>
      <c r="N182" s="310"/>
      <c r="O182" s="310"/>
      <c r="P182" s="310"/>
      <c r="Q182" s="310"/>
      <c r="R182" s="310"/>
      <c r="S182" s="310"/>
      <c r="T182" s="310"/>
      <c r="U182" s="310"/>
      <c r="V182" s="310"/>
      <c r="W182" s="310"/>
      <c r="X182" s="310"/>
      <c r="Y182" s="310"/>
      <c r="Z182" s="310"/>
      <c r="AA182" s="310"/>
      <c r="AB182" s="310"/>
      <c r="AC182" s="310"/>
      <c r="AD182" s="310"/>
      <c r="AE182" s="310"/>
      <c r="AF182" s="310"/>
      <c r="AG182" s="310"/>
      <c r="AH182" s="310"/>
      <c r="AI182" s="310"/>
      <c r="AJ182" s="310"/>
      <c r="AK182" s="310"/>
      <c r="AL182" s="310"/>
      <c r="AM182" s="346"/>
      <c r="AN182" s="519"/>
      <c r="AO182" s="127" t="s">
        <v>375</v>
      </c>
      <c r="AP182" s="157"/>
      <c r="AQ182" s="157"/>
      <c r="AR182" s="157"/>
      <c r="AS182" s="419"/>
      <c r="AT182" s="419"/>
      <c r="AU182" s="365"/>
      <c r="AV182" s="365"/>
      <c r="AW182" s="365"/>
      <c r="AX182" s="365"/>
      <c r="AY182" s="365"/>
      <c r="AZ182" s="365"/>
      <c r="BA182" s="392"/>
      <c r="BB182" s="310"/>
      <c r="BC182" s="310"/>
      <c r="BD182" s="310"/>
      <c r="BE182" s="310"/>
      <c r="BF182" s="310"/>
      <c r="BG182" s="310"/>
      <c r="BH182" s="310"/>
      <c r="BI182" s="310"/>
      <c r="BJ182" s="310"/>
      <c r="BK182" s="310"/>
      <c r="BL182" s="310"/>
      <c r="BM182" s="310"/>
      <c r="BN182" s="310"/>
      <c r="BO182" s="310"/>
      <c r="BP182" s="310"/>
      <c r="BQ182" s="310"/>
      <c r="BR182" s="310"/>
      <c r="BS182" s="310"/>
      <c r="BT182" s="310"/>
      <c r="BU182" s="310"/>
      <c r="BV182" s="310"/>
      <c r="BW182" s="310"/>
      <c r="BX182" s="392"/>
      <c r="BY182" s="310"/>
      <c r="BZ182" s="310"/>
      <c r="CA182" s="310"/>
      <c r="CB182" s="310"/>
      <c r="CC182" s="310"/>
      <c r="CD182" s="310"/>
      <c r="CE182" s="310"/>
      <c r="CF182" s="310"/>
      <c r="CG182" s="310"/>
      <c r="CH182" s="310"/>
      <c r="CI182" s="310"/>
      <c r="CJ182" s="310"/>
      <c r="CK182" s="310"/>
    </row>
    <row r="183" spans="1:89" s="4" customFormat="1" ht="24">
      <c r="A183" s="443"/>
      <c r="B183" s="445"/>
      <c r="C183" s="394"/>
      <c r="D183" s="333"/>
      <c r="E183" s="346"/>
      <c r="F183" s="346"/>
      <c r="G183" s="346"/>
      <c r="H183" s="346"/>
      <c r="I183" s="346"/>
      <c r="J183" s="346"/>
      <c r="K183" s="310"/>
      <c r="L183" s="310"/>
      <c r="M183" s="310"/>
      <c r="N183" s="310"/>
      <c r="O183" s="310"/>
      <c r="P183" s="310"/>
      <c r="Q183" s="310"/>
      <c r="R183" s="310"/>
      <c r="S183" s="310"/>
      <c r="T183" s="310"/>
      <c r="U183" s="310"/>
      <c r="V183" s="310"/>
      <c r="W183" s="310"/>
      <c r="X183" s="310"/>
      <c r="Y183" s="310"/>
      <c r="Z183" s="310"/>
      <c r="AA183" s="310"/>
      <c r="AB183" s="310"/>
      <c r="AC183" s="310"/>
      <c r="AD183" s="310"/>
      <c r="AE183" s="310"/>
      <c r="AF183" s="310"/>
      <c r="AG183" s="310"/>
      <c r="AH183" s="310"/>
      <c r="AI183" s="310"/>
      <c r="AJ183" s="310"/>
      <c r="AK183" s="310"/>
      <c r="AL183" s="310"/>
      <c r="AM183" s="346"/>
      <c r="AN183" s="519"/>
      <c r="AO183" s="127" t="s">
        <v>375</v>
      </c>
      <c r="AP183" s="157"/>
      <c r="AQ183" s="157"/>
      <c r="AR183" s="157"/>
      <c r="AS183" s="419"/>
      <c r="AT183" s="419"/>
      <c r="AU183" s="365"/>
      <c r="AV183" s="365"/>
      <c r="AW183" s="365"/>
      <c r="AX183" s="365"/>
      <c r="AY183" s="365"/>
      <c r="AZ183" s="365"/>
      <c r="BA183" s="392"/>
      <c r="BB183" s="310"/>
      <c r="BC183" s="310"/>
      <c r="BD183" s="310"/>
      <c r="BE183" s="310"/>
      <c r="BF183" s="310"/>
      <c r="BG183" s="310"/>
      <c r="BH183" s="310"/>
      <c r="BI183" s="310"/>
      <c r="BJ183" s="310"/>
      <c r="BK183" s="310"/>
      <c r="BL183" s="310"/>
      <c r="BM183" s="310"/>
      <c r="BN183" s="310"/>
      <c r="BO183" s="310"/>
      <c r="BP183" s="310"/>
      <c r="BQ183" s="310"/>
      <c r="BR183" s="310"/>
      <c r="BS183" s="310"/>
      <c r="BT183" s="310"/>
      <c r="BU183" s="310"/>
      <c r="BV183" s="310"/>
      <c r="BW183" s="310"/>
      <c r="BX183" s="392"/>
      <c r="BY183" s="310"/>
      <c r="BZ183" s="310"/>
      <c r="CA183" s="310"/>
      <c r="CB183" s="310"/>
      <c r="CC183" s="310"/>
      <c r="CD183" s="310"/>
      <c r="CE183" s="310"/>
      <c r="CF183" s="310"/>
      <c r="CG183" s="310"/>
      <c r="CH183" s="310"/>
      <c r="CI183" s="310"/>
      <c r="CJ183" s="310"/>
      <c r="CK183" s="310"/>
    </row>
    <row r="184" spans="1:89" s="4" customFormat="1" ht="44.1" customHeight="1">
      <c r="A184" s="443"/>
      <c r="B184" s="445"/>
      <c r="C184" s="394"/>
      <c r="D184" s="334"/>
      <c r="E184" s="346"/>
      <c r="F184" s="346"/>
      <c r="G184" s="346"/>
      <c r="H184" s="346"/>
      <c r="I184" s="346"/>
      <c r="J184" s="346"/>
      <c r="K184" s="310"/>
      <c r="L184" s="310"/>
      <c r="M184" s="310"/>
      <c r="N184" s="310"/>
      <c r="O184" s="310"/>
      <c r="P184" s="310"/>
      <c r="Q184" s="310"/>
      <c r="R184" s="310"/>
      <c r="S184" s="310"/>
      <c r="T184" s="310"/>
      <c r="U184" s="310"/>
      <c r="V184" s="310"/>
      <c r="W184" s="310"/>
      <c r="X184" s="310"/>
      <c r="Y184" s="310"/>
      <c r="Z184" s="310"/>
      <c r="AA184" s="310"/>
      <c r="AB184" s="310"/>
      <c r="AC184" s="310"/>
      <c r="AD184" s="310"/>
      <c r="AE184" s="310"/>
      <c r="AF184" s="310"/>
      <c r="AG184" s="310"/>
      <c r="AH184" s="310"/>
      <c r="AI184" s="310"/>
      <c r="AJ184" s="310"/>
      <c r="AK184" s="310"/>
      <c r="AL184" s="310"/>
      <c r="AM184" s="346"/>
      <c r="AN184" s="98" t="s">
        <v>87</v>
      </c>
      <c r="AO184" s="127" t="s">
        <v>378</v>
      </c>
      <c r="AP184" s="156"/>
      <c r="AQ184" s="156"/>
      <c r="AR184" s="156"/>
      <c r="AS184" s="420"/>
      <c r="AT184" s="420"/>
      <c r="AU184" s="366"/>
      <c r="AV184" s="366"/>
      <c r="AW184" s="366"/>
      <c r="AX184" s="366"/>
      <c r="AY184" s="366"/>
      <c r="AZ184" s="366"/>
      <c r="BA184" s="392"/>
      <c r="BB184" s="310"/>
      <c r="BC184" s="310"/>
      <c r="BD184" s="310"/>
      <c r="BE184" s="310"/>
      <c r="BF184" s="310"/>
      <c r="BG184" s="310"/>
      <c r="BH184" s="310"/>
      <c r="BI184" s="310"/>
      <c r="BJ184" s="310"/>
      <c r="BK184" s="310"/>
      <c r="BL184" s="310"/>
      <c r="BM184" s="310"/>
      <c r="BN184" s="310"/>
      <c r="BO184" s="310"/>
      <c r="BP184" s="310"/>
      <c r="BQ184" s="310"/>
      <c r="BR184" s="310"/>
      <c r="BS184" s="310"/>
      <c r="BT184" s="310"/>
      <c r="BU184" s="310"/>
      <c r="BV184" s="310"/>
      <c r="BW184" s="310"/>
      <c r="BX184" s="392"/>
      <c r="BY184" s="310"/>
      <c r="BZ184" s="310"/>
      <c r="CA184" s="310"/>
      <c r="CB184" s="310"/>
      <c r="CC184" s="310"/>
      <c r="CD184" s="310"/>
      <c r="CE184" s="310"/>
      <c r="CF184" s="310"/>
      <c r="CG184" s="310"/>
      <c r="CH184" s="310"/>
      <c r="CI184" s="310"/>
      <c r="CJ184" s="310"/>
      <c r="CK184" s="310"/>
    </row>
    <row r="185" spans="1:89" s="4" customFormat="1" ht="77.099999999999994" customHeight="1">
      <c r="A185" s="443"/>
      <c r="B185" s="445"/>
      <c r="C185" s="394"/>
      <c r="D185" s="332" t="s">
        <v>377</v>
      </c>
      <c r="E185" s="346"/>
      <c r="F185" s="345">
        <v>0.2</v>
      </c>
      <c r="G185" s="345">
        <v>0.4</v>
      </c>
      <c r="H185" s="345">
        <v>0.2</v>
      </c>
      <c r="I185" s="345">
        <v>0.1</v>
      </c>
      <c r="J185" s="345">
        <v>0.1</v>
      </c>
      <c r="K185" s="310"/>
      <c r="L185" s="310"/>
      <c r="M185" s="310"/>
      <c r="N185" s="310"/>
      <c r="O185" s="310"/>
      <c r="P185" s="310"/>
      <c r="Q185" s="310"/>
      <c r="R185" s="310"/>
      <c r="S185" s="310"/>
      <c r="T185" s="310"/>
      <c r="U185" s="310"/>
      <c r="V185" s="310"/>
      <c r="W185" s="310"/>
      <c r="X185" s="310"/>
      <c r="Y185" s="310"/>
      <c r="Z185" s="310"/>
      <c r="AA185" s="310"/>
      <c r="AB185" s="310"/>
      <c r="AC185" s="310"/>
      <c r="AD185" s="310"/>
      <c r="AE185" s="310"/>
      <c r="AF185" s="310"/>
      <c r="AG185" s="310"/>
      <c r="AH185" s="310"/>
      <c r="AI185" s="310"/>
      <c r="AJ185" s="310"/>
      <c r="AK185" s="310"/>
      <c r="AL185" s="310"/>
      <c r="AM185" s="346" t="s">
        <v>69</v>
      </c>
      <c r="AN185" s="519" t="s">
        <v>13</v>
      </c>
      <c r="AO185" s="127" t="s">
        <v>379</v>
      </c>
      <c r="AP185" s="105"/>
      <c r="AQ185" s="105"/>
      <c r="AR185" s="105"/>
      <c r="AS185" s="418"/>
      <c r="AT185" s="418"/>
      <c r="AU185" s="364"/>
      <c r="AV185" s="364"/>
      <c r="AW185" s="364"/>
      <c r="AX185" s="364"/>
      <c r="AY185" s="364"/>
      <c r="AZ185" s="364"/>
      <c r="BA185" s="392"/>
      <c r="BB185" s="310">
        <v>490000000</v>
      </c>
      <c r="BC185" s="310"/>
      <c r="BD185" s="310"/>
      <c r="BE185" s="310"/>
      <c r="BF185" s="310"/>
      <c r="BG185" s="310"/>
      <c r="BH185" s="310"/>
      <c r="BI185" s="310"/>
      <c r="BJ185" s="310"/>
      <c r="BK185" s="310"/>
      <c r="BL185" s="310"/>
      <c r="BM185" s="310"/>
      <c r="BN185" s="310">
        <f>SUM(BC185:BM188)</f>
        <v>0</v>
      </c>
      <c r="BO185" s="310">
        <f>BN185+BB185</f>
        <v>490000000</v>
      </c>
      <c r="BP185" s="310">
        <v>150000000</v>
      </c>
      <c r="BQ185" s="310"/>
      <c r="BR185" s="310"/>
      <c r="BS185" s="310"/>
      <c r="BT185" s="310"/>
      <c r="BU185" s="310"/>
      <c r="BV185" s="310">
        <f>SUM(BQ185:BU188)</f>
        <v>0</v>
      </c>
      <c r="BW185" s="310">
        <f>BV185+BP185</f>
        <v>150000000</v>
      </c>
      <c r="BX185" s="392"/>
      <c r="BY185" s="310"/>
      <c r="BZ185" s="310"/>
      <c r="CA185" s="310"/>
      <c r="CB185" s="310">
        <f>SUM(BY185:CA188)</f>
        <v>0</v>
      </c>
      <c r="CC185" s="310">
        <f>CB185+BX185</f>
        <v>0</v>
      </c>
      <c r="CD185" s="310"/>
      <c r="CE185" s="310"/>
      <c r="CF185" s="310"/>
      <c r="CG185" s="310">
        <f>SUM(CE185:CF188)</f>
        <v>0</v>
      </c>
      <c r="CH185" s="310">
        <f>CG185+CD185</f>
        <v>0</v>
      </c>
      <c r="CI185" s="310"/>
      <c r="CJ185" s="310">
        <f>CH185+CC185+BW185+BO185+CI185</f>
        <v>640000000</v>
      </c>
      <c r="CK185" s="310"/>
    </row>
    <row r="186" spans="1:89" s="4" customFormat="1" ht="36">
      <c r="A186" s="443"/>
      <c r="B186" s="445"/>
      <c r="C186" s="394"/>
      <c r="D186" s="333"/>
      <c r="E186" s="346"/>
      <c r="F186" s="346"/>
      <c r="G186" s="346"/>
      <c r="H186" s="346"/>
      <c r="I186" s="346"/>
      <c r="J186" s="346"/>
      <c r="K186" s="310"/>
      <c r="L186" s="310"/>
      <c r="M186" s="310"/>
      <c r="N186" s="310"/>
      <c r="O186" s="310"/>
      <c r="P186" s="310"/>
      <c r="Q186" s="310"/>
      <c r="R186" s="310"/>
      <c r="S186" s="310"/>
      <c r="T186" s="310"/>
      <c r="U186" s="310"/>
      <c r="V186" s="310"/>
      <c r="W186" s="310"/>
      <c r="X186" s="310"/>
      <c r="Y186" s="310"/>
      <c r="Z186" s="310"/>
      <c r="AA186" s="310"/>
      <c r="AB186" s="310"/>
      <c r="AC186" s="310"/>
      <c r="AD186" s="310"/>
      <c r="AE186" s="310"/>
      <c r="AF186" s="310"/>
      <c r="AG186" s="310"/>
      <c r="AH186" s="310"/>
      <c r="AI186" s="310"/>
      <c r="AJ186" s="310"/>
      <c r="AK186" s="310"/>
      <c r="AL186" s="310"/>
      <c r="AM186" s="346"/>
      <c r="AN186" s="519"/>
      <c r="AO186" s="127" t="s">
        <v>380</v>
      </c>
      <c r="AP186" s="157"/>
      <c r="AQ186" s="157"/>
      <c r="AR186" s="157"/>
      <c r="AS186" s="419"/>
      <c r="AT186" s="419"/>
      <c r="AU186" s="365"/>
      <c r="AV186" s="365"/>
      <c r="AW186" s="365"/>
      <c r="AX186" s="365"/>
      <c r="AY186" s="365"/>
      <c r="AZ186" s="365"/>
      <c r="BA186" s="392"/>
      <c r="BB186" s="310"/>
      <c r="BC186" s="310"/>
      <c r="BD186" s="310"/>
      <c r="BE186" s="310"/>
      <c r="BF186" s="310"/>
      <c r="BG186" s="310"/>
      <c r="BH186" s="310"/>
      <c r="BI186" s="310"/>
      <c r="BJ186" s="310"/>
      <c r="BK186" s="310"/>
      <c r="BL186" s="310"/>
      <c r="BM186" s="310"/>
      <c r="BN186" s="310"/>
      <c r="BO186" s="310"/>
      <c r="BP186" s="310"/>
      <c r="BQ186" s="310"/>
      <c r="BR186" s="310"/>
      <c r="BS186" s="310"/>
      <c r="BT186" s="310"/>
      <c r="BU186" s="310"/>
      <c r="BV186" s="310"/>
      <c r="BW186" s="310"/>
      <c r="BX186" s="392"/>
      <c r="BY186" s="310"/>
      <c r="BZ186" s="310"/>
      <c r="CA186" s="310"/>
      <c r="CB186" s="310"/>
      <c r="CC186" s="310"/>
      <c r="CD186" s="310"/>
      <c r="CE186" s="310"/>
      <c r="CF186" s="310"/>
      <c r="CG186" s="310"/>
      <c r="CH186" s="310"/>
      <c r="CI186" s="310"/>
      <c r="CJ186" s="310"/>
      <c r="CK186" s="310"/>
    </row>
    <row r="187" spans="1:89" s="4" customFormat="1" ht="36">
      <c r="A187" s="443"/>
      <c r="B187" s="445"/>
      <c r="C187" s="394"/>
      <c r="D187" s="333"/>
      <c r="E187" s="346"/>
      <c r="F187" s="346"/>
      <c r="G187" s="346"/>
      <c r="H187" s="346"/>
      <c r="I187" s="346"/>
      <c r="J187" s="346"/>
      <c r="K187" s="310"/>
      <c r="L187" s="310"/>
      <c r="M187" s="310"/>
      <c r="N187" s="310"/>
      <c r="O187" s="310"/>
      <c r="P187" s="310"/>
      <c r="Q187" s="310"/>
      <c r="R187" s="310"/>
      <c r="S187" s="310"/>
      <c r="T187" s="310"/>
      <c r="U187" s="310"/>
      <c r="V187" s="310"/>
      <c r="W187" s="310"/>
      <c r="X187" s="310"/>
      <c r="Y187" s="310"/>
      <c r="Z187" s="310"/>
      <c r="AA187" s="310"/>
      <c r="AB187" s="310"/>
      <c r="AC187" s="310"/>
      <c r="AD187" s="310"/>
      <c r="AE187" s="310"/>
      <c r="AF187" s="310"/>
      <c r="AG187" s="310"/>
      <c r="AH187" s="310"/>
      <c r="AI187" s="310"/>
      <c r="AJ187" s="310"/>
      <c r="AK187" s="310"/>
      <c r="AL187" s="310"/>
      <c r="AM187" s="346"/>
      <c r="AN187" s="346" t="s">
        <v>67</v>
      </c>
      <c r="AO187" s="127" t="s">
        <v>381</v>
      </c>
      <c r="AP187" s="157"/>
      <c r="AQ187" s="157"/>
      <c r="AR187" s="157"/>
      <c r="AS187" s="419"/>
      <c r="AT187" s="419"/>
      <c r="AU187" s="365"/>
      <c r="AV187" s="365"/>
      <c r="AW187" s="365"/>
      <c r="AX187" s="365"/>
      <c r="AY187" s="365"/>
      <c r="AZ187" s="365"/>
      <c r="BA187" s="392"/>
      <c r="BB187" s="310"/>
      <c r="BC187" s="310"/>
      <c r="BD187" s="310"/>
      <c r="BE187" s="310"/>
      <c r="BF187" s="310"/>
      <c r="BG187" s="310"/>
      <c r="BH187" s="310"/>
      <c r="BI187" s="310"/>
      <c r="BJ187" s="310"/>
      <c r="BK187" s="310"/>
      <c r="BL187" s="310"/>
      <c r="BM187" s="310"/>
      <c r="BN187" s="310"/>
      <c r="BO187" s="310"/>
      <c r="BP187" s="310"/>
      <c r="BQ187" s="310"/>
      <c r="BR187" s="310"/>
      <c r="BS187" s="310"/>
      <c r="BT187" s="310"/>
      <c r="BU187" s="310"/>
      <c r="BV187" s="310"/>
      <c r="BW187" s="310"/>
      <c r="BX187" s="392"/>
      <c r="BY187" s="310"/>
      <c r="BZ187" s="310"/>
      <c r="CA187" s="310"/>
      <c r="CB187" s="310"/>
      <c r="CC187" s="310"/>
      <c r="CD187" s="310"/>
      <c r="CE187" s="310"/>
      <c r="CF187" s="310"/>
      <c r="CG187" s="310"/>
      <c r="CH187" s="310"/>
      <c r="CI187" s="310"/>
      <c r="CJ187" s="310"/>
      <c r="CK187" s="310"/>
    </row>
    <row r="188" spans="1:89" s="4" customFormat="1" ht="36">
      <c r="A188" s="443"/>
      <c r="B188" s="445"/>
      <c r="C188" s="395"/>
      <c r="D188" s="334"/>
      <c r="E188" s="346"/>
      <c r="F188" s="346"/>
      <c r="G188" s="346"/>
      <c r="H188" s="346"/>
      <c r="I188" s="346"/>
      <c r="J188" s="346"/>
      <c r="K188" s="310"/>
      <c r="L188" s="310"/>
      <c r="M188" s="310"/>
      <c r="N188" s="310"/>
      <c r="O188" s="310"/>
      <c r="P188" s="310"/>
      <c r="Q188" s="310"/>
      <c r="R188" s="310"/>
      <c r="S188" s="310"/>
      <c r="T188" s="310"/>
      <c r="U188" s="310"/>
      <c r="V188" s="310"/>
      <c r="W188" s="310"/>
      <c r="X188" s="310"/>
      <c r="Y188" s="310"/>
      <c r="Z188" s="310"/>
      <c r="AA188" s="310"/>
      <c r="AB188" s="310"/>
      <c r="AC188" s="310"/>
      <c r="AD188" s="310"/>
      <c r="AE188" s="310"/>
      <c r="AF188" s="310"/>
      <c r="AG188" s="310"/>
      <c r="AH188" s="310"/>
      <c r="AI188" s="310"/>
      <c r="AJ188" s="310"/>
      <c r="AK188" s="310"/>
      <c r="AL188" s="310"/>
      <c r="AM188" s="346"/>
      <c r="AN188" s="346"/>
      <c r="AO188" s="127" t="s">
        <v>382</v>
      </c>
      <c r="AP188" s="157"/>
      <c r="AQ188" s="157"/>
      <c r="AR188" s="157"/>
      <c r="AS188" s="419"/>
      <c r="AT188" s="419"/>
      <c r="AU188" s="365"/>
      <c r="AV188" s="365"/>
      <c r="AW188" s="365"/>
      <c r="AX188" s="365"/>
      <c r="AY188" s="365"/>
      <c r="AZ188" s="365"/>
      <c r="BA188" s="392"/>
      <c r="BB188" s="310"/>
      <c r="BC188" s="310"/>
      <c r="BD188" s="310"/>
      <c r="BE188" s="310"/>
      <c r="BF188" s="310"/>
      <c r="BG188" s="310"/>
      <c r="BH188" s="310"/>
      <c r="BI188" s="310"/>
      <c r="BJ188" s="310"/>
      <c r="BK188" s="310"/>
      <c r="BL188" s="310"/>
      <c r="BM188" s="310"/>
      <c r="BN188" s="310"/>
      <c r="BO188" s="310"/>
      <c r="BP188" s="310"/>
      <c r="BQ188" s="310"/>
      <c r="BR188" s="310"/>
      <c r="BS188" s="310"/>
      <c r="BT188" s="310"/>
      <c r="BU188" s="310"/>
      <c r="BV188" s="310"/>
      <c r="BW188" s="310"/>
      <c r="BX188" s="392"/>
      <c r="BY188" s="310"/>
      <c r="BZ188" s="310"/>
      <c r="CA188" s="310"/>
      <c r="CB188" s="310"/>
      <c r="CC188" s="310"/>
      <c r="CD188" s="310"/>
      <c r="CE188" s="310"/>
      <c r="CF188" s="310"/>
      <c r="CG188" s="310"/>
      <c r="CH188" s="310"/>
      <c r="CI188" s="310"/>
      <c r="CJ188" s="310"/>
      <c r="CK188" s="310"/>
    </row>
    <row r="189" spans="1:89" s="34" customFormat="1">
      <c r="A189" s="443"/>
      <c r="B189" s="446" t="s">
        <v>138</v>
      </c>
      <c r="C189" s="446"/>
      <c r="D189" s="446"/>
      <c r="E189" s="35"/>
      <c r="F189" s="35"/>
      <c r="G189" s="35"/>
      <c r="H189" s="35"/>
      <c r="I189" s="35"/>
      <c r="J189" s="35"/>
      <c r="K189" s="43"/>
      <c r="L189" s="43"/>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107"/>
      <c r="AN189" s="107"/>
      <c r="AO189" s="48"/>
      <c r="AP189" s="160"/>
      <c r="AQ189" s="160"/>
      <c r="AR189" s="160"/>
      <c r="AS189" s="45"/>
      <c r="AT189" s="45"/>
      <c r="AU189" s="45"/>
      <c r="AV189" s="45"/>
      <c r="AW189" s="45"/>
      <c r="AX189" s="45"/>
      <c r="AY189" s="43"/>
      <c r="AZ189" s="43"/>
      <c r="BA189" s="28">
        <f t="shared" ref="BA189:BM189" si="13">SUM(BA162:BA188)</f>
        <v>2000000000</v>
      </c>
      <c r="BB189" s="28">
        <f t="shared" si="13"/>
        <v>2170000000</v>
      </c>
      <c r="BC189" s="28">
        <f t="shared" si="13"/>
        <v>0</v>
      </c>
      <c r="BD189" s="28">
        <f t="shared" si="13"/>
        <v>0</v>
      </c>
      <c r="BE189" s="28">
        <f t="shared" si="13"/>
        <v>0</v>
      </c>
      <c r="BF189" s="28">
        <f t="shared" si="13"/>
        <v>0</v>
      </c>
      <c r="BG189" s="28">
        <f t="shared" si="13"/>
        <v>0</v>
      </c>
      <c r="BH189" s="28">
        <f t="shared" si="13"/>
        <v>0</v>
      </c>
      <c r="BI189" s="28">
        <f t="shared" si="13"/>
        <v>0</v>
      </c>
      <c r="BJ189" s="28">
        <f t="shared" si="13"/>
        <v>0</v>
      </c>
      <c r="BK189" s="28">
        <f t="shared" si="13"/>
        <v>0</v>
      </c>
      <c r="BL189" s="28">
        <f t="shared" si="13"/>
        <v>0</v>
      </c>
      <c r="BM189" s="28">
        <f t="shared" si="13"/>
        <v>0</v>
      </c>
      <c r="BN189" s="28">
        <f>SUM(BC189:BM189)</f>
        <v>0</v>
      </c>
      <c r="BO189" s="28">
        <f>BN189+BB189</f>
        <v>2170000000</v>
      </c>
      <c r="BP189" s="49">
        <f t="shared" ref="BP189:CJ189" si="14">SUM(BP162:BP188)</f>
        <v>920000000</v>
      </c>
      <c r="BQ189" s="69">
        <f t="shared" si="14"/>
        <v>0</v>
      </c>
      <c r="BR189" s="69">
        <f t="shared" si="14"/>
        <v>0</v>
      </c>
      <c r="BS189" s="69">
        <f t="shared" si="14"/>
        <v>0</v>
      </c>
      <c r="BT189" s="69">
        <f t="shared" si="14"/>
        <v>0</v>
      </c>
      <c r="BU189" s="69">
        <f t="shared" si="14"/>
        <v>0</v>
      </c>
      <c r="BV189" s="69">
        <f t="shared" si="14"/>
        <v>0</v>
      </c>
      <c r="BW189" s="69">
        <f t="shared" si="14"/>
        <v>920000000</v>
      </c>
      <c r="BX189" s="62">
        <f t="shared" si="14"/>
        <v>3840000000</v>
      </c>
      <c r="BY189" s="69">
        <f t="shared" si="14"/>
        <v>0</v>
      </c>
      <c r="BZ189" s="69">
        <f t="shared" si="14"/>
        <v>0</v>
      </c>
      <c r="CA189" s="69">
        <f t="shared" si="14"/>
        <v>0</v>
      </c>
      <c r="CB189" s="69">
        <f t="shared" si="14"/>
        <v>0</v>
      </c>
      <c r="CC189" s="69">
        <f t="shared" si="14"/>
        <v>3840000000</v>
      </c>
      <c r="CD189" s="69">
        <f t="shared" si="14"/>
        <v>160000000</v>
      </c>
      <c r="CE189" s="69">
        <f t="shared" si="14"/>
        <v>0</v>
      </c>
      <c r="CF189" s="69">
        <f t="shared" si="14"/>
        <v>0</v>
      </c>
      <c r="CG189" s="69">
        <f t="shared" si="14"/>
        <v>0</v>
      </c>
      <c r="CH189" s="69">
        <f t="shared" si="14"/>
        <v>160000000</v>
      </c>
      <c r="CI189" s="106">
        <f t="shared" si="14"/>
        <v>0</v>
      </c>
      <c r="CJ189" s="69">
        <f t="shared" si="14"/>
        <v>7090000000</v>
      </c>
      <c r="CK189" s="69"/>
    </row>
    <row r="190" spans="1:89" s="4" customFormat="1" ht="30.75" customHeight="1">
      <c r="A190" s="443"/>
      <c r="B190" s="332" t="s">
        <v>388</v>
      </c>
      <c r="C190" s="379" t="s">
        <v>389</v>
      </c>
      <c r="D190" s="332" t="s">
        <v>479</v>
      </c>
      <c r="E190" s="322"/>
      <c r="F190" s="322"/>
      <c r="G190" s="322"/>
      <c r="H190" s="322"/>
      <c r="I190" s="322"/>
      <c r="J190" s="322"/>
      <c r="K190" s="341"/>
      <c r="L190" s="341"/>
      <c r="M190" s="341"/>
      <c r="N190" s="341"/>
      <c r="O190" s="341"/>
      <c r="P190" s="341"/>
      <c r="Q190" s="341"/>
      <c r="R190" s="341"/>
      <c r="S190" s="341"/>
      <c r="T190" s="341"/>
      <c r="U190" s="341"/>
      <c r="V190" s="341"/>
      <c r="W190" s="341"/>
      <c r="X190" s="341"/>
      <c r="Y190" s="341"/>
      <c r="Z190" s="341"/>
      <c r="AA190" s="341"/>
      <c r="AB190" s="341"/>
      <c r="AC190" s="341"/>
      <c r="AD190" s="341"/>
      <c r="AE190" s="341"/>
      <c r="AF190" s="341"/>
      <c r="AG190" s="341"/>
      <c r="AH190" s="341"/>
      <c r="AI190" s="341"/>
      <c r="AJ190" s="341"/>
      <c r="AK190" s="341"/>
      <c r="AL190" s="341"/>
      <c r="AM190" s="322"/>
      <c r="AN190" s="325" t="s">
        <v>195</v>
      </c>
      <c r="AO190" s="127" t="s">
        <v>200</v>
      </c>
      <c r="AP190" s="97"/>
      <c r="AQ190" s="97"/>
      <c r="AR190" s="97"/>
      <c r="AS190" s="321">
        <v>145750000</v>
      </c>
      <c r="AT190" s="321"/>
      <c r="AU190" s="360"/>
      <c r="AV190" s="360"/>
      <c r="AW190" s="360"/>
      <c r="AX190" s="360"/>
      <c r="AY190" s="360"/>
      <c r="AZ190" s="360"/>
      <c r="BA190" s="405">
        <v>182800000</v>
      </c>
      <c r="BB190" s="360">
        <v>647731108</v>
      </c>
      <c r="BC190" s="360"/>
      <c r="BD190" s="360"/>
      <c r="BE190" s="360"/>
      <c r="BF190" s="360"/>
      <c r="BG190" s="360"/>
      <c r="BH190" s="360"/>
      <c r="BI190" s="360"/>
      <c r="BJ190" s="360"/>
      <c r="BK190" s="360"/>
      <c r="BL190" s="360"/>
      <c r="BM190" s="360"/>
      <c r="BN190" s="364">
        <f>SUM(BC190:BM190)</f>
        <v>0</v>
      </c>
      <c r="BO190" s="364">
        <f>BN190+BB190</f>
        <v>647731108</v>
      </c>
      <c r="BP190" s="360">
        <v>75000000</v>
      </c>
      <c r="BQ190" s="360"/>
      <c r="BR190" s="360"/>
      <c r="BS190" s="360"/>
      <c r="BT190" s="360"/>
      <c r="BU190" s="360"/>
      <c r="BV190" s="26">
        <f>SUM(BQ190:BU190)</f>
        <v>0</v>
      </c>
      <c r="BW190" s="26">
        <f>BV190+BP190</f>
        <v>75000000</v>
      </c>
      <c r="BX190" s="29">
        <v>80000000</v>
      </c>
      <c r="BY190" s="10"/>
      <c r="BZ190" s="10"/>
      <c r="CA190" s="10"/>
      <c r="CB190" s="26">
        <f>SUM(BY190:CA190)</f>
        <v>0</v>
      </c>
      <c r="CC190" s="26">
        <f>CB190+BX190</f>
        <v>80000000</v>
      </c>
      <c r="CD190" s="360">
        <v>10000000</v>
      </c>
      <c r="CE190" s="360"/>
      <c r="CF190" s="360"/>
      <c r="CG190" s="364">
        <f>SUM(CE190:CF190)</f>
        <v>0</v>
      </c>
      <c r="CH190" s="364">
        <f>CG190+CD190</f>
        <v>10000000</v>
      </c>
      <c r="CI190" s="360"/>
      <c r="CJ190" s="364">
        <f>CH190+CC190+BW190+BO190+CI190</f>
        <v>812731108</v>
      </c>
      <c r="CK190" s="364"/>
    </row>
    <row r="191" spans="1:89" s="4" customFormat="1" ht="36">
      <c r="A191" s="443"/>
      <c r="B191" s="333"/>
      <c r="C191" s="380"/>
      <c r="D191" s="333"/>
      <c r="E191" s="323"/>
      <c r="F191" s="323"/>
      <c r="G191" s="323"/>
      <c r="H191" s="323"/>
      <c r="I191" s="323"/>
      <c r="J191" s="323"/>
      <c r="K191" s="341"/>
      <c r="L191" s="341"/>
      <c r="M191" s="341"/>
      <c r="N191" s="341"/>
      <c r="O191" s="341"/>
      <c r="P191" s="341"/>
      <c r="Q191" s="341"/>
      <c r="R191" s="341"/>
      <c r="S191" s="341"/>
      <c r="T191" s="341"/>
      <c r="U191" s="341"/>
      <c r="V191" s="341"/>
      <c r="W191" s="341"/>
      <c r="X191" s="341"/>
      <c r="Y191" s="341"/>
      <c r="Z191" s="341"/>
      <c r="AA191" s="341"/>
      <c r="AB191" s="341"/>
      <c r="AC191" s="341"/>
      <c r="AD191" s="341"/>
      <c r="AE191" s="341"/>
      <c r="AF191" s="341"/>
      <c r="AG191" s="341"/>
      <c r="AH191" s="341"/>
      <c r="AI191" s="341"/>
      <c r="AJ191" s="341"/>
      <c r="AK191" s="341"/>
      <c r="AL191" s="341"/>
      <c r="AM191" s="323"/>
      <c r="AN191" s="326"/>
      <c r="AO191" s="127" t="s">
        <v>421</v>
      </c>
      <c r="AP191" s="97"/>
      <c r="AQ191" s="97"/>
      <c r="AR191" s="97"/>
      <c r="AS191" s="321"/>
      <c r="AT191" s="321"/>
      <c r="AU191" s="362"/>
      <c r="AV191" s="362"/>
      <c r="AW191" s="362"/>
      <c r="AX191" s="362"/>
      <c r="AY191" s="362"/>
      <c r="AZ191" s="362"/>
      <c r="BA191" s="408"/>
      <c r="BB191" s="362"/>
      <c r="BC191" s="362"/>
      <c r="BD191" s="362"/>
      <c r="BE191" s="362"/>
      <c r="BF191" s="362"/>
      <c r="BG191" s="362"/>
      <c r="BH191" s="362"/>
      <c r="BI191" s="362"/>
      <c r="BJ191" s="362"/>
      <c r="BK191" s="362"/>
      <c r="BL191" s="362"/>
      <c r="BM191" s="362"/>
      <c r="BN191" s="365"/>
      <c r="BO191" s="365"/>
      <c r="BP191" s="362"/>
      <c r="BQ191" s="362"/>
      <c r="BR191" s="362"/>
      <c r="BS191" s="362"/>
      <c r="BT191" s="362"/>
      <c r="BU191" s="362"/>
      <c r="BV191" s="26"/>
      <c r="BW191" s="26"/>
      <c r="BX191" s="29"/>
      <c r="BY191" s="10"/>
      <c r="BZ191" s="10"/>
      <c r="CA191" s="10"/>
      <c r="CB191" s="26"/>
      <c r="CC191" s="26"/>
      <c r="CD191" s="362"/>
      <c r="CE191" s="362"/>
      <c r="CF191" s="362"/>
      <c r="CG191" s="365"/>
      <c r="CH191" s="365"/>
      <c r="CI191" s="362"/>
      <c r="CJ191" s="365"/>
      <c r="CK191" s="365"/>
    </row>
    <row r="192" spans="1:89" s="4" customFormat="1" ht="36">
      <c r="A192" s="443"/>
      <c r="B192" s="333"/>
      <c r="C192" s="380"/>
      <c r="D192" s="334"/>
      <c r="E192" s="324"/>
      <c r="F192" s="324"/>
      <c r="G192" s="324"/>
      <c r="H192" s="324"/>
      <c r="I192" s="324"/>
      <c r="J192" s="324"/>
      <c r="K192" s="341"/>
      <c r="L192" s="341"/>
      <c r="M192" s="341"/>
      <c r="N192" s="341"/>
      <c r="O192" s="341"/>
      <c r="P192" s="341"/>
      <c r="Q192" s="341"/>
      <c r="R192" s="341"/>
      <c r="S192" s="341"/>
      <c r="T192" s="341"/>
      <c r="U192" s="341"/>
      <c r="V192" s="341"/>
      <c r="W192" s="341"/>
      <c r="X192" s="341"/>
      <c r="Y192" s="341"/>
      <c r="Z192" s="341"/>
      <c r="AA192" s="341"/>
      <c r="AB192" s="341"/>
      <c r="AC192" s="341"/>
      <c r="AD192" s="341"/>
      <c r="AE192" s="341"/>
      <c r="AF192" s="341"/>
      <c r="AG192" s="341"/>
      <c r="AH192" s="341"/>
      <c r="AI192" s="341"/>
      <c r="AJ192" s="341"/>
      <c r="AK192" s="341"/>
      <c r="AL192" s="341"/>
      <c r="AM192" s="324"/>
      <c r="AN192" s="327"/>
      <c r="AO192" s="127" t="s">
        <v>390</v>
      </c>
      <c r="AP192" s="97"/>
      <c r="AQ192" s="97"/>
      <c r="AR192" s="97"/>
      <c r="AS192" s="321"/>
      <c r="AT192" s="321"/>
      <c r="AU192" s="361"/>
      <c r="AV192" s="361"/>
      <c r="AW192" s="361"/>
      <c r="AX192" s="361"/>
      <c r="AY192" s="361"/>
      <c r="AZ192" s="361"/>
      <c r="BA192" s="406"/>
      <c r="BB192" s="361"/>
      <c r="BC192" s="361"/>
      <c r="BD192" s="361"/>
      <c r="BE192" s="361"/>
      <c r="BF192" s="361"/>
      <c r="BG192" s="361"/>
      <c r="BH192" s="361"/>
      <c r="BI192" s="361"/>
      <c r="BJ192" s="361"/>
      <c r="BK192" s="361"/>
      <c r="BL192" s="361"/>
      <c r="BM192" s="361"/>
      <c r="BN192" s="366"/>
      <c r="BO192" s="366"/>
      <c r="BP192" s="361"/>
      <c r="BQ192" s="361"/>
      <c r="BR192" s="361"/>
      <c r="BS192" s="361"/>
      <c r="BT192" s="361"/>
      <c r="BU192" s="361"/>
      <c r="BV192" s="26"/>
      <c r="BW192" s="26"/>
      <c r="BX192" s="29"/>
      <c r="BY192" s="10"/>
      <c r="BZ192" s="10"/>
      <c r="CA192" s="10"/>
      <c r="CB192" s="26"/>
      <c r="CC192" s="26"/>
      <c r="CD192" s="361"/>
      <c r="CE192" s="361"/>
      <c r="CF192" s="361"/>
      <c r="CG192" s="366"/>
      <c r="CH192" s="366"/>
      <c r="CI192" s="361"/>
      <c r="CJ192" s="366"/>
      <c r="CK192" s="366"/>
    </row>
    <row r="193" spans="1:89" s="4" customFormat="1" ht="24">
      <c r="A193" s="443"/>
      <c r="B193" s="333"/>
      <c r="C193" s="380"/>
      <c r="D193" s="332" t="s">
        <v>445</v>
      </c>
      <c r="E193" s="322"/>
      <c r="F193" s="322"/>
      <c r="G193" s="322"/>
      <c r="H193" s="322"/>
      <c r="I193" s="322"/>
      <c r="J193" s="322"/>
      <c r="K193" s="341"/>
      <c r="L193" s="341"/>
      <c r="M193" s="341"/>
      <c r="N193" s="341"/>
      <c r="O193" s="341"/>
      <c r="P193" s="341"/>
      <c r="Q193" s="341"/>
      <c r="R193" s="341"/>
      <c r="S193" s="341"/>
      <c r="T193" s="341"/>
      <c r="U193" s="341"/>
      <c r="V193" s="341"/>
      <c r="W193" s="341"/>
      <c r="X193" s="341"/>
      <c r="Y193" s="341"/>
      <c r="Z193" s="341"/>
      <c r="AA193" s="341"/>
      <c r="AB193" s="341"/>
      <c r="AC193" s="341"/>
      <c r="AD193" s="341"/>
      <c r="AE193" s="341"/>
      <c r="AF193" s="341"/>
      <c r="AG193" s="341"/>
      <c r="AH193" s="341"/>
      <c r="AI193" s="341"/>
      <c r="AJ193" s="341"/>
      <c r="AK193" s="341"/>
      <c r="AL193" s="341"/>
      <c r="AM193" s="322"/>
      <c r="AN193" s="325" t="s">
        <v>196</v>
      </c>
      <c r="AO193" s="127" t="s">
        <v>420</v>
      </c>
      <c r="AP193" s="97"/>
      <c r="AQ193" s="97"/>
      <c r="AR193" s="97"/>
      <c r="AS193" s="321"/>
      <c r="AT193" s="321"/>
      <c r="AU193" s="360"/>
      <c r="AV193" s="360"/>
      <c r="AW193" s="360"/>
      <c r="AX193" s="360"/>
      <c r="AY193" s="360"/>
      <c r="AZ193" s="360"/>
      <c r="BA193" s="405">
        <v>60000000</v>
      </c>
      <c r="BB193" s="360">
        <v>741363108</v>
      </c>
      <c r="BC193" s="360"/>
      <c r="BD193" s="360"/>
      <c r="BE193" s="360"/>
      <c r="BF193" s="360"/>
      <c r="BG193" s="360"/>
      <c r="BH193" s="360"/>
      <c r="BI193" s="360"/>
      <c r="BJ193" s="360"/>
      <c r="BK193" s="360"/>
      <c r="BL193" s="360"/>
      <c r="BM193" s="360"/>
      <c r="BN193" s="364">
        <f>SUM(BC193:BM193)</f>
        <v>0</v>
      </c>
      <c r="BO193" s="364">
        <f>BN193+BB193</f>
        <v>741363108</v>
      </c>
      <c r="BP193" s="360"/>
      <c r="BQ193" s="360"/>
      <c r="BR193" s="360"/>
      <c r="BS193" s="360"/>
      <c r="BT193" s="360"/>
      <c r="BU193" s="360"/>
      <c r="BV193" s="26">
        <f>SUM(BQ193:BU193)</f>
        <v>0</v>
      </c>
      <c r="BW193" s="26">
        <f>BV193+BP193</f>
        <v>0</v>
      </c>
      <c r="BX193" s="29">
        <v>80000000</v>
      </c>
      <c r="BY193" s="10"/>
      <c r="BZ193" s="10"/>
      <c r="CA193" s="10"/>
      <c r="CB193" s="26">
        <f>SUM(BY193:CA193)</f>
        <v>0</v>
      </c>
      <c r="CC193" s="26">
        <f>CB193+BX193</f>
        <v>80000000</v>
      </c>
      <c r="CD193" s="360"/>
      <c r="CE193" s="360"/>
      <c r="CF193" s="360"/>
      <c r="CG193" s="364">
        <f>SUM(CE193:CF193)</f>
        <v>0</v>
      </c>
      <c r="CH193" s="364">
        <f>CG193+CD193</f>
        <v>0</v>
      </c>
      <c r="CI193" s="360"/>
      <c r="CJ193" s="364">
        <f>CH193+CC193+BW193+BO193+CI193</f>
        <v>821363108</v>
      </c>
      <c r="CK193" s="364"/>
    </row>
    <row r="194" spans="1:89" s="4" customFormat="1" ht="24">
      <c r="A194" s="443"/>
      <c r="B194" s="333"/>
      <c r="C194" s="380"/>
      <c r="D194" s="333"/>
      <c r="E194" s="323"/>
      <c r="F194" s="323"/>
      <c r="G194" s="323"/>
      <c r="H194" s="323"/>
      <c r="I194" s="323"/>
      <c r="J194" s="323"/>
      <c r="K194" s="341"/>
      <c r="L194" s="341"/>
      <c r="M194" s="341"/>
      <c r="N194" s="341"/>
      <c r="O194" s="341"/>
      <c r="P194" s="341"/>
      <c r="Q194" s="341"/>
      <c r="R194" s="341"/>
      <c r="S194" s="341"/>
      <c r="T194" s="341"/>
      <c r="U194" s="341"/>
      <c r="V194" s="341"/>
      <c r="W194" s="341"/>
      <c r="X194" s="341"/>
      <c r="Y194" s="341"/>
      <c r="Z194" s="341"/>
      <c r="AA194" s="341"/>
      <c r="AB194" s="341"/>
      <c r="AC194" s="341"/>
      <c r="AD194" s="341"/>
      <c r="AE194" s="341"/>
      <c r="AF194" s="341"/>
      <c r="AG194" s="341"/>
      <c r="AH194" s="341"/>
      <c r="AI194" s="341"/>
      <c r="AJ194" s="341"/>
      <c r="AK194" s="341"/>
      <c r="AL194" s="341"/>
      <c r="AM194" s="323"/>
      <c r="AN194" s="326"/>
      <c r="AO194" s="127" t="s">
        <v>391</v>
      </c>
      <c r="AP194" s="97"/>
      <c r="AQ194" s="97"/>
      <c r="AR194" s="97"/>
      <c r="AS194" s="321"/>
      <c r="AT194" s="321"/>
      <c r="AU194" s="361"/>
      <c r="AV194" s="361"/>
      <c r="AW194" s="361"/>
      <c r="AX194" s="361"/>
      <c r="AY194" s="361"/>
      <c r="AZ194" s="361"/>
      <c r="BA194" s="406"/>
      <c r="BB194" s="361"/>
      <c r="BC194" s="361"/>
      <c r="BD194" s="361"/>
      <c r="BE194" s="361"/>
      <c r="BF194" s="361"/>
      <c r="BG194" s="361"/>
      <c r="BH194" s="361"/>
      <c r="BI194" s="361"/>
      <c r="BJ194" s="361"/>
      <c r="BK194" s="361"/>
      <c r="BL194" s="361"/>
      <c r="BM194" s="361"/>
      <c r="BN194" s="366"/>
      <c r="BO194" s="366"/>
      <c r="BP194" s="361"/>
      <c r="BQ194" s="361"/>
      <c r="BR194" s="361"/>
      <c r="BS194" s="361"/>
      <c r="BT194" s="361"/>
      <c r="BU194" s="361"/>
      <c r="BV194" s="26"/>
      <c r="BW194" s="26"/>
      <c r="BX194" s="29"/>
      <c r="BY194" s="10"/>
      <c r="BZ194" s="10"/>
      <c r="CA194" s="10"/>
      <c r="CB194" s="26"/>
      <c r="CC194" s="26"/>
      <c r="CD194" s="361"/>
      <c r="CE194" s="361"/>
      <c r="CF194" s="361"/>
      <c r="CG194" s="366"/>
      <c r="CH194" s="366"/>
      <c r="CI194" s="361"/>
      <c r="CJ194" s="366"/>
      <c r="CK194" s="366"/>
    </row>
    <row r="195" spans="1:89" s="4" customFormat="1" ht="48">
      <c r="A195" s="443"/>
      <c r="B195" s="333"/>
      <c r="C195" s="381"/>
      <c r="D195" s="334"/>
      <c r="E195" s="324"/>
      <c r="F195" s="324"/>
      <c r="G195" s="324"/>
      <c r="H195" s="324"/>
      <c r="I195" s="324"/>
      <c r="J195" s="324"/>
      <c r="K195" s="341"/>
      <c r="L195" s="341"/>
      <c r="M195" s="341"/>
      <c r="N195" s="341"/>
      <c r="O195" s="341"/>
      <c r="P195" s="341"/>
      <c r="Q195" s="341"/>
      <c r="R195" s="341"/>
      <c r="S195" s="341"/>
      <c r="T195" s="341"/>
      <c r="U195" s="341"/>
      <c r="V195" s="341"/>
      <c r="W195" s="341"/>
      <c r="X195" s="341"/>
      <c r="Y195" s="341"/>
      <c r="Z195" s="341"/>
      <c r="AA195" s="341"/>
      <c r="AB195" s="341"/>
      <c r="AC195" s="341"/>
      <c r="AD195" s="341"/>
      <c r="AE195" s="341"/>
      <c r="AF195" s="341"/>
      <c r="AG195" s="341"/>
      <c r="AH195" s="341"/>
      <c r="AI195" s="341"/>
      <c r="AJ195" s="341"/>
      <c r="AK195" s="341"/>
      <c r="AL195" s="341"/>
      <c r="AM195" s="324"/>
      <c r="AN195" s="327"/>
      <c r="AO195" s="127" t="s">
        <v>448</v>
      </c>
      <c r="AP195" s="97"/>
      <c r="AQ195" s="97"/>
      <c r="AR195" s="97"/>
      <c r="AS195" s="321"/>
      <c r="AT195" s="71"/>
      <c r="AU195" s="117"/>
      <c r="AV195" s="117"/>
      <c r="AW195" s="117"/>
      <c r="AX195" s="117"/>
      <c r="AY195" s="117"/>
      <c r="AZ195" s="117"/>
      <c r="BA195" s="135"/>
      <c r="BB195" s="117"/>
      <c r="BC195" s="117"/>
      <c r="BD195" s="117"/>
      <c r="BE195" s="117"/>
      <c r="BF195" s="117"/>
      <c r="BG195" s="117"/>
      <c r="BH195" s="117"/>
      <c r="BI195" s="117"/>
      <c r="BJ195" s="117"/>
      <c r="BK195" s="117"/>
      <c r="BL195" s="117"/>
      <c r="BM195" s="117"/>
      <c r="BN195" s="131"/>
      <c r="BO195" s="131"/>
      <c r="BP195" s="117"/>
      <c r="BQ195" s="117"/>
      <c r="BR195" s="117"/>
      <c r="BS195" s="117"/>
      <c r="BT195" s="117"/>
      <c r="BU195" s="117"/>
      <c r="BV195" s="26"/>
      <c r="BW195" s="26"/>
      <c r="BX195" s="29"/>
      <c r="BY195" s="10"/>
      <c r="BZ195" s="10"/>
      <c r="CA195" s="10"/>
      <c r="CB195" s="26"/>
      <c r="CC195" s="26"/>
      <c r="CD195" s="117"/>
      <c r="CE195" s="117"/>
      <c r="CF195" s="117"/>
      <c r="CG195" s="131"/>
      <c r="CH195" s="131"/>
      <c r="CI195" s="117"/>
      <c r="CJ195" s="131"/>
      <c r="CK195" s="131"/>
    </row>
    <row r="196" spans="1:89" s="4" customFormat="1" ht="60" customHeight="1">
      <c r="A196" s="443"/>
      <c r="B196" s="333"/>
      <c r="C196" s="521" t="s">
        <v>476</v>
      </c>
      <c r="D196" s="461" t="s">
        <v>480</v>
      </c>
      <c r="E196" s="397"/>
      <c r="F196" s="397">
        <v>2</v>
      </c>
      <c r="G196" s="397">
        <v>1</v>
      </c>
      <c r="H196" s="397">
        <v>1</v>
      </c>
      <c r="I196" s="397">
        <v>1</v>
      </c>
      <c r="J196" s="397">
        <v>1</v>
      </c>
      <c r="K196" s="341"/>
      <c r="L196" s="341"/>
      <c r="M196" s="341"/>
      <c r="N196" s="341"/>
      <c r="O196" s="341"/>
      <c r="P196" s="341"/>
      <c r="Q196" s="341"/>
      <c r="R196" s="341"/>
      <c r="S196" s="341"/>
      <c r="T196" s="341"/>
      <c r="U196" s="341"/>
      <c r="V196" s="341"/>
      <c r="W196" s="341"/>
      <c r="X196" s="341"/>
      <c r="Y196" s="341"/>
      <c r="Z196" s="341"/>
      <c r="AA196" s="341"/>
      <c r="AB196" s="341"/>
      <c r="AC196" s="341"/>
      <c r="AD196" s="341"/>
      <c r="AE196" s="341"/>
      <c r="AF196" s="341"/>
      <c r="AG196" s="341"/>
      <c r="AH196" s="341"/>
      <c r="AI196" s="341"/>
      <c r="AJ196" s="341"/>
      <c r="AK196" s="341"/>
      <c r="AL196" s="341"/>
      <c r="AM196" s="322" t="s">
        <v>52</v>
      </c>
      <c r="AN196" s="397" t="s">
        <v>117</v>
      </c>
      <c r="AO196" s="13" t="s">
        <v>392</v>
      </c>
      <c r="AP196" s="162"/>
      <c r="AQ196" s="162"/>
      <c r="AR196" s="162"/>
      <c r="AS196" s="321">
        <v>955000000</v>
      </c>
      <c r="AT196" s="321"/>
      <c r="AU196" s="360"/>
      <c r="AV196" s="360"/>
      <c r="AW196" s="360"/>
      <c r="AX196" s="360"/>
      <c r="AY196" s="360"/>
      <c r="AZ196" s="360"/>
      <c r="BA196" s="360">
        <v>80000000</v>
      </c>
      <c r="BB196" s="360">
        <v>300000000</v>
      </c>
      <c r="BC196" s="360"/>
      <c r="BD196" s="360"/>
      <c r="BE196" s="360"/>
      <c r="BF196" s="360"/>
      <c r="BG196" s="360"/>
      <c r="BH196" s="360"/>
      <c r="BI196" s="360"/>
      <c r="BJ196" s="360"/>
      <c r="BK196" s="360"/>
      <c r="BL196" s="360"/>
      <c r="BM196" s="360"/>
      <c r="BN196" s="364">
        <f>SUM(BC196:BM196)</f>
        <v>0</v>
      </c>
      <c r="BO196" s="364">
        <f>BN196+BB196</f>
        <v>300000000</v>
      </c>
      <c r="BP196" s="360">
        <v>62400000</v>
      </c>
      <c r="BQ196" s="360"/>
      <c r="BR196" s="360"/>
      <c r="BS196" s="360"/>
      <c r="BT196" s="360"/>
      <c r="BU196" s="360"/>
      <c r="BV196" s="26">
        <f>SUM(BQ196:BU196)</f>
        <v>0</v>
      </c>
      <c r="BW196" s="26">
        <f>BV196+BP196</f>
        <v>62400000</v>
      </c>
      <c r="BX196" s="29">
        <v>180000000</v>
      </c>
      <c r="BY196" s="10"/>
      <c r="BZ196" s="10"/>
      <c r="CA196" s="10"/>
      <c r="CB196" s="26">
        <f>SUM(BY196:CA196)</f>
        <v>0</v>
      </c>
      <c r="CC196" s="364">
        <f>CB196+BX196</f>
        <v>180000000</v>
      </c>
      <c r="CD196" s="360">
        <v>40000000</v>
      </c>
      <c r="CE196" s="360">
        <v>8000000</v>
      </c>
      <c r="CF196" s="360"/>
      <c r="CG196" s="364">
        <f>SUM(CE196:CF196)</f>
        <v>8000000</v>
      </c>
      <c r="CH196" s="364">
        <f>CG196+CD196</f>
        <v>48000000</v>
      </c>
      <c r="CI196" s="360"/>
      <c r="CJ196" s="364">
        <f>CH196+CC196+BW196+BO196+CI196</f>
        <v>590400000</v>
      </c>
      <c r="CK196" s="364"/>
    </row>
    <row r="197" spans="1:89" s="4" customFormat="1" ht="24">
      <c r="A197" s="443"/>
      <c r="B197" s="333"/>
      <c r="C197" s="522"/>
      <c r="D197" s="462"/>
      <c r="E197" s="400"/>
      <c r="F197" s="400"/>
      <c r="G197" s="400"/>
      <c r="H197" s="400"/>
      <c r="I197" s="400"/>
      <c r="J197" s="400"/>
      <c r="K197" s="341"/>
      <c r="L197" s="341"/>
      <c r="M197" s="341"/>
      <c r="N197" s="341"/>
      <c r="O197" s="341"/>
      <c r="P197" s="341"/>
      <c r="Q197" s="341"/>
      <c r="R197" s="341"/>
      <c r="S197" s="341"/>
      <c r="T197" s="341"/>
      <c r="U197" s="341"/>
      <c r="V197" s="341"/>
      <c r="W197" s="341"/>
      <c r="X197" s="341"/>
      <c r="Y197" s="341"/>
      <c r="Z197" s="341"/>
      <c r="AA197" s="341"/>
      <c r="AB197" s="341"/>
      <c r="AC197" s="341"/>
      <c r="AD197" s="341"/>
      <c r="AE197" s="341"/>
      <c r="AF197" s="341"/>
      <c r="AG197" s="341"/>
      <c r="AH197" s="341"/>
      <c r="AI197" s="341"/>
      <c r="AJ197" s="341"/>
      <c r="AK197" s="341"/>
      <c r="AL197" s="341"/>
      <c r="AM197" s="323"/>
      <c r="AN197" s="400"/>
      <c r="AO197" s="13" t="s">
        <v>393</v>
      </c>
      <c r="AP197" s="162"/>
      <c r="AQ197" s="162"/>
      <c r="AR197" s="162"/>
      <c r="AS197" s="321"/>
      <c r="AT197" s="321"/>
      <c r="AU197" s="361"/>
      <c r="AV197" s="361"/>
      <c r="AW197" s="361"/>
      <c r="AX197" s="361"/>
      <c r="AY197" s="361"/>
      <c r="AZ197" s="361"/>
      <c r="BA197" s="362"/>
      <c r="BB197" s="361"/>
      <c r="BC197" s="361"/>
      <c r="BD197" s="361"/>
      <c r="BE197" s="361"/>
      <c r="BF197" s="361"/>
      <c r="BG197" s="361"/>
      <c r="BH197" s="361"/>
      <c r="BI197" s="361"/>
      <c r="BJ197" s="361"/>
      <c r="BK197" s="361"/>
      <c r="BL197" s="361"/>
      <c r="BM197" s="361"/>
      <c r="BN197" s="366"/>
      <c r="BO197" s="366"/>
      <c r="BP197" s="361"/>
      <c r="BQ197" s="361"/>
      <c r="BR197" s="361"/>
      <c r="BS197" s="361"/>
      <c r="BT197" s="361"/>
      <c r="BU197" s="361"/>
      <c r="BV197" s="26"/>
      <c r="BW197" s="26"/>
      <c r="BX197" s="29"/>
      <c r="BY197" s="10"/>
      <c r="BZ197" s="10"/>
      <c r="CA197" s="10"/>
      <c r="CB197" s="26"/>
      <c r="CC197" s="365"/>
      <c r="CD197" s="362"/>
      <c r="CE197" s="362"/>
      <c r="CF197" s="362"/>
      <c r="CG197" s="365"/>
      <c r="CH197" s="365"/>
      <c r="CI197" s="362"/>
      <c r="CJ197" s="365"/>
      <c r="CK197" s="365"/>
    </row>
    <row r="198" spans="1:89" s="4" customFormat="1" ht="24">
      <c r="A198" s="443"/>
      <c r="B198" s="333"/>
      <c r="C198" s="522"/>
      <c r="D198" s="463"/>
      <c r="E198" s="398"/>
      <c r="F198" s="398"/>
      <c r="G198" s="398"/>
      <c r="H198" s="398"/>
      <c r="I198" s="398"/>
      <c r="J198" s="398"/>
      <c r="K198" s="341"/>
      <c r="L198" s="341"/>
      <c r="M198" s="341"/>
      <c r="N198" s="341"/>
      <c r="O198" s="341"/>
      <c r="P198" s="341"/>
      <c r="Q198" s="341"/>
      <c r="R198" s="341"/>
      <c r="S198" s="341"/>
      <c r="T198" s="341"/>
      <c r="U198" s="341"/>
      <c r="V198" s="341"/>
      <c r="W198" s="341"/>
      <c r="X198" s="341"/>
      <c r="Y198" s="341"/>
      <c r="Z198" s="341"/>
      <c r="AA198" s="341"/>
      <c r="AB198" s="341"/>
      <c r="AC198" s="341"/>
      <c r="AD198" s="341"/>
      <c r="AE198" s="341"/>
      <c r="AF198" s="341"/>
      <c r="AG198" s="341"/>
      <c r="AH198" s="341"/>
      <c r="AI198" s="341"/>
      <c r="AJ198" s="341"/>
      <c r="AK198" s="341"/>
      <c r="AL198" s="341"/>
      <c r="AM198" s="324"/>
      <c r="AN198" s="398"/>
      <c r="AO198" s="13" t="s">
        <v>423</v>
      </c>
      <c r="AP198" s="162"/>
      <c r="AQ198" s="162"/>
      <c r="AR198" s="162"/>
      <c r="AS198" s="321"/>
      <c r="AT198" s="71"/>
      <c r="AU198" s="117"/>
      <c r="AV198" s="117"/>
      <c r="AW198" s="117"/>
      <c r="AX198" s="117"/>
      <c r="AY198" s="117"/>
      <c r="AZ198" s="117"/>
      <c r="BA198" s="361"/>
      <c r="BB198" s="118"/>
      <c r="BC198" s="118"/>
      <c r="BD198" s="118"/>
      <c r="BE198" s="118"/>
      <c r="BF198" s="118"/>
      <c r="BG198" s="118"/>
      <c r="BH198" s="118"/>
      <c r="BI198" s="118"/>
      <c r="BJ198" s="118"/>
      <c r="BK198" s="118"/>
      <c r="BL198" s="118"/>
      <c r="BM198" s="118"/>
      <c r="BN198" s="137"/>
      <c r="BO198" s="137"/>
      <c r="BP198" s="118"/>
      <c r="BQ198" s="118"/>
      <c r="BR198" s="118"/>
      <c r="BS198" s="118"/>
      <c r="BT198" s="118"/>
      <c r="BU198" s="118"/>
      <c r="BV198" s="26"/>
      <c r="BW198" s="26"/>
      <c r="BX198" s="29"/>
      <c r="BY198" s="10"/>
      <c r="BZ198" s="10"/>
      <c r="CA198" s="10"/>
      <c r="CB198" s="26"/>
      <c r="CC198" s="366"/>
      <c r="CD198" s="361"/>
      <c r="CE198" s="361"/>
      <c r="CF198" s="361"/>
      <c r="CG198" s="366"/>
      <c r="CH198" s="366"/>
      <c r="CI198" s="361"/>
      <c r="CJ198" s="366"/>
      <c r="CK198" s="366"/>
    </row>
    <row r="199" spans="1:89" s="4" customFormat="1" ht="48">
      <c r="A199" s="443"/>
      <c r="B199" s="333"/>
      <c r="C199" s="522"/>
      <c r="D199" s="488" t="s">
        <v>481</v>
      </c>
      <c r="E199" s="399"/>
      <c r="F199" s="399"/>
      <c r="G199" s="399" t="s">
        <v>51</v>
      </c>
      <c r="H199" s="399" t="s">
        <v>51</v>
      </c>
      <c r="I199" s="399" t="s">
        <v>51</v>
      </c>
      <c r="J199" s="399" t="s">
        <v>51</v>
      </c>
      <c r="K199" s="341"/>
      <c r="L199" s="341"/>
      <c r="M199" s="341"/>
      <c r="N199" s="341"/>
      <c r="O199" s="341"/>
      <c r="P199" s="341"/>
      <c r="Q199" s="341"/>
      <c r="R199" s="341"/>
      <c r="S199" s="341"/>
      <c r="T199" s="341"/>
      <c r="U199" s="341"/>
      <c r="V199" s="341"/>
      <c r="W199" s="341"/>
      <c r="X199" s="341"/>
      <c r="Y199" s="341"/>
      <c r="Z199" s="341"/>
      <c r="AA199" s="341"/>
      <c r="AB199" s="341"/>
      <c r="AC199" s="341"/>
      <c r="AD199" s="341"/>
      <c r="AE199" s="341"/>
      <c r="AF199" s="341"/>
      <c r="AG199" s="341"/>
      <c r="AH199" s="341"/>
      <c r="AI199" s="341"/>
      <c r="AJ199" s="341"/>
      <c r="AK199" s="341"/>
      <c r="AL199" s="341"/>
      <c r="AM199" s="346" t="s">
        <v>450</v>
      </c>
      <c r="AN199" s="399" t="s">
        <v>214</v>
      </c>
      <c r="AO199" s="13" t="s">
        <v>197</v>
      </c>
      <c r="AP199" s="162"/>
      <c r="AQ199" s="162"/>
      <c r="AR199" s="162"/>
      <c r="AS199" s="321"/>
      <c r="AT199" s="321"/>
      <c r="AU199" s="360"/>
      <c r="AV199" s="360"/>
      <c r="AW199" s="360"/>
      <c r="AX199" s="360"/>
      <c r="AY199" s="360"/>
      <c r="AZ199" s="360"/>
      <c r="BA199" s="360">
        <v>152500000</v>
      </c>
      <c r="BB199" s="341">
        <v>800000000</v>
      </c>
      <c r="BC199" s="341"/>
      <c r="BD199" s="341"/>
      <c r="BE199" s="341"/>
      <c r="BF199" s="341"/>
      <c r="BG199" s="341"/>
      <c r="BH199" s="341"/>
      <c r="BI199" s="341"/>
      <c r="BJ199" s="341"/>
      <c r="BK199" s="341"/>
      <c r="BL199" s="341"/>
      <c r="BM199" s="341"/>
      <c r="BN199" s="341">
        <f>SUM(BC199:BM206)</f>
        <v>0</v>
      </c>
      <c r="BO199" s="341">
        <f>BN199+BB199</f>
        <v>800000000</v>
      </c>
      <c r="BP199" s="341">
        <v>334565292</v>
      </c>
      <c r="BQ199" s="341"/>
      <c r="BR199" s="341"/>
      <c r="BS199" s="341"/>
      <c r="BT199" s="341"/>
      <c r="BU199" s="341"/>
      <c r="BV199" s="341">
        <f>SUM(BQ199:BU206)</f>
        <v>0</v>
      </c>
      <c r="BW199" s="341">
        <f>BV199+BP199</f>
        <v>334565292</v>
      </c>
      <c r="BX199" s="363">
        <v>200000000</v>
      </c>
      <c r="BY199" s="341"/>
      <c r="BZ199" s="341"/>
      <c r="CA199" s="341"/>
      <c r="CB199" s="341">
        <f>SUM(BY199:CA206)</f>
        <v>0</v>
      </c>
      <c r="CC199" s="341">
        <f>CB199+BX199</f>
        <v>200000000</v>
      </c>
      <c r="CD199" s="341"/>
      <c r="CE199" s="341"/>
      <c r="CF199" s="341"/>
      <c r="CG199" s="341">
        <f>SUM(CE199:CF206)</f>
        <v>0</v>
      </c>
      <c r="CH199" s="341">
        <f>CG199+CD199</f>
        <v>0</v>
      </c>
      <c r="CI199" s="341"/>
      <c r="CJ199" s="341">
        <f>CH199+CC199+BW199+BO199+CI199</f>
        <v>1334565292</v>
      </c>
      <c r="CK199" s="341"/>
    </row>
    <row r="200" spans="1:89" s="4" customFormat="1" ht="48">
      <c r="A200" s="443"/>
      <c r="B200" s="333"/>
      <c r="C200" s="522"/>
      <c r="D200" s="488"/>
      <c r="E200" s="399"/>
      <c r="F200" s="399"/>
      <c r="G200" s="399"/>
      <c r="H200" s="399"/>
      <c r="I200" s="399"/>
      <c r="J200" s="399"/>
      <c r="K200" s="341"/>
      <c r="L200" s="341"/>
      <c r="M200" s="341"/>
      <c r="N200" s="341"/>
      <c r="O200" s="341"/>
      <c r="P200" s="341"/>
      <c r="Q200" s="341"/>
      <c r="R200" s="341"/>
      <c r="S200" s="341"/>
      <c r="T200" s="341"/>
      <c r="U200" s="341"/>
      <c r="V200" s="341"/>
      <c r="W200" s="341"/>
      <c r="X200" s="341"/>
      <c r="Y200" s="341"/>
      <c r="Z200" s="341"/>
      <c r="AA200" s="341"/>
      <c r="AB200" s="341"/>
      <c r="AC200" s="341"/>
      <c r="AD200" s="341"/>
      <c r="AE200" s="341"/>
      <c r="AF200" s="341"/>
      <c r="AG200" s="341"/>
      <c r="AH200" s="341"/>
      <c r="AI200" s="341"/>
      <c r="AJ200" s="341"/>
      <c r="AK200" s="341"/>
      <c r="AL200" s="341"/>
      <c r="AM200" s="346"/>
      <c r="AN200" s="399"/>
      <c r="AO200" s="13" t="s">
        <v>394</v>
      </c>
      <c r="AP200" s="162"/>
      <c r="AQ200" s="162"/>
      <c r="AR200" s="162"/>
      <c r="AS200" s="321"/>
      <c r="AT200" s="321"/>
      <c r="AU200" s="362"/>
      <c r="AV200" s="362"/>
      <c r="AW200" s="362"/>
      <c r="AX200" s="362"/>
      <c r="AY200" s="362"/>
      <c r="AZ200" s="362"/>
      <c r="BA200" s="362"/>
      <c r="BB200" s="341"/>
      <c r="BC200" s="341"/>
      <c r="BD200" s="341"/>
      <c r="BE200" s="341"/>
      <c r="BF200" s="341"/>
      <c r="BG200" s="341"/>
      <c r="BH200" s="341"/>
      <c r="BI200" s="341"/>
      <c r="BJ200" s="341"/>
      <c r="BK200" s="341"/>
      <c r="BL200" s="341"/>
      <c r="BM200" s="341"/>
      <c r="BN200" s="341"/>
      <c r="BO200" s="341"/>
      <c r="BP200" s="341"/>
      <c r="BQ200" s="341"/>
      <c r="BR200" s="341"/>
      <c r="BS200" s="341"/>
      <c r="BT200" s="341"/>
      <c r="BU200" s="341"/>
      <c r="BV200" s="341"/>
      <c r="BW200" s="341"/>
      <c r="BX200" s="363"/>
      <c r="BY200" s="341"/>
      <c r="BZ200" s="341"/>
      <c r="CA200" s="341"/>
      <c r="CB200" s="341"/>
      <c r="CC200" s="341"/>
      <c r="CD200" s="341"/>
      <c r="CE200" s="341"/>
      <c r="CF200" s="341"/>
      <c r="CG200" s="341"/>
      <c r="CH200" s="341"/>
      <c r="CI200" s="341"/>
      <c r="CJ200" s="341"/>
      <c r="CK200" s="341"/>
    </row>
    <row r="201" spans="1:89" s="4" customFormat="1" ht="48">
      <c r="A201" s="443"/>
      <c r="B201" s="333"/>
      <c r="C201" s="522"/>
      <c r="D201" s="488"/>
      <c r="E201" s="399"/>
      <c r="F201" s="399"/>
      <c r="G201" s="399"/>
      <c r="H201" s="399"/>
      <c r="I201" s="399"/>
      <c r="J201" s="399"/>
      <c r="K201" s="341"/>
      <c r="L201" s="341"/>
      <c r="M201" s="341"/>
      <c r="N201" s="341"/>
      <c r="O201" s="341"/>
      <c r="P201" s="341"/>
      <c r="Q201" s="341"/>
      <c r="R201" s="341"/>
      <c r="S201" s="341"/>
      <c r="T201" s="341"/>
      <c r="U201" s="341"/>
      <c r="V201" s="341"/>
      <c r="W201" s="341"/>
      <c r="X201" s="341"/>
      <c r="Y201" s="341"/>
      <c r="Z201" s="341"/>
      <c r="AA201" s="341"/>
      <c r="AB201" s="341"/>
      <c r="AC201" s="341"/>
      <c r="AD201" s="341"/>
      <c r="AE201" s="341"/>
      <c r="AF201" s="341"/>
      <c r="AG201" s="341"/>
      <c r="AH201" s="341"/>
      <c r="AI201" s="341"/>
      <c r="AJ201" s="341"/>
      <c r="AK201" s="341"/>
      <c r="AL201" s="341"/>
      <c r="AM201" s="346"/>
      <c r="AN201" s="399"/>
      <c r="AO201" s="13" t="s">
        <v>395</v>
      </c>
      <c r="AP201" s="162"/>
      <c r="AQ201" s="162"/>
      <c r="AR201" s="162"/>
      <c r="AS201" s="321"/>
      <c r="AT201" s="321"/>
      <c r="AU201" s="362"/>
      <c r="AV201" s="362"/>
      <c r="AW201" s="362"/>
      <c r="AX201" s="362"/>
      <c r="AY201" s="362"/>
      <c r="AZ201" s="362"/>
      <c r="BA201" s="362"/>
      <c r="BB201" s="341"/>
      <c r="BC201" s="341"/>
      <c r="BD201" s="341"/>
      <c r="BE201" s="341"/>
      <c r="BF201" s="341"/>
      <c r="BG201" s="341"/>
      <c r="BH201" s="341"/>
      <c r="BI201" s="341"/>
      <c r="BJ201" s="341"/>
      <c r="BK201" s="341"/>
      <c r="BL201" s="341"/>
      <c r="BM201" s="341"/>
      <c r="BN201" s="341"/>
      <c r="BO201" s="341"/>
      <c r="BP201" s="341"/>
      <c r="BQ201" s="341"/>
      <c r="BR201" s="341"/>
      <c r="BS201" s="341"/>
      <c r="BT201" s="341"/>
      <c r="BU201" s="341"/>
      <c r="BV201" s="341"/>
      <c r="BW201" s="341"/>
      <c r="BX201" s="363"/>
      <c r="BY201" s="341"/>
      <c r="BZ201" s="341"/>
      <c r="CA201" s="341"/>
      <c r="CB201" s="341"/>
      <c r="CC201" s="341"/>
      <c r="CD201" s="341"/>
      <c r="CE201" s="341"/>
      <c r="CF201" s="341"/>
      <c r="CG201" s="341"/>
      <c r="CH201" s="341"/>
      <c r="CI201" s="341"/>
      <c r="CJ201" s="341"/>
      <c r="CK201" s="341"/>
    </row>
    <row r="202" spans="1:89" s="4" customFormat="1" ht="48">
      <c r="A202" s="443"/>
      <c r="B202" s="333"/>
      <c r="C202" s="522"/>
      <c r="D202" s="488"/>
      <c r="E202" s="399"/>
      <c r="F202" s="399"/>
      <c r="G202" s="399"/>
      <c r="H202" s="399"/>
      <c r="I202" s="399"/>
      <c r="J202" s="399"/>
      <c r="K202" s="341"/>
      <c r="L202" s="341"/>
      <c r="M202" s="341"/>
      <c r="N202" s="341"/>
      <c r="O202" s="341"/>
      <c r="P202" s="341"/>
      <c r="Q202" s="341"/>
      <c r="R202" s="341"/>
      <c r="S202" s="341"/>
      <c r="T202" s="341"/>
      <c r="U202" s="341"/>
      <c r="V202" s="341"/>
      <c r="W202" s="341"/>
      <c r="X202" s="341"/>
      <c r="Y202" s="341"/>
      <c r="Z202" s="341"/>
      <c r="AA202" s="341"/>
      <c r="AB202" s="341"/>
      <c r="AC202" s="341"/>
      <c r="AD202" s="341"/>
      <c r="AE202" s="341"/>
      <c r="AF202" s="341"/>
      <c r="AG202" s="341"/>
      <c r="AH202" s="341"/>
      <c r="AI202" s="341"/>
      <c r="AJ202" s="341"/>
      <c r="AK202" s="341"/>
      <c r="AL202" s="341"/>
      <c r="AM202" s="346"/>
      <c r="AN202" s="399"/>
      <c r="AO202" s="13" t="s">
        <v>198</v>
      </c>
      <c r="AP202" s="162"/>
      <c r="AQ202" s="162"/>
      <c r="AR202" s="162"/>
      <c r="AS202" s="321"/>
      <c r="AT202" s="321"/>
      <c r="AU202" s="362"/>
      <c r="AV202" s="362"/>
      <c r="AW202" s="362"/>
      <c r="AX202" s="362"/>
      <c r="AY202" s="362"/>
      <c r="AZ202" s="362"/>
      <c r="BA202" s="362"/>
      <c r="BB202" s="341"/>
      <c r="BC202" s="341"/>
      <c r="BD202" s="341"/>
      <c r="BE202" s="341"/>
      <c r="BF202" s="341"/>
      <c r="BG202" s="341"/>
      <c r="BH202" s="341"/>
      <c r="BI202" s="341"/>
      <c r="BJ202" s="341"/>
      <c r="BK202" s="341"/>
      <c r="BL202" s="341"/>
      <c r="BM202" s="341"/>
      <c r="BN202" s="341"/>
      <c r="BO202" s="341"/>
      <c r="BP202" s="341"/>
      <c r="BQ202" s="341"/>
      <c r="BR202" s="341"/>
      <c r="BS202" s="341"/>
      <c r="BT202" s="341"/>
      <c r="BU202" s="341"/>
      <c r="BV202" s="341"/>
      <c r="BW202" s="341"/>
      <c r="BX202" s="363"/>
      <c r="BY202" s="341"/>
      <c r="BZ202" s="341"/>
      <c r="CA202" s="341"/>
      <c r="CB202" s="341"/>
      <c r="CC202" s="341"/>
      <c r="CD202" s="341"/>
      <c r="CE202" s="341"/>
      <c r="CF202" s="341"/>
      <c r="CG202" s="341"/>
      <c r="CH202" s="341"/>
      <c r="CI202" s="341"/>
      <c r="CJ202" s="341"/>
      <c r="CK202" s="341"/>
    </row>
    <row r="203" spans="1:89" s="4" customFormat="1" ht="48">
      <c r="A203" s="443"/>
      <c r="B203" s="333"/>
      <c r="C203" s="522"/>
      <c r="D203" s="488"/>
      <c r="E203" s="399"/>
      <c r="F203" s="399"/>
      <c r="G203" s="399"/>
      <c r="H203" s="399"/>
      <c r="I203" s="399"/>
      <c r="J203" s="399"/>
      <c r="K203" s="341"/>
      <c r="L203" s="341"/>
      <c r="M203" s="341"/>
      <c r="N203" s="341"/>
      <c r="O203" s="341"/>
      <c r="P203" s="341"/>
      <c r="Q203" s="341"/>
      <c r="R203" s="341"/>
      <c r="S203" s="341"/>
      <c r="T203" s="341"/>
      <c r="U203" s="341"/>
      <c r="V203" s="341"/>
      <c r="W203" s="341"/>
      <c r="X203" s="341"/>
      <c r="Y203" s="341"/>
      <c r="Z203" s="341"/>
      <c r="AA203" s="341"/>
      <c r="AB203" s="341"/>
      <c r="AC203" s="341"/>
      <c r="AD203" s="341"/>
      <c r="AE203" s="341"/>
      <c r="AF203" s="341"/>
      <c r="AG203" s="341"/>
      <c r="AH203" s="341"/>
      <c r="AI203" s="341"/>
      <c r="AJ203" s="341"/>
      <c r="AK203" s="341"/>
      <c r="AL203" s="341"/>
      <c r="AM203" s="346"/>
      <c r="AN203" s="399"/>
      <c r="AO203" s="13" t="s">
        <v>396</v>
      </c>
      <c r="AP203" s="162"/>
      <c r="AQ203" s="162"/>
      <c r="AR203" s="162"/>
      <c r="AS203" s="321"/>
      <c r="AT203" s="321"/>
      <c r="AU203" s="362"/>
      <c r="AV203" s="362"/>
      <c r="AW203" s="362"/>
      <c r="AX203" s="362"/>
      <c r="AY203" s="362"/>
      <c r="AZ203" s="362"/>
      <c r="BA203" s="362"/>
      <c r="BB203" s="341"/>
      <c r="BC203" s="341"/>
      <c r="BD203" s="341"/>
      <c r="BE203" s="341"/>
      <c r="BF203" s="341"/>
      <c r="BG203" s="341"/>
      <c r="BH203" s="341"/>
      <c r="BI203" s="341"/>
      <c r="BJ203" s="341"/>
      <c r="BK203" s="341"/>
      <c r="BL203" s="341"/>
      <c r="BM203" s="341"/>
      <c r="BN203" s="341"/>
      <c r="BO203" s="341"/>
      <c r="BP203" s="341"/>
      <c r="BQ203" s="341"/>
      <c r="BR203" s="341"/>
      <c r="BS203" s="341"/>
      <c r="BT203" s="341"/>
      <c r="BU203" s="341"/>
      <c r="BV203" s="341"/>
      <c r="BW203" s="341"/>
      <c r="BX203" s="363"/>
      <c r="BY203" s="341"/>
      <c r="BZ203" s="341"/>
      <c r="CA203" s="341"/>
      <c r="CB203" s="341"/>
      <c r="CC203" s="341"/>
      <c r="CD203" s="341"/>
      <c r="CE203" s="341"/>
      <c r="CF203" s="341"/>
      <c r="CG203" s="341"/>
      <c r="CH203" s="341"/>
      <c r="CI203" s="341"/>
      <c r="CJ203" s="341"/>
      <c r="CK203" s="341"/>
    </row>
    <row r="204" spans="1:89" s="4" customFormat="1" ht="36">
      <c r="A204" s="443"/>
      <c r="B204" s="333"/>
      <c r="C204" s="522"/>
      <c r="D204" s="488"/>
      <c r="E204" s="399"/>
      <c r="F204" s="399"/>
      <c r="G204" s="399"/>
      <c r="H204" s="399"/>
      <c r="I204" s="399"/>
      <c r="J204" s="399"/>
      <c r="K204" s="341"/>
      <c r="L204" s="341"/>
      <c r="M204" s="341"/>
      <c r="N204" s="341"/>
      <c r="O204" s="341"/>
      <c r="P204" s="341"/>
      <c r="Q204" s="341"/>
      <c r="R204" s="341"/>
      <c r="S204" s="341"/>
      <c r="T204" s="341"/>
      <c r="U204" s="341"/>
      <c r="V204" s="341"/>
      <c r="W204" s="341"/>
      <c r="X204" s="341"/>
      <c r="Y204" s="341"/>
      <c r="Z204" s="341"/>
      <c r="AA204" s="341"/>
      <c r="AB204" s="341"/>
      <c r="AC204" s="341"/>
      <c r="AD204" s="341"/>
      <c r="AE204" s="341"/>
      <c r="AF204" s="341"/>
      <c r="AG204" s="341"/>
      <c r="AH204" s="341"/>
      <c r="AI204" s="341"/>
      <c r="AJ204" s="341"/>
      <c r="AK204" s="341"/>
      <c r="AL204" s="341"/>
      <c r="AM204" s="346"/>
      <c r="AN204" s="399"/>
      <c r="AO204" s="13" t="s">
        <v>199</v>
      </c>
      <c r="AP204" s="162"/>
      <c r="AQ204" s="162"/>
      <c r="AR204" s="162"/>
      <c r="AS204" s="321"/>
      <c r="AT204" s="321"/>
      <c r="AU204" s="362"/>
      <c r="AV204" s="362"/>
      <c r="AW204" s="362"/>
      <c r="AX204" s="362"/>
      <c r="AY204" s="362"/>
      <c r="AZ204" s="362"/>
      <c r="BA204" s="362"/>
      <c r="BB204" s="341"/>
      <c r="BC204" s="341"/>
      <c r="BD204" s="341"/>
      <c r="BE204" s="341"/>
      <c r="BF204" s="341"/>
      <c r="BG204" s="341"/>
      <c r="BH204" s="341"/>
      <c r="BI204" s="341"/>
      <c r="BJ204" s="341"/>
      <c r="BK204" s="341"/>
      <c r="BL204" s="341"/>
      <c r="BM204" s="341"/>
      <c r="BN204" s="341"/>
      <c r="BO204" s="341"/>
      <c r="BP204" s="341"/>
      <c r="BQ204" s="341"/>
      <c r="BR204" s="341"/>
      <c r="BS204" s="341"/>
      <c r="BT204" s="341"/>
      <c r="BU204" s="341"/>
      <c r="BV204" s="341"/>
      <c r="BW204" s="341"/>
      <c r="BX204" s="363"/>
      <c r="BY204" s="341"/>
      <c r="BZ204" s="341"/>
      <c r="CA204" s="341"/>
      <c r="CB204" s="341"/>
      <c r="CC204" s="341"/>
      <c r="CD204" s="341"/>
      <c r="CE204" s="341"/>
      <c r="CF204" s="341"/>
      <c r="CG204" s="341"/>
      <c r="CH204" s="341"/>
      <c r="CI204" s="341"/>
      <c r="CJ204" s="341"/>
      <c r="CK204" s="341"/>
    </row>
    <row r="205" spans="1:89" s="4" customFormat="1" ht="60">
      <c r="A205" s="443"/>
      <c r="B205" s="333"/>
      <c r="C205" s="522"/>
      <c r="D205" s="488"/>
      <c r="E205" s="399"/>
      <c r="F205" s="399"/>
      <c r="G205" s="399"/>
      <c r="H205" s="399"/>
      <c r="I205" s="399"/>
      <c r="J205" s="399"/>
      <c r="K205" s="341"/>
      <c r="L205" s="341"/>
      <c r="M205" s="341"/>
      <c r="N205" s="341"/>
      <c r="O205" s="341"/>
      <c r="P205" s="341"/>
      <c r="Q205" s="341"/>
      <c r="R205" s="341"/>
      <c r="S205" s="341"/>
      <c r="T205" s="341"/>
      <c r="U205" s="341"/>
      <c r="V205" s="341"/>
      <c r="W205" s="341"/>
      <c r="X205" s="341"/>
      <c r="Y205" s="341"/>
      <c r="Z205" s="341"/>
      <c r="AA205" s="341"/>
      <c r="AB205" s="341"/>
      <c r="AC205" s="341"/>
      <c r="AD205" s="341"/>
      <c r="AE205" s="341"/>
      <c r="AF205" s="341"/>
      <c r="AG205" s="341"/>
      <c r="AH205" s="341"/>
      <c r="AI205" s="341"/>
      <c r="AJ205" s="341"/>
      <c r="AK205" s="341"/>
      <c r="AL205" s="341"/>
      <c r="AM205" s="346"/>
      <c r="AN205" s="399"/>
      <c r="AO205" s="13" t="s">
        <v>397</v>
      </c>
      <c r="AP205" s="162"/>
      <c r="AQ205" s="162"/>
      <c r="AR205" s="162"/>
      <c r="AS205" s="321"/>
      <c r="AT205" s="321"/>
      <c r="AU205" s="362"/>
      <c r="AV205" s="362"/>
      <c r="AW205" s="362"/>
      <c r="AX205" s="362"/>
      <c r="AY205" s="362"/>
      <c r="AZ205" s="362"/>
      <c r="BA205" s="362"/>
      <c r="BB205" s="341"/>
      <c r="BC205" s="341"/>
      <c r="BD205" s="341"/>
      <c r="BE205" s="341"/>
      <c r="BF205" s="341"/>
      <c r="BG205" s="341"/>
      <c r="BH205" s="341"/>
      <c r="BI205" s="341"/>
      <c r="BJ205" s="341"/>
      <c r="BK205" s="341"/>
      <c r="BL205" s="341"/>
      <c r="BM205" s="341"/>
      <c r="BN205" s="341"/>
      <c r="BO205" s="341"/>
      <c r="BP205" s="341"/>
      <c r="BQ205" s="341"/>
      <c r="BR205" s="341"/>
      <c r="BS205" s="341"/>
      <c r="BT205" s="341"/>
      <c r="BU205" s="341"/>
      <c r="BV205" s="341"/>
      <c r="BW205" s="341"/>
      <c r="BX205" s="363"/>
      <c r="BY205" s="341"/>
      <c r="BZ205" s="341"/>
      <c r="CA205" s="341"/>
      <c r="CB205" s="341"/>
      <c r="CC205" s="341"/>
      <c r="CD205" s="341"/>
      <c r="CE205" s="341"/>
      <c r="CF205" s="341"/>
      <c r="CG205" s="341"/>
      <c r="CH205" s="341"/>
      <c r="CI205" s="341"/>
      <c r="CJ205" s="341"/>
      <c r="CK205" s="341"/>
    </row>
    <row r="206" spans="1:89" s="4" customFormat="1" ht="60">
      <c r="A206" s="443"/>
      <c r="B206" s="333"/>
      <c r="C206" s="522"/>
      <c r="D206" s="488"/>
      <c r="E206" s="399"/>
      <c r="F206" s="399"/>
      <c r="G206" s="399"/>
      <c r="H206" s="399"/>
      <c r="I206" s="399"/>
      <c r="J206" s="399"/>
      <c r="K206" s="341"/>
      <c r="L206" s="341"/>
      <c r="M206" s="341"/>
      <c r="N206" s="341"/>
      <c r="O206" s="341"/>
      <c r="P206" s="341"/>
      <c r="Q206" s="341"/>
      <c r="R206" s="341"/>
      <c r="S206" s="341"/>
      <c r="T206" s="341"/>
      <c r="U206" s="341"/>
      <c r="V206" s="341"/>
      <c r="W206" s="341"/>
      <c r="X206" s="341"/>
      <c r="Y206" s="341"/>
      <c r="Z206" s="341"/>
      <c r="AA206" s="341"/>
      <c r="AB206" s="341"/>
      <c r="AC206" s="341"/>
      <c r="AD206" s="341"/>
      <c r="AE206" s="341"/>
      <c r="AF206" s="341"/>
      <c r="AG206" s="341"/>
      <c r="AH206" s="341"/>
      <c r="AI206" s="341"/>
      <c r="AJ206" s="341"/>
      <c r="AK206" s="341"/>
      <c r="AL206" s="341"/>
      <c r="AM206" s="346"/>
      <c r="AN206" s="399"/>
      <c r="AO206" s="13" t="s">
        <v>398</v>
      </c>
      <c r="AP206" s="162"/>
      <c r="AQ206" s="162"/>
      <c r="AR206" s="162"/>
      <c r="AS206" s="321"/>
      <c r="AT206" s="321"/>
      <c r="AU206" s="361"/>
      <c r="AV206" s="361"/>
      <c r="AW206" s="361"/>
      <c r="AX206" s="361"/>
      <c r="AY206" s="361"/>
      <c r="AZ206" s="361"/>
      <c r="BA206" s="361"/>
      <c r="BB206" s="341"/>
      <c r="BC206" s="341"/>
      <c r="BD206" s="341"/>
      <c r="BE206" s="341"/>
      <c r="BF206" s="341"/>
      <c r="BG206" s="341"/>
      <c r="BH206" s="341"/>
      <c r="BI206" s="341"/>
      <c r="BJ206" s="341"/>
      <c r="BK206" s="341"/>
      <c r="BL206" s="341"/>
      <c r="BM206" s="341"/>
      <c r="BN206" s="341"/>
      <c r="BO206" s="341"/>
      <c r="BP206" s="341"/>
      <c r="BQ206" s="341"/>
      <c r="BR206" s="341"/>
      <c r="BS206" s="341"/>
      <c r="BT206" s="341"/>
      <c r="BU206" s="341"/>
      <c r="BV206" s="341"/>
      <c r="BW206" s="341"/>
      <c r="BX206" s="363"/>
      <c r="BY206" s="341"/>
      <c r="BZ206" s="341"/>
      <c r="CA206" s="341"/>
      <c r="CB206" s="341"/>
      <c r="CC206" s="341"/>
      <c r="CD206" s="341"/>
      <c r="CE206" s="341"/>
      <c r="CF206" s="341"/>
      <c r="CG206" s="341"/>
      <c r="CH206" s="341"/>
      <c r="CI206" s="341"/>
      <c r="CJ206" s="341"/>
      <c r="CK206" s="341"/>
    </row>
    <row r="207" spans="1:89" s="4" customFormat="1" ht="60">
      <c r="A207" s="443"/>
      <c r="B207" s="333"/>
      <c r="C207" s="522"/>
      <c r="D207" s="517" t="s">
        <v>482</v>
      </c>
      <c r="E207" s="397"/>
      <c r="F207" s="397"/>
      <c r="G207" s="397" t="s">
        <v>51</v>
      </c>
      <c r="H207" s="397" t="s">
        <v>51</v>
      </c>
      <c r="I207" s="397" t="s">
        <v>51</v>
      </c>
      <c r="J207" s="397" t="s">
        <v>51</v>
      </c>
      <c r="K207" s="341"/>
      <c r="L207" s="341"/>
      <c r="M207" s="341"/>
      <c r="N207" s="341"/>
      <c r="O207" s="341"/>
      <c r="P207" s="341"/>
      <c r="Q207" s="341"/>
      <c r="R207" s="341"/>
      <c r="S207" s="341"/>
      <c r="T207" s="341"/>
      <c r="U207" s="341"/>
      <c r="V207" s="341"/>
      <c r="W207" s="341"/>
      <c r="X207" s="341"/>
      <c r="Y207" s="341"/>
      <c r="Z207" s="341"/>
      <c r="AA207" s="341"/>
      <c r="AB207" s="341"/>
      <c r="AC207" s="341"/>
      <c r="AD207" s="341"/>
      <c r="AE207" s="341"/>
      <c r="AF207" s="341"/>
      <c r="AG207" s="341"/>
      <c r="AH207" s="341"/>
      <c r="AI207" s="341"/>
      <c r="AJ207" s="341"/>
      <c r="AK207" s="341"/>
      <c r="AL207" s="341"/>
      <c r="AM207" s="322" t="s">
        <v>193</v>
      </c>
      <c r="AN207" s="397" t="s">
        <v>194</v>
      </c>
      <c r="AO207" s="13" t="s">
        <v>489</v>
      </c>
      <c r="AP207" s="162"/>
      <c r="AQ207" s="162"/>
      <c r="AR207" s="162"/>
      <c r="AS207" s="321"/>
      <c r="AT207" s="321"/>
      <c r="AU207" s="360"/>
      <c r="AV207" s="360"/>
      <c r="AW207" s="360"/>
      <c r="AX207" s="360"/>
      <c r="AY207" s="360"/>
      <c r="AZ207" s="360"/>
      <c r="BA207" s="360">
        <v>60000000</v>
      </c>
      <c r="BB207" s="360">
        <v>400000000</v>
      </c>
      <c r="BC207" s="360"/>
      <c r="BD207" s="360"/>
      <c r="BE207" s="360"/>
      <c r="BF207" s="360"/>
      <c r="BG207" s="360"/>
      <c r="BH207" s="360"/>
      <c r="BI207" s="360"/>
      <c r="BJ207" s="360"/>
      <c r="BK207" s="360"/>
      <c r="BL207" s="360"/>
      <c r="BM207" s="360"/>
      <c r="BN207" s="364">
        <f>SUM(BC207:BM207)</f>
        <v>0</v>
      </c>
      <c r="BO207" s="364">
        <f>BN207+BB207</f>
        <v>400000000</v>
      </c>
      <c r="BP207" s="360"/>
      <c r="BQ207" s="360"/>
      <c r="BR207" s="360"/>
      <c r="BS207" s="360"/>
      <c r="BT207" s="360"/>
      <c r="BU207" s="360"/>
      <c r="BV207" s="26">
        <f>SUM(BQ207:BU207)</f>
        <v>0</v>
      </c>
      <c r="BW207" s="26">
        <f>BV207+BP207</f>
        <v>0</v>
      </c>
      <c r="BX207" s="61"/>
      <c r="BY207" s="10"/>
      <c r="BZ207" s="10"/>
      <c r="CA207" s="10"/>
      <c r="CB207" s="26">
        <f>SUM(BY207:CA207)</f>
        <v>0</v>
      </c>
      <c r="CC207" s="26">
        <f>CB207+BX207</f>
        <v>0</v>
      </c>
      <c r="CD207" s="360">
        <v>40000000</v>
      </c>
      <c r="CE207" s="360"/>
      <c r="CF207" s="360">
        <v>100000000</v>
      </c>
      <c r="CG207" s="364">
        <f>SUM(CE207:CF207)</f>
        <v>100000000</v>
      </c>
      <c r="CH207" s="364">
        <f>CG207+CD207</f>
        <v>140000000</v>
      </c>
      <c r="CI207" s="360"/>
      <c r="CJ207" s="364">
        <f>CH207+CC207+BW207+BO207+CI207</f>
        <v>540000000</v>
      </c>
      <c r="CK207" s="364"/>
    </row>
    <row r="208" spans="1:89" s="4" customFormat="1" ht="24">
      <c r="A208" s="443"/>
      <c r="B208" s="333"/>
      <c r="C208" s="522"/>
      <c r="D208" s="520"/>
      <c r="E208" s="400"/>
      <c r="F208" s="400"/>
      <c r="G208" s="400"/>
      <c r="H208" s="400"/>
      <c r="I208" s="400"/>
      <c r="J208" s="400"/>
      <c r="K208" s="341"/>
      <c r="L208" s="341"/>
      <c r="M208" s="341"/>
      <c r="N208" s="341"/>
      <c r="O208" s="341"/>
      <c r="P208" s="341"/>
      <c r="Q208" s="341"/>
      <c r="R208" s="341"/>
      <c r="S208" s="341"/>
      <c r="T208" s="341"/>
      <c r="U208" s="341"/>
      <c r="V208" s="341"/>
      <c r="W208" s="341"/>
      <c r="X208" s="341"/>
      <c r="Y208" s="341"/>
      <c r="Z208" s="341"/>
      <c r="AA208" s="341"/>
      <c r="AB208" s="341"/>
      <c r="AC208" s="341"/>
      <c r="AD208" s="341"/>
      <c r="AE208" s="341"/>
      <c r="AF208" s="341"/>
      <c r="AG208" s="341"/>
      <c r="AH208" s="341"/>
      <c r="AI208" s="341"/>
      <c r="AJ208" s="341"/>
      <c r="AK208" s="341"/>
      <c r="AL208" s="341"/>
      <c r="AM208" s="323"/>
      <c r="AN208" s="400"/>
      <c r="AO208" s="13" t="s">
        <v>424</v>
      </c>
      <c r="AP208" s="162"/>
      <c r="AQ208" s="162"/>
      <c r="AR208" s="162"/>
      <c r="AS208" s="321"/>
      <c r="AT208" s="321"/>
      <c r="AU208" s="361"/>
      <c r="AV208" s="361"/>
      <c r="AW208" s="361"/>
      <c r="AX208" s="361"/>
      <c r="AY208" s="361"/>
      <c r="AZ208" s="361"/>
      <c r="BA208" s="361"/>
      <c r="BB208" s="361"/>
      <c r="BC208" s="361"/>
      <c r="BD208" s="361"/>
      <c r="BE208" s="361"/>
      <c r="BF208" s="361"/>
      <c r="BG208" s="361"/>
      <c r="BH208" s="361"/>
      <c r="BI208" s="361"/>
      <c r="BJ208" s="361"/>
      <c r="BK208" s="361"/>
      <c r="BL208" s="361"/>
      <c r="BM208" s="361"/>
      <c r="BN208" s="366"/>
      <c r="BO208" s="366"/>
      <c r="BP208" s="361"/>
      <c r="BQ208" s="361"/>
      <c r="BR208" s="361"/>
      <c r="BS208" s="361"/>
      <c r="BT208" s="361"/>
      <c r="BU208" s="361"/>
      <c r="BV208" s="26"/>
      <c r="BW208" s="26"/>
      <c r="BX208" s="102"/>
      <c r="BY208" s="10"/>
      <c r="BZ208" s="10"/>
      <c r="CA208" s="10"/>
      <c r="CB208" s="26"/>
      <c r="CC208" s="26"/>
      <c r="CD208" s="361"/>
      <c r="CE208" s="361"/>
      <c r="CF208" s="361"/>
      <c r="CG208" s="366"/>
      <c r="CH208" s="366"/>
      <c r="CI208" s="361"/>
      <c r="CJ208" s="366"/>
      <c r="CK208" s="366"/>
    </row>
    <row r="209" spans="1:89" s="4" customFormat="1" ht="48">
      <c r="A209" s="443"/>
      <c r="B209" s="333"/>
      <c r="C209" s="522"/>
      <c r="D209" s="518"/>
      <c r="E209" s="398"/>
      <c r="F209" s="398"/>
      <c r="G209" s="398"/>
      <c r="H209" s="398"/>
      <c r="I209" s="398"/>
      <c r="J209" s="398"/>
      <c r="K209" s="341"/>
      <c r="L209" s="341"/>
      <c r="M209" s="341"/>
      <c r="N209" s="341"/>
      <c r="O209" s="341"/>
      <c r="P209" s="341"/>
      <c r="Q209" s="341"/>
      <c r="R209" s="341"/>
      <c r="S209" s="341"/>
      <c r="T209" s="341"/>
      <c r="U209" s="341"/>
      <c r="V209" s="341"/>
      <c r="W209" s="341"/>
      <c r="X209" s="341"/>
      <c r="Y209" s="341"/>
      <c r="Z209" s="341"/>
      <c r="AA209" s="341"/>
      <c r="AB209" s="341"/>
      <c r="AC209" s="341"/>
      <c r="AD209" s="341"/>
      <c r="AE209" s="341"/>
      <c r="AF209" s="341"/>
      <c r="AG209" s="341"/>
      <c r="AH209" s="341"/>
      <c r="AI209" s="341"/>
      <c r="AJ209" s="341"/>
      <c r="AK209" s="341"/>
      <c r="AL209" s="341"/>
      <c r="AM209" s="324"/>
      <c r="AN209" s="398"/>
      <c r="AO209" s="13" t="s">
        <v>451</v>
      </c>
      <c r="AP209" s="162"/>
      <c r="AQ209" s="162"/>
      <c r="AR209" s="162"/>
      <c r="AS209" s="321"/>
      <c r="AT209" s="71"/>
      <c r="AU209" s="117"/>
      <c r="AV209" s="117"/>
      <c r="AW209" s="117"/>
      <c r="AX209" s="117"/>
      <c r="AY209" s="117"/>
      <c r="AZ209" s="117"/>
      <c r="BA209" s="117"/>
      <c r="BB209" s="117"/>
      <c r="BC209" s="117"/>
      <c r="BD209" s="117"/>
      <c r="BE209" s="117"/>
      <c r="BF209" s="117"/>
      <c r="BG209" s="117"/>
      <c r="BH209" s="117"/>
      <c r="BI209" s="117"/>
      <c r="BJ209" s="117"/>
      <c r="BK209" s="117"/>
      <c r="BL209" s="117"/>
      <c r="BM209" s="117"/>
      <c r="BN209" s="131"/>
      <c r="BO209" s="131"/>
      <c r="BP209" s="117"/>
      <c r="BQ209" s="117"/>
      <c r="BR209" s="117"/>
      <c r="BS209" s="117"/>
      <c r="BT209" s="117"/>
      <c r="BU209" s="117"/>
      <c r="BV209" s="26"/>
      <c r="BW209" s="26"/>
      <c r="BX209" s="136"/>
      <c r="BY209" s="10"/>
      <c r="BZ209" s="10"/>
      <c r="CA209" s="10"/>
      <c r="CB209" s="26"/>
      <c r="CC209" s="26"/>
      <c r="CD209" s="117"/>
      <c r="CE209" s="117"/>
      <c r="CF209" s="117"/>
      <c r="CG209" s="131"/>
      <c r="CH209" s="131"/>
      <c r="CI209" s="117"/>
      <c r="CJ209" s="131"/>
      <c r="CK209" s="131"/>
    </row>
    <row r="210" spans="1:89" s="4" customFormat="1" ht="48">
      <c r="A210" s="443"/>
      <c r="B210" s="333"/>
      <c r="C210" s="522"/>
      <c r="D210" s="517" t="s">
        <v>483</v>
      </c>
      <c r="E210" s="397"/>
      <c r="F210" s="397"/>
      <c r="G210" s="397" t="s">
        <v>51</v>
      </c>
      <c r="H210" s="397" t="s">
        <v>51</v>
      </c>
      <c r="I210" s="397" t="s">
        <v>51</v>
      </c>
      <c r="J210" s="397" t="s">
        <v>51</v>
      </c>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322" t="s">
        <v>27</v>
      </c>
      <c r="AN210" s="397" t="s">
        <v>446</v>
      </c>
      <c r="AO210" s="13" t="s">
        <v>449</v>
      </c>
      <c r="AP210" s="162"/>
      <c r="AQ210" s="162"/>
      <c r="AR210" s="162"/>
      <c r="AS210" s="321"/>
      <c r="AT210" s="321"/>
      <c r="AU210" s="360"/>
      <c r="AV210" s="360"/>
      <c r="AW210" s="360"/>
      <c r="AX210" s="360"/>
      <c r="AY210" s="360"/>
      <c r="AZ210" s="360"/>
      <c r="BA210" s="360">
        <v>582501300</v>
      </c>
      <c r="BB210" s="360">
        <f>(400000000)</f>
        <v>400000000</v>
      </c>
      <c r="BC210" s="360"/>
      <c r="BD210" s="360"/>
      <c r="BE210" s="360"/>
      <c r="BF210" s="360"/>
      <c r="BG210" s="360"/>
      <c r="BH210" s="360"/>
      <c r="BI210" s="360"/>
      <c r="BJ210" s="360"/>
      <c r="BK210" s="360"/>
      <c r="BL210" s="360"/>
      <c r="BM210" s="360"/>
      <c r="BN210" s="364">
        <f>SUM(BC210:BM210)</f>
        <v>0</v>
      </c>
      <c r="BO210" s="364">
        <f>BN210+BB210</f>
        <v>400000000</v>
      </c>
      <c r="BP210" s="360">
        <v>72916928</v>
      </c>
      <c r="BQ210" s="360"/>
      <c r="BR210" s="360"/>
      <c r="BS210" s="360"/>
      <c r="BT210" s="360"/>
      <c r="BU210" s="360"/>
      <c r="BV210" s="26">
        <f>SUM(BQ210:BU210)</f>
        <v>0</v>
      </c>
      <c r="BW210" s="26">
        <f>BV210+BP210</f>
        <v>72916928</v>
      </c>
      <c r="BX210" s="29">
        <v>120000000</v>
      </c>
      <c r="BY210" s="10"/>
      <c r="BZ210" s="10"/>
      <c r="CA210" s="10"/>
      <c r="CB210" s="26">
        <f>SUM(BY210:CA210)</f>
        <v>0</v>
      </c>
      <c r="CC210" s="26">
        <f>CB210+BX210</f>
        <v>120000000</v>
      </c>
      <c r="CD210" s="360"/>
      <c r="CE210" s="360">
        <v>150000000</v>
      </c>
      <c r="CF210" s="360"/>
      <c r="CG210" s="364">
        <f>SUM(CE210:CF210)</f>
        <v>150000000</v>
      </c>
      <c r="CH210" s="364">
        <f>CG210+CD210</f>
        <v>150000000</v>
      </c>
      <c r="CI210" s="360"/>
      <c r="CJ210" s="364">
        <f>CH210+CC210+BW210+BO210+CI210</f>
        <v>742916928</v>
      </c>
      <c r="CK210" s="364"/>
    </row>
    <row r="211" spans="1:89" s="4" customFormat="1" ht="24">
      <c r="A211" s="443"/>
      <c r="B211" s="333"/>
      <c r="C211" s="523"/>
      <c r="D211" s="518"/>
      <c r="E211" s="398"/>
      <c r="F211" s="398"/>
      <c r="G211" s="398"/>
      <c r="H211" s="398"/>
      <c r="I211" s="398"/>
      <c r="J211" s="398"/>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324"/>
      <c r="AN211" s="398"/>
      <c r="AO211" s="13" t="s">
        <v>422</v>
      </c>
      <c r="AP211" s="162"/>
      <c r="AQ211" s="162"/>
      <c r="AR211" s="162"/>
      <c r="AS211" s="321"/>
      <c r="AT211" s="321"/>
      <c r="AU211" s="361"/>
      <c r="AV211" s="361"/>
      <c r="AW211" s="361"/>
      <c r="AX211" s="361"/>
      <c r="AY211" s="361"/>
      <c r="AZ211" s="361"/>
      <c r="BA211" s="361"/>
      <c r="BB211" s="361"/>
      <c r="BC211" s="361"/>
      <c r="BD211" s="361"/>
      <c r="BE211" s="361"/>
      <c r="BF211" s="361"/>
      <c r="BG211" s="361"/>
      <c r="BH211" s="361"/>
      <c r="BI211" s="361"/>
      <c r="BJ211" s="361"/>
      <c r="BK211" s="361"/>
      <c r="BL211" s="361"/>
      <c r="BM211" s="361"/>
      <c r="BN211" s="366"/>
      <c r="BO211" s="366"/>
      <c r="BP211" s="361"/>
      <c r="BQ211" s="361"/>
      <c r="BR211" s="361"/>
      <c r="BS211" s="361"/>
      <c r="BT211" s="361"/>
      <c r="BU211" s="361"/>
      <c r="BV211" s="26"/>
      <c r="BW211" s="26"/>
      <c r="BX211" s="29"/>
      <c r="BY211" s="10"/>
      <c r="BZ211" s="10"/>
      <c r="CA211" s="10"/>
      <c r="CB211" s="26"/>
      <c r="CC211" s="26"/>
      <c r="CD211" s="361"/>
      <c r="CE211" s="361"/>
      <c r="CF211" s="361"/>
      <c r="CG211" s="366"/>
      <c r="CH211" s="366"/>
      <c r="CI211" s="361"/>
      <c r="CJ211" s="366"/>
      <c r="CK211" s="366"/>
    </row>
    <row r="212" spans="1:89" s="4" customFormat="1" ht="48">
      <c r="A212" s="443"/>
      <c r="B212" s="333"/>
      <c r="C212" s="460" t="s">
        <v>477</v>
      </c>
      <c r="D212" s="488" t="s">
        <v>484</v>
      </c>
      <c r="E212" s="346">
        <v>25</v>
      </c>
      <c r="F212" s="346">
        <v>25</v>
      </c>
      <c r="G212" s="346">
        <v>25</v>
      </c>
      <c r="H212" s="346">
        <v>25</v>
      </c>
      <c r="I212" s="346">
        <v>25</v>
      </c>
      <c r="J212" s="346">
        <v>25</v>
      </c>
      <c r="K212" s="341"/>
      <c r="L212" s="341"/>
      <c r="M212" s="341"/>
      <c r="N212" s="341"/>
      <c r="O212" s="341"/>
      <c r="P212" s="341"/>
      <c r="Q212" s="341"/>
      <c r="R212" s="341"/>
      <c r="S212" s="341"/>
      <c r="T212" s="341"/>
      <c r="U212" s="341"/>
      <c r="V212" s="341"/>
      <c r="W212" s="341"/>
      <c r="X212" s="341"/>
      <c r="Y212" s="341"/>
      <c r="Z212" s="341"/>
      <c r="AA212" s="341"/>
      <c r="AB212" s="341"/>
      <c r="AC212" s="341"/>
      <c r="AD212" s="341"/>
      <c r="AE212" s="341"/>
      <c r="AF212" s="341"/>
      <c r="AG212" s="341"/>
      <c r="AH212" s="341"/>
      <c r="AI212" s="341"/>
      <c r="AJ212" s="341"/>
      <c r="AK212" s="341"/>
      <c r="AL212" s="341"/>
      <c r="AM212" s="346" t="s">
        <v>53</v>
      </c>
      <c r="AN212" s="352" t="s">
        <v>205</v>
      </c>
      <c r="AO212" s="127" t="s">
        <v>490</v>
      </c>
      <c r="AP212" s="97"/>
      <c r="AQ212" s="97"/>
      <c r="AR212" s="97"/>
      <c r="AS212" s="321">
        <v>581068765</v>
      </c>
      <c r="AT212" s="321"/>
      <c r="AU212" s="360"/>
      <c r="AV212" s="360"/>
      <c r="AW212" s="360"/>
      <c r="AX212" s="360"/>
      <c r="AY212" s="360"/>
      <c r="AZ212" s="360"/>
      <c r="BA212" s="341">
        <v>813146884</v>
      </c>
      <c r="BB212" s="341">
        <v>300000000</v>
      </c>
      <c r="BC212" s="341"/>
      <c r="BD212" s="341"/>
      <c r="BE212" s="341"/>
      <c r="BF212" s="341"/>
      <c r="BG212" s="341"/>
      <c r="BH212" s="341"/>
      <c r="BI212" s="341"/>
      <c r="BJ212" s="341"/>
      <c r="BK212" s="341"/>
      <c r="BL212" s="341"/>
      <c r="BM212" s="341"/>
      <c r="BN212" s="341">
        <f>SUM(BC212:BM215)</f>
        <v>0</v>
      </c>
      <c r="BO212" s="341">
        <f>BN212+BB212</f>
        <v>300000000</v>
      </c>
      <c r="BP212" s="341"/>
      <c r="BQ212" s="341"/>
      <c r="BR212" s="341"/>
      <c r="BS212" s="341"/>
      <c r="BT212" s="341"/>
      <c r="BU212" s="341"/>
      <c r="BV212" s="341">
        <f>SUM(BQ212:BU215)</f>
        <v>0</v>
      </c>
      <c r="BW212" s="341">
        <f>BV212+BP212</f>
        <v>0</v>
      </c>
      <c r="BX212" s="341">
        <v>120000000</v>
      </c>
      <c r="BY212" s="341"/>
      <c r="BZ212" s="341"/>
      <c r="CA212" s="341"/>
      <c r="CB212" s="341">
        <f>SUM(BY212:CA215)</f>
        <v>0</v>
      </c>
      <c r="CC212" s="341">
        <f>CB212+BX212</f>
        <v>120000000</v>
      </c>
      <c r="CD212" s="341">
        <v>90000000</v>
      </c>
      <c r="CE212" s="341"/>
      <c r="CF212" s="341">
        <v>50000000</v>
      </c>
      <c r="CG212" s="341">
        <f>SUM(CE212:CF215)</f>
        <v>50000000</v>
      </c>
      <c r="CH212" s="341">
        <f>CG212+CD212</f>
        <v>140000000</v>
      </c>
      <c r="CI212" s="341"/>
      <c r="CJ212" s="341">
        <f>CH212+CC212+BW212+BO212+CI212</f>
        <v>560000000</v>
      </c>
      <c r="CK212" s="341"/>
    </row>
    <row r="213" spans="1:89" s="4" customFormat="1" ht="60">
      <c r="A213" s="443"/>
      <c r="B213" s="333"/>
      <c r="C213" s="460"/>
      <c r="D213" s="488"/>
      <c r="E213" s="346"/>
      <c r="F213" s="346"/>
      <c r="G213" s="346"/>
      <c r="H213" s="346"/>
      <c r="I213" s="346"/>
      <c r="J213" s="346"/>
      <c r="K213" s="341"/>
      <c r="L213" s="341"/>
      <c r="M213" s="341"/>
      <c r="N213" s="341"/>
      <c r="O213" s="341"/>
      <c r="P213" s="341"/>
      <c r="Q213" s="341"/>
      <c r="R213" s="341"/>
      <c r="S213" s="341"/>
      <c r="T213" s="341"/>
      <c r="U213" s="341"/>
      <c r="V213" s="341"/>
      <c r="W213" s="341"/>
      <c r="X213" s="341"/>
      <c r="Y213" s="341"/>
      <c r="Z213" s="341"/>
      <c r="AA213" s="341"/>
      <c r="AB213" s="341"/>
      <c r="AC213" s="341"/>
      <c r="AD213" s="341"/>
      <c r="AE213" s="341"/>
      <c r="AF213" s="341"/>
      <c r="AG213" s="341"/>
      <c r="AH213" s="341"/>
      <c r="AI213" s="341"/>
      <c r="AJ213" s="341"/>
      <c r="AK213" s="341"/>
      <c r="AL213" s="341"/>
      <c r="AM213" s="346"/>
      <c r="AN213" s="352"/>
      <c r="AO213" s="127" t="s">
        <v>203</v>
      </c>
      <c r="AP213" s="97"/>
      <c r="AQ213" s="97"/>
      <c r="AR213" s="97"/>
      <c r="AS213" s="321"/>
      <c r="AT213" s="321"/>
      <c r="AU213" s="362"/>
      <c r="AV213" s="362"/>
      <c r="AW213" s="362"/>
      <c r="AX213" s="362"/>
      <c r="AY213" s="362"/>
      <c r="AZ213" s="362"/>
      <c r="BA213" s="341"/>
      <c r="BB213" s="341"/>
      <c r="BC213" s="341"/>
      <c r="BD213" s="341"/>
      <c r="BE213" s="341"/>
      <c r="BF213" s="341"/>
      <c r="BG213" s="341"/>
      <c r="BH213" s="341"/>
      <c r="BI213" s="341"/>
      <c r="BJ213" s="341"/>
      <c r="BK213" s="341"/>
      <c r="BL213" s="341"/>
      <c r="BM213" s="341"/>
      <c r="BN213" s="341"/>
      <c r="BO213" s="341"/>
      <c r="BP213" s="341"/>
      <c r="BQ213" s="341"/>
      <c r="BR213" s="341"/>
      <c r="BS213" s="341"/>
      <c r="BT213" s="341"/>
      <c r="BU213" s="341"/>
      <c r="BV213" s="341"/>
      <c r="BW213" s="341"/>
      <c r="BX213" s="341"/>
      <c r="BY213" s="341"/>
      <c r="BZ213" s="341"/>
      <c r="CA213" s="341"/>
      <c r="CB213" s="341"/>
      <c r="CC213" s="341"/>
      <c r="CD213" s="341"/>
      <c r="CE213" s="341"/>
      <c r="CF213" s="341"/>
      <c r="CG213" s="341"/>
      <c r="CH213" s="341"/>
      <c r="CI213" s="341"/>
      <c r="CJ213" s="341"/>
      <c r="CK213" s="341"/>
    </row>
    <row r="214" spans="1:89" s="4" customFormat="1" ht="48">
      <c r="A214" s="443"/>
      <c r="B214" s="333"/>
      <c r="C214" s="460"/>
      <c r="D214" s="488"/>
      <c r="E214" s="346"/>
      <c r="F214" s="346"/>
      <c r="G214" s="346"/>
      <c r="H214" s="346"/>
      <c r="I214" s="346"/>
      <c r="J214" s="346"/>
      <c r="K214" s="341"/>
      <c r="L214" s="341"/>
      <c r="M214" s="341"/>
      <c r="N214" s="341"/>
      <c r="O214" s="341"/>
      <c r="P214" s="341"/>
      <c r="Q214" s="341"/>
      <c r="R214" s="341"/>
      <c r="S214" s="341"/>
      <c r="T214" s="341"/>
      <c r="U214" s="341"/>
      <c r="V214" s="341"/>
      <c r="W214" s="341"/>
      <c r="X214" s="341"/>
      <c r="Y214" s="341"/>
      <c r="Z214" s="341"/>
      <c r="AA214" s="341"/>
      <c r="AB214" s="341"/>
      <c r="AC214" s="341"/>
      <c r="AD214" s="341"/>
      <c r="AE214" s="341"/>
      <c r="AF214" s="341"/>
      <c r="AG214" s="341"/>
      <c r="AH214" s="341"/>
      <c r="AI214" s="341"/>
      <c r="AJ214" s="341"/>
      <c r="AK214" s="341"/>
      <c r="AL214" s="341"/>
      <c r="AM214" s="346"/>
      <c r="AN214" s="352"/>
      <c r="AO214" s="127" t="s">
        <v>204</v>
      </c>
      <c r="AP214" s="97"/>
      <c r="AQ214" s="97"/>
      <c r="AR214" s="97"/>
      <c r="AS214" s="321"/>
      <c r="AT214" s="321"/>
      <c r="AU214" s="362"/>
      <c r="AV214" s="362"/>
      <c r="AW214" s="362"/>
      <c r="AX214" s="362"/>
      <c r="AY214" s="362"/>
      <c r="AZ214" s="362"/>
      <c r="BA214" s="341"/>
      <c r="BB214" s="341"/>
      <c r="BC214" s="341"/>
      <c r="BD214" s="341"/>
      <c r="BE214" s="341"/>
      <c r="BF214" s="341"/>
      <c r="BG214" s="341"/>
      <c r="BH214" s="341"/>
      <c r="BI214" s="341"/>
      <c r="BJ214" s="341"/>
      <c r="BK214" s="341"/>
      <c r="BL214" s="341"/>
      <c r="BM214" s="341"/>
      <c r="BN214" s="341"/>
      <c r="BO214" s="341"/>
      <c r="BP214" s="341"/>
      <c r="BQ214" s="341"/>
      <c r="BR214" s="341"/>
      <c r="BS214" s="341"/>
      <c r="BT214" s="341"/>
      <c r="BU214" s="341"/>
      <c r="BV214" s="341"/>
      <c r="BW214" s="341"/>
      <c r="BX214" s="341"/>
      <c r="BY214" s="341"/>
      <c r="BZ214" s="341"/>
      <c r="CA214" s="341"/>
      <c r="CB214" s="341"/>
      <c r="CC214" s="341"/>
      <c r="CD214" s="341"/>
      <c r="CE214" s="341"/>
      <c r="CF214" s="341"/>
      <c r="CG214" s="341"/>
      <c r="CH214" s="341"/>
      <c r="CI214" s="341"/>
      <c r="CJ214" s="341"/>
      <c r="CK214" s="341"/>
    </row>
    <row r="215" spans="1:89" s="4" customFormat="1" ht="84">
      <c r="A215" s="443"/>
      <c r="B215" s="333"/>
      <c r="C215" s="460"/>
      <c r="D215" s="488"/>
      <c r="E215" s="346"/>
      <c r="F215" s="346"/>
      <c r="G215" s="346"/>
      <c r="H215" s="346"/>
      <c r="I215" s="346"/>
      <c r="J215" s="346"/>
      <c r="K215" s="341"/>
      <c r="L215" s="341"/>
      <c r="M215" s="341"/>
      <c r="N215" s="341"/>
      <c r="O215" s="341"/>
      <c r="P215" s="341"/>
      <c r="Q215" s="341"/>
      <c r="R215" s="341"/>
      <c r="S215" s="341"/>
      <c r="T215" s="341"/>
      <c r="U215" s="341"/>
      <c r="V215" s="341"/>
      <c r="W215" s="341"/>
      <c r="X215" s="341"/>
      <c r="Y215" s="341"/>
      <c r="Z215" s="341"/>
      <c r="AA215" s="341"/>
      <c r="AB215" s="341"/>
      <c r="AC215" s="341"/>
      <c r="AD215" s="341"/>
      <c r="AE215" s="341"/>
      <c r="AF215" s="341"/>
      <c r="AG215" s="341"/>
      <c r="AH215" s="341"/>
      <c r="AI215" s="341"/>
      <c r="AJ215" s="341"/>
      <c r="AK215" s="341"/>
      <c r="AL215" s="341"/>
      <c r="AM215" s="346"/>
      <c r="AN215" s="352"/>
      <c r="AO215" s="127" t="s">
        <v>399</v>
      </c>
      <c r="AP215" s="97"/>
      <c r="AQ215" s="97"/>
      <c r="AR215" s="97"/>
      <c r="AS215" s="321"/>
      <c r="AT215" s="321"/>
      <c r="AU215" s="361"/>
      <c r="AV215" s="361"/>
      <c r="AW215" s="361"/>
      <c r="AX215" s="361"/>
      <c r="AY215" s="361"/>
      <c r="AZ215" s="361"/>
      <c r="BA215" s="341"/>
      <c r="BB215" s="341"/>
      <c r="BC215" s="341"/>
      <c r="BD215" s="341"/>
      <c r="BE215" s="341"/>
      <c r="BF215" s="341"/>
      <c r="BG215" s="341"/>
      <c r="BH215" s="341"/>
      <c r="BI215" s="341"/>
      <c r="BJ215" s="341"/>
      <c r="BK215" s="341"/>
      <c r="BL215" s="341"/>
      <c r="BM215" s="341"/>
      <c r="BN215" s="341"/>
      <c r="BO215" s="341"/>
      <c r="BP215" s="341"/>
      <c r="BQ215" s="341"/>
      <c r="BR215" s="341"/>
      <c r="BS215" s="341"/>
      <c r="BT215" s="341"/>
      <c r="BU215" s="341"/>
      <c r="BV215" s="341"/>
      <c r="BW215" s="341"/>
      <c r="BX215" s="341"/>
      <c r="BY215" s="341"/>
      <c r="BZ215" s="341"/>
      <c r="CA215" s="341"/>
      <c r="CB215" s="341"/>
      <c r="CC215" s="341"/>
      <c r="CD215" s="341"/>
      <c r="CE215" s="341"/>
      <c r="CF215" s="341"/>
      <c r="CG215" s="341"/>
      <c r="CH215" s="341"/>
      <c r="CI215" s="341"/>
      <c r="CJ215" s="341"/>
      <c r="CK215" s="341"/>
    </row>
    <row r="216" spans="1:89" s="8" customFormat="1" ht="36">
      <c r="A216" s="443"/>
      <c r="B216" s="333"/>
      <c r="C216" s="384" t="s">
        <v>478</v>
      </c>
      <c r="D216" s="461" t="s">
        <v>485</v>
      </c>
      <c r="E216" s="325"/>
      <c r="F216" s="325"/>
      <c r="G216" s="325"/>
      <c r="H216" s="325"/>
      <c r="I216" s="325"/>
      <c r="J216" s="325"/>
      <c r="K216" s="341"/>
      <c r="L216" s="341"/>
      <c r="M216" s="341"/>
      <c r="N216" s="341"/>
      <c r="O216" s="341"/>
      <c r="P216" s="341"/>
      <c r="Q216" s="341"/>
      <c r="R216" s="341"/>
      <c r="S216" s="341"/>
      <c r="T216" s="341"/>
      <c r="U216" s="341"/>
      <c r="V216" s="341"/>
      <c r="W216" s="341"/>
      <c r="X216" s="341"/>
      <c r="Y216" s="341"/>
      <c r="Z216" s="341"/>
      <c r="AA216" s="341"/>
      <c r="AB216" s="341"/>
      <c r="AC216" s="341"/>
      <c r="AD216" s="341"/>
      <c r="AE216" s="341"/>
      <c r="AF216" s="341"/>
      <c r="AG216" s="341"/>
      <c r="AH216" s="341"/>
      <c r="AI216" s="341"/>
      <c r="AJ216" s="341"/>
      <c r="AK216" s="341"/>
      <c r="AL216" s="341"/>
      <c r="AM216" s="524" t="s">
        <v>27</v>
      </c>
      <c r="AN216" s="524" t="s">
        <v>54</v>
      </c>
      <c r="AO216" s="127" t="s">
        <v>418</v>
      </c>
      <c r="AP216" s="97"/>
      <c r="AQ216" s="97"/>
      <c r="AR216" s="97"/>
      <c r="AS216" s="321">
        <v>424841500</v>
      </c>
      <c r="AT216" s="321"/>
      <c r="AU216" s="360"/>
      <c r="AV216" s="360"/>
      <c r="AW216" s="360"/>
      <c r="AX216" s="360"/>
      <c r="AY216" s="360"/>
      <c r="AZ216" s="360"/>
      <c r="BA216" s="360">
        <v>816040540</v>
      </c>
      <c r="BB216" s="360">
        <v>0</v>
      </c>
      <c r="BC216" s="360"/>
      <c r="BD216" s="360"/>
      <c r="BE216" s="360"/>
      <c r="BF216" s="360"/>
      <c r="BG216" s="360"/>
      <c r="BH216" s="360"/>
      <c r="BI216" s="360"/>
      <c r="BJ216" s="360"/>
      <c r="BK216" s="360"/>
      <c r="BL216" s="360"/>
      <c r="BM216" s="360"/>
      <c r="BN216" s="364">
        <f>SUM(BC216:BM216)</f>
        <v>0</v>
      </c>
      <c r="BO216" s="364">
        <f>BN216+BB216</f>
        <v>0</v>
      </c>
      <c r="BP216" s="401">
        <v>23400000</v>
      </c>
      <c r="BQ216" s="360"/>
      <c r="BR216" s="360"/>
      <c r="BS216" s="360"/>
      <c r="BT216" s="360"/>
      <c r="BU216" s="360"/>
      <c r="BV216" s="26">
        <f>SUM(BQ216:BU216)</f>
        <v>0</v>
      </c>
      <c r="BW216" s="26">
        <f>BV216+BP216</f>
        <v>23400000</v>
      </c>
      <c r="BX216" s="29"/>
      <c r="BY216" s="10"/>
      <c r="BZ216" s="10"/>
      <c r="CA216" s="10"/>
      <c r="CB216" s="26">
        <f>SUM(BY216:CA216)</f>
        <v>0</v>
      </c>
      <c r="CC216" s="26">
        <f>CB216+BX216</f>
        <v>0</v>
      </c>
      <c r="CD216" s="360"/>
      <c r="CE216" s="360"/>
      <c r="CF216" s="360"/>
      <c r="CG216" s="364">
        <f>SUM(CE216:CF216)</f>
        <v>0</v>
      </c>
      <c r="CH216" s="364">
        <f>CG216+CD216</f>
        <v>0</v>
      </c>
      <c r="CI216" s="360"/>
      <c r="CJ216" s="364">
        <f>CH216+CC216+BW216+BO216+CI216</f>
        <v>23400000</v>
      </c>
      <c r="CK216" s="364"/>
    </row>
    <row r="217" spans="1:89" s="8" customFormat="1" ht="24">
      <c r="A217" s="443"/>
      <c r="B217" s="333"/>
      <c r="C217" s="385"/>
      <c r="D217" s="462"/>
      <c r="E217" s="326"/>
      <c r="F217" s="326"/>
      <c r="G217" s="326"/>
      <c r="H217" s="326"/>
      <c r="I217" s="326"/>
      <c r="J217" s="326"/>
      <c r="K217" s="341"/>
      <c r="L217" s="341"/>
      <c r="M217" s="341"/>
      <c r="N217" s="341"/>
      <c r="O217" s="341"/>
      <c r="P217" s="341"/>
      <c r="Q217" s="341"/>
      <c r="R217" s="341"/>
      <c r="S217" s="341"/>
      <c r="T217" s="341"/>
      <c r="U217" s="341"/>
      <c r="V217" s="341"/>
      <c r="W217" s="341"/>
      <c r="X217" s="341"/>
      <c r="Y217" s="341"/>
      <c r="Z217" s="341"/>
      <c r="AA217" s="341"/>
      <c r="AB217" s="341"/>
      <c r="AC217" s="341"/>
      <c r="AD217" s="341"/>
      <c r="AE217" s="341"/>
      <c r="AF217" s="341"/>
      <c r="AG217" s="341"/>
      <c r="AH217" s="341"/>
      <c r="AI217" s="341"/>
      <c r="AJ217" s="341"/>
      <c r="AK217" s="341"/>
      <c r="AL217" s="341"/>
      <c r="AM217" s="525"/>
      <c r="AN217" s="525"/>
      <c r="AO217" s="127" t="s">
        <v>206</v>
      </c>
      <c r="AP217" s="97"/>
      <c r="AQ217" s="97"/>
      <c r="AR217" s="97"/>
      <c r="AS217" s="321"/>
      <c r="AT217" s="321"/>
      <c r="AU217" s="362"/>
      <c r="AV217" s="362"/>
      <c r="AW217" s="362"/>
      <c r="AX217" s="362"/>
      <c r="AY217" s="362"/>
      <c r="AZ217" s="362"/>
      <c r="BA217" s="362"/>
      <c r="BB217" s="362"/>
      <c r="BC217" s="362"/>
      <c r="BD217" s="362"/>
      <c r="BE217" s="362"/>
      <c r="BF217" s="362"/>
      <c r="BG217" s="362"/>
      <c r="BH217" s="362"/>
      <c r="BI217" s="362"/>
      <c r="BJ217" s="362"/>
      <c r="BK217" s="362"/>
      <c r="BL217" s="362"/>
      <c r="BM217" s="362"/>
      <c r="BN217" s="365"/>
      <c r="BO217" s="365"/>
      <c r="BP217" s="402"/>
      <c r="BQ217" s="362"/>
      <c r="BR217" s="362"/>
      <c r="BS217" s="362"/>
      <c r="BT217" s="362"/>
      <c r="BU217" s="362"/>
      <c r="BV217" s="26"/>
      <c r="BW217" s="26"/>
      <c r="BX217" s="29"/>
      <c r="BY217" s="10"/>
      <c r="BZ217" s="10"/>
      <c r="CA217" s="10"/>
      <c r="CB217" s="26"/>
      <c r="CC217" s="26"/>
      <c r="CD217" s="362"/>
      <c r="CE217" s="362"/>
      <c r="CF217" s="362"/>
      <c r="CG217" s="365"/>
      <c r="CH217" s="365"/>
      <c r="CI217" s="362"/>
      <c r="CJ217" s="365"/>
      <c r="CK217" s="365"/>
    </row>
    <row r="218" spans="1:89" s="8" customFormat="1" ht="24">
      <c r="A218" s="443"/>
      <c r="B218" s="333"/>
      <c r="C218" s="385"/>
      <c r="D218" s="462"/>
      <c r="E218" s="326"/>
      <c r="F218" s="326"/>
      <c r="G218" s="326"/>
      <c r="H218" s="326"/>
      <c r="I218" s="326"/>
      <c r="J218" s="326"/>
      <c r="K218" s="341"/>
      <c r="L218" s="341"/>
      <c r="M218" s="341"/>
      <c r="N218" s="341"/>
      <c r="O218" s="341"/>
      <c r="P218" s="341"/>
      <c r="Q218" s="341"/>
      <c r="R218" s="341"/>
      <c r="S218" s="341"/>
      <c r="T218" s="341"/>
      <c r="U218" s="341"/>
      <c r="V218" s="341"/>
      <c r="W218" s="341"/>
      <c r="X218" s="341"/>
      <c r="Y218" s="341"/>
      <c r="Z218" s="341"/>
      <c r="AA218" s="341"/>
      <c r="AB218" s="341"/>
      <c r="AC218" s="341"/>
      <c r="AD218" s="341"/>
      <c r="AE218" s="341"/>
      <c r="AF218" s="341"/>
      <c r="AG218" s="341"/>
      <c r="AH218" s="341"/>
      <c r="AI218" s="341"/>
      <c r="AJ218" s="341"/>
      <c r="AK218" s="341"/>
      <c r="AL218" s="341"/>
      <c r="AM218" s="525"/>
      <c r="AN218" s="525"/>
      <c r="AO218" s="127" t="s">
        <v>207</v>
      </c>
      <c r="AP218" s="97"/>
      <c r="AQ218" s="97"/>
      <c r="AR218" s="97"/>
      <c r="AS218" s="321"/>
      <c r="AT218" s="321"/>
      <c r="AU218" s="362"/>
      <c r="AV218" s="362"/>
      <c r="AW218" s="362"/>
      <c r="AX218" s="362"/>
      <c r="AY218" s="362"/>
      <c r="AZ218" s="362"/>
      <c r="BA218" s="362"/>
      <c r="BB218" s="362"/>
      <c r="BC218" s="362"/>
      <c r="BD218" s="362"/>
      <c r="BE218" s="362"/>
      <c r="BF218" s="362"/>
      <c r="BG218" s="362"/>
      <c r="BH218" s="362"/>
      <c r="BI218" s="362"/>
      <c r="BJ218" s="362"/>
      <c r="BK218" s="362"/>
      <c r="BL218" s="362"/>
      <c r="BM218" s="362"/>
      <c r="BN218" s="365"/>
      <c r="BO218" s="365"/>
      <c r="BP218" s="402"/>
      <c r="BQ218" s="362"/>
      <c r="BR218" s="362"/>
      <c r="BS218" s="362"/>
      <c r="BT218" s="362"/>
      <c r="BU218" s="362"/>
      <c r="BV218" s="26"/>
      <c r="BW218" s="26"/>
      <c r="BX218" s="29"/>
      <c r="BY218" s="10"/>
      <c r="BZ218" s="10"/>
      <c r="CA218" s="10"/>
      <c r="CB218" s="26"/>
      <c r="CC218" s="26"/>
      <c r="CD218" s="362"/>
      <c r="CE218" s="362"/>
      <c r="CF218" s="362"/>
      <c r="CG218" s="365"/>
      <c r="CH218" s="365"/>
      <c r="CI218" s="362"/>
      <c r="CJ218" s="365"/>
      <c r="CK218" s="365"/>
    </row>
    <row r="219" spans="1:89" s="8" customFormat="1" ht="36">
      <c r="A219" s="443"/>
      <c r="B219" s="333"/>
      <c r="C219" s="385"/>
      <c r="D219" s="463"/>
      <c r="E219" s="327"/>
      <c r="F219" s="327"/>
      <c r="G219" s="327"/>
      <c r="H219" s="327"/>
      <c r="I219" s="327"/>
      <c r="J219" s="327"/>
      <c r="K219" s="341"/>
      <c r="L219" s="341"/>
      <c r="M219" s="341"/>
      <c r="N219" s="341"/>
      <c r="O219" s="341"/>
      <c r="P219" s="341"/>
      <c r="Q219" s="341"/>
      <c r="R219" s="341"/>
      <c r="S219" s="341"/>
      <c r="T219" s="341"/>
      <c r="U219" s="341"/>
      <c r="V219" s="341"/>
      <c r="W219" s="341"/>
      <c r="X219" s="341"/>
      <c r="Y219" s="341"/>
      <c r="Z219" s="341"/>
      <c r="AA219" s="341"/>
      <c r="AB219" s="341"/>
      <c r="AC219" s="341"/>
      <c r="AD219" s="341"/>
      <c r="AE219" s="341"/>
      <c r="AF219" s="341"/>
      <c r="AG219" s="341"/>
      <c r="AH219" s="341"/>
      <c r="AI219" s="341"/>
      <c r="AJ219" s="341"/>
      <c r="AK219" s="341"/>
      <c r="AL219" s="341"/>
      <c r="AM219" s="526"/>
      <c r="AN219" s="526"/>
      <c r="AO219" s="127" t="s">
        <v>208</v>
      </c>
      <c r="AP219" s="97"/>
      <c r="AQ219" s="97"/>
      <c r="AR219" s="97"/>
      <c r="AS219" s="321"/>
      <c r="AT219" s="321"/>
      <c r="AU219" s="361"/>
      <c r="AV219" s="361"/>
      <c r="AW219" s="361"/>
      <c r="AX219" s="361"/>
      <c r="AY219" s="361"/>
      <c r="AZ219" s="361"/>
      <c r="BA219" s="361"/>
      <c r="BB219" s="361"/>
      <c r="BC219" s="361"/>
      <c r="BD219" s="361"/>
      <c r="BE219" s="361"/>
      <c r="BF219" s="361"/>
      <c r="BG219" s="361"/>
      <c r="BH219" s="361"/>
      <c r="BI219" s="361"/>
      <c r="BJ219" s="361"/>
      <c r="BK219" s="361"/>
      <c r="BL219" s="361"/>
      <c r="BM219" s="361"/>
      <c r="BN219" s="366"/>
      <c r="BO219" s="366"/>
      <c r="BP219" s="403"/>
      <c r="BQ219" s="361"/>
      <c r="BR219" s="361"/>
      <c r="BS219" s="361"/>
      <c r="BT219" s="361"/>
      <c r="BU219" s="361"/>
      <c r="BV219" s="26"/>
      <c r="BW219" s="26"/>
      <c r="BX219" s="29"/>
      <c r="BY219" s="10"/>
      <c r="BZ219" s="10"/>
      <c r="CA219" s="10"/>
      <c r="CB219" s="26"/>
      <c r="CC219" s="26"/>
      <c r="CD219" s="361"/>
      <c r="CE219" s="361"/>
      <c r="CF219" s="361"/>
      <c r="CG219" s="366"/>
      <c r="CH219" s="366"/>
      <c r="CI219" s="361"/>
      <c r="CJ219" s="366"/>
      <c r="CK219" s="366"/>
    </row>
    <row r="220" spans="1:89" s="8" customFormat="1" ht="24">
      <c r="A220" s="443"/>
      <c r="B220" s="333"/>
      <c r="C220" s="385"/>
      <c r="D220" s="382" t="s">
        <v>400</v>
      </c>
      <c r="E220" s="397"/>
      <c r="F220" s="397">
        <v>6</v>
      </c>
      <c r="G220" s="397"/>
      <c r="H220" s="397">
        <v>6</v>
      </c>
      <c r="I220" s="397"/>
      <c r="J220" s="397">
        <v>6</v>
      </c>
      <c r="K220" s="341"/>
      <c r="L220" s="341"/>
      <c r="M220" s="341"/>
      <c r="N220" s="341"/>
      <c r="O220" s="341"/>
      <c r="P220" s="341"/>
      <c r="Q220" s="341"/>
      <c r="R220" s="341"/>
      <c r="S220" s="341"/>
      <c r="T220" s="341"/>
      <c r="U220" s="341"/>
      <c r="V220" s="341"/>
      <c r="W220" s="341"/>
      <c r="X220" s="341"/>
      <c r="Y220" s="341"/>
      <c r="Z220" s="341"/>
      <c r="AA220" s="341"/>
      <c r="AB220" s="341"/>
      <c r="AC220" s="341"/>
      <c r="AD220" s="341"/>
      <c r="AE220" s="341"/>
      <c r="AF220" s="341"/>
      <c r="AG220" s="341"/>
      <c r="AH220" s="341"/>
      <c r="AI220" s="341"/>
      <c r="AJ220" s="341"/>
      <c r="AK220" s="341"/>
      <c r="AL220" s="341"/>
      <c r="AM220" s="397" t="s">
        <v>55</v>
      </c>
      <c r="AN220" s="397" t="s">
        <v>201</v>
      </c>
      <c r="AO220" s="13" t="s">
        <v>209</v>
      </c>
      <c r="AP220" s="162"/>
      <c r="AQ220" s="162"/>
      <c r="AR220" s="162"/>
      <c r="AS220" s="321"/>
      <c r="AT220" s="321"/>
      <c r="AU220" s="360"/>
      <c r="AV220" s="360"/>
      <c r="AW220" s="360"/>
      <c r="AX220" s="360"/>
      <c r="AY220" s="360"/>
      <c r="AZ220" s="360"/>
      <c r="BA220" s="360">
        <v>75000000</v>
      </c>
      <c r="BB220" s="360">
        <v>250000000</v>
      </c>
      <c r="BC220" s="360"/>
      <c r="BD220" s="360"/>
      <c r="BE220" s="360"/>
      <c r="BF220" s="360"/>
      <c r="BG220" s="360"/>
      <c r="BH220" s="360"/>
      <c r="BI220" s="360"/>
      <c r="BJ220" s="360"/>
      <c r="BK220" s="360"/>
      <c r="BL220" s="360"/>
      <c r="BM220" s="360"/>
      <c r="BN220" s="364">
        <f>SUM(BC220:BM220)</f>
        <v>0</v>
      </c>
      <c r="BO220" s="364">
        <f>BN220+BB220</f>
        <v>250000000</v>
      </c>
      <c r="BP220" s="401"/>
      <c r="BQ220" s="360"/>
      <c r="BR220" s="360"/>
      <c r="BS220" s="360"/>
      <c r="BT220" s="360"/>
      <c r="BU220" s="360"/>
      <c r="BV220" s="26">
        <f>SUM(BQ220:BU220)</f>
        <v>0</v>
      </c>
      <c r="BW220" s="26">
        <f>BV220+BP220</f>
        <v>0</v>
      </c>
      <c r="BX220" s="29">
        <v>60000000</v>
      </c>
      <c r="BY220" s="10"/>
      <c r="BZ220" s="10"/>
      <c r="CA220" s="10"/>
      <c r="CB220" s="26">
        <f>SUM(BY220:CA220)</f>
        <v>0</v>
      </c>
      <c r="CC220" s="26">
        <f>CB220+BX220</f>
        <v>60000000</v>
      </c>
      <c r="CD220" s="360"/>
      <c r="CE220" s="360"/>
      <c r="CF220" s="360"/>
      <c r="CG220" s="364">
        <f>SUM(CE220:CF220)</f>
        <v>0</v>
      </c>
      <c r="CH220" s="364">
        <f>CG220+CD220</f>
        <v>0</v>
      </c>
      <c r="CI220" s="360"/>
      <c r="CJ220" s="364">
        <f>CH220+CC220+BW220+BO220+CI220</f>
        <v>310000000</v>
      </c>
      <c r="CK220" s="364"/>
    </row>
    <row r="221" spans="1:89" s="8" customFormat="1" ht="24">
      <c r="A221" s="443"/>
      <c r="B221" s="333"/>
      <c r="C221" s="385"/>
      <c r="D221" s="383"/>
      <c r="E221" s="400"/>
      <c r="F221" s="400"/>
      <c r="G221" s="400"/>
      <c r="H221" s="400"/>
      <c r="I221" s="400"/>
      <c r="J221" s="400"/>
      <c r="K221" s="341"/>
      <c r="L221" s="341"/>
      <c r="M221" s="341"/>
      <c r="N221" s="341"/>
      <c r="O221" s="341"/>
      <c r="P221" s="341"/>
      <c r="Q221" s="341"/>
      <c r="R221" s="341"/>
      <c r="S221" s="341"/>
      <c r="T221" s="341"/>
      <c r="U221" s="341"/>
      <c r="V221" s="341"/>
      <c r="W221" s="341"/>
      <c r="X221" s="341"/>
      <c r="Y221" s="341"/>
      <c r="Z221" s="341"/>
      <c r="AA221" s="341"/>
      <c r="AB221" s="341"/>
      <c r="AC221" s="341"/>
      <c r="AD221" s="341"/>
      <c r="AE221" s="341"/>
      <c r="AF221" s="341"/>
      <c r="AG221" s="341"/>
      <c r="AH221" s="341"/>
      <c r="AI221" s="341"/>
      <c r="AJ221" s="341"/>
      <c r="AK221" s="341"/>
      <c r="AL221" s="341"/>
      <c r="AM221" s="400"/>
      <c r="AN221" s="400"/>
      <c r="AO221" s="13" t="s">
        <v>210</v>
      </c>
      <c r="AP221" s="162"/>
      <c r="AQ221" s="162"/>
      <c r="AR221" s="162"/>
      <c r="AS221" s="321"/>
      <c r="AT221" s="321"/>
      <c r="AU221" s="362"/>
      <c r="AV221" s="362"/>
      <c r="AW221" s="362"/>
      <c r="AX221" s="362"/>
      <c r="AY221" s="362"/>
      <c r="AZ221" s="362"/>
      <c r="BA221" s="362"/>
      <c r="BB221" s="362"/>
      <c r="BC221" s="362"/>
      <c r="BD221" s="362"/>
      <c r="BE221" s="362"/>
      <c r="BF221" s="362"/>
      <c r="BG221" s="362"/>
      <c r="BH221" s="362"/>
      <c r="BI221" s="362"/>
      <c r="BJ221" s="362"/>
      <c r="BK221" s="362"/>
      <c r="BL221" s="362"/>
      <c r="BM221" s="362"/>
      <c r="BN221" s="365"/>
      <c r="BO221" s="365"/>
      <c r="BP221" s="402"/>
      <c r="BQ221" s="362"/>
      <c r="BR221" s="362"/>
      <c r="BS221" s="362"/>
      <c r="BT221" s="362"/>
      <c r="BU221" s="362"/>
      <c r="BV221" s="26"/>
      <c r="BW221" s="26"/>
      <c r="BX221" s="29"/>
      <c r="BY221" s="10"/>
      <c r="BZ221" s="10"/>
      <c r="CA221" s="10"/>
      <c r="CB221" s="26"/>
      <c r="CC221" s="26"/>
      <c r="CD221" s="362"/>
      <c r="CE221" s="362"/>
      <c r="CF221" s="362"/>
      <c r="CG221" s="365"/>
      <c r="CH221" s="365"/>
      <c r="CI221" s="362"/>
      <c r="CJ221" s="365"/>
      <c r="CK221" s="365"/>
    </row>
    <row r="222" spans="1:89" s="8" customFormat="1" ht="48">
      <c r="A222" s="443"/>
      <c r="B222" s="333"/>
      <c r="C222" s="385"/>
      <c r="D222" s="383"/>
      <c r="E222" s="400"/>
      <c r="F222" s="400"/>
      <c r="G222" s="400"/>
      <c r="H222" s="400"/>
      <c r="I222" s="400"/>
      <c r="J222" s="400"/>
      <c r="K222" s="341"/>
      <c r="L222" s="341"/>
      <c r="M222" s="341"/>
      <c r="N222" s="341"/>
      <c r="O222" s="341"/>
      <c r="P222" s="341"/>
      <c r="Q222" s="341"/>
      <c r="R222" s="341"/>
      <c r="S222" s="341"/>
      <c r="T222" s="341"/>
      <c r="U222" s="341"/>
      <c r="V222" s="341"/>
      <c r="W222" s="341"/>
      <c r="X222" s="341"/>
      <c r="Y222" s="341"/>
      <c r="Z222" s="341"/>
      <c r="AA222" s="341"/>
      <c r="AB222" s="341"/>
      <c r="AC222" s="341"/>
      <c r="AD222" s="341"/>
      <c r="AE222" s="341"/>
      <c r="AF222" s="341"/>
      <c r="AG222" s="341"/>
      <c r="AH222" s="341"/>
      <c r="AI222" s="341"/>
      <c r="AJ222" s="341"/>
      <c r="AK222" s="341"/>
      <c r="AL222" s="341"/>
      <c r="AM222" s="400"/>
      <c r="AN222" s="400"/>
      <c r="AO222" s="13" t="s">
        <v>211</v>
      </c>
      <c r="AP222" s="162"/>
      <c r="AQ222" s="162"/>
      <c r="AR222" s="162"/>
      <c r="AS222" s="321"/>
      <c r="AT222" s="321"/>
      <c r="AU222" s="362"/>
      <c r="AV222" s="362"/>
      <c r="AW222" s="362"/>
      <c r="AX222" s="362"/>
      <c r="AY222" s="362"/>
      <c r="AZ222" s="362"/>
      <c r="BA222" s="362"/>
      <c r="BB222" s="362"/>
      <c r="BC222" s="362"/>
      <c r="BD222" s="362"/>
      <c r="BE222" s="362"/>
      <c r="BF222" s="362"/>
      <c r="BG222" s="362"/>
      <c r="BH222" s="362"/>
      <c r="BI222" s="362"/>
      <c r="BJ222" s="362"/>
      <c r="BK222" s="362"/>
      <c r="BL222" s="362"/>
      <c r="BM222" s="362"/>
      <c r="BN222" s="365"/>
      <c r="BO222" s="365"/>
      <c r="BP222" s="402"/>
      <c r="BQ222" s="362"/>
      <c r="BR222" s="362"/>
      <c r="BS222" s="362"/>
      <c r="BT222" s="362"/>
      <c r="BU222" s="362"/>
      <c r="BV222" s="26"/>
      <c r="BW222" s="26"/>
      <c r="BX222" s="29"/>
      <c r="BY222" s="10"/>
      <c r="BZ222" s="10"/>
      <c r="CA222" s="10"/>
      <c r="CB222" s="26"/>
      <c r="CC222" s="26"/>
      <c r="CD222" s="362"/>
      <c r="CE222" s="362"/>
      <c r="CF222" s="362"/>
      <c r="CG222" s="365"/>
      <c r="CH222" s="365"/>
      <c r="CI222" s="362"/>
      <c r="CJ222" s="365"/>
      <c r="CK222" s="365"/>
    </row>
    <row r="223" spans="1:89" s="8" customFormat="1" ht="36">
      <c r="A223" s="443"/>
      <c r="B223" s="333"/>
      <c r="C223" s="385"/>
      <c r="D223" s="396"/>
      <c r="E223" s="398"/>
      <c r="F223" s="398"/>
      <c r="G223" s="398"/>
      <c r="H223" s="398"/>
      <c r="I223" s="398"/>
      <c r="J223" s="398"/>
      <c r="K223" s="341"/>
      <c r="L223" s="341"/>
      <c r="M223" s="341"/>
      <c r="N223" s="341"/>
      <c r="O223" s="341"/>
      <c r="P223" s="341"/>
      <c r="Q223" s="341"/>
      <c r="R223" s="341"/>
      <c r="S223" s="341"/>
      <c r="T223" s="341"/>
      <c r="U223" s="341"/>
      <c r="V223" s="341"/>
      <c r="W223" s="341"/>
      <c r="X223" s="341"/>
      <c r="Y223" s="341"/>
      <c r="Z223" s="341"/>
      <c r="AA223" s="341"/>
      <c r="AB223" s="341"/>
      <c r="AC223" s="341"/>
      <c r="AD223" s="341"/>
      <c r="AE223" s="341"/>
      <c r="AF223" s="341"/>
      <c r="AG223" s="341"/>
      <c r="AH223" s="341"/>
      <c r="AI223" s="341"/>
      <c r="AJ223" s="341"/>
      <c r="AK223" s="341"/>
      <c r="AL223" s="341"/>
      <c r="AM223" s="398"/>
      <c r="AN223" s="398"/>
      <c r="AO223" s="13" t="s">
        <v>212</v>
      </c>
      <c r="AP223" s="162"/>
      <c r="AQ223" s="162"/>
      <c r="AR223" s="162"/>
      <c r="AS223" s="321"/>
      <c r="AT223" s="321"/>
      <c r="AU223" s="361"/>
      <c r="AV223" s="361"/>
      <c r="AW223" s="361"/>
      <c r="AX223" s="361"/>
      <c r="AY223" s="361"/>
      <c r="AZ223" s="361"/>
      <c r="BA223" s="361"/>
      <c r="BB223" s="361"/>
      <c r="BC223" s="361"/>
      <c r="BD223" s="361"/>
      <c r="BE223" s="361"/>
      <c r="BF223" s="361"/>
      <c r="BG223" s="361"/>
      <c r="BH223" s="361"/>
      <c r="BI223" s="361"/>
      <c r="BJ223" s="361"/>
      <c r="BK223" s="361"/>
      <c r="BL223" s="361"/>
      <c r="BM223" s="361"/>
      <c r="BN223" s="366"/>
      <c r="BO223" s="366"/>
      <c r="BP223" s="403"/>
      <c r="BQ223" s="361"/>
      <c r="BR223" s="361"/>
      <c r="BS223" s="361"/>
      <c r="BT223" s="361"/>
      <c r="BU223" s="361"/>
      <c r="BV223" s="26"/>
      <c r="BW223" s="26"/>
      <c r="BX223" s="29"/>
      <c r="BY223" s="10"/>
      <c r="BZ223" s="10"/>
      <c r="CA223" s="10"/>
      <c r="CB223" s="26"/>
      <c r="CC223" s="26"/>
      <c r="CD223" s="361"/>
      <c r="CE223" s="361"/>
      <c r="CF223" s="361"/>
      <c r="CG223" s="366"/>
      <c r="CH223" s="366"/>
      <c r="CI223" s="361"/>
      <c r="CJ223" s="366"/>
      <c r="CK223" s="366"/>
    </row>
    <row r="224" spans="1:89" s="8" customFormat="1" ht="72">
      <c r="A224" s="443"/>
      <c r="B224" s="333"/>
      <c r="C224" s="385"/>
      <c r="D224" s="382" t="s">
        <v>486</v>
      </c>
      <c r="E224" s="397"/>
      <c r="F224" s="397">
        <v>2</v>
      </c>
      <c r="G224" s="397"/>
      <c r="H224" s="397">
        <v>2</v>
      </c>
      <c r="I224" s="397"/>
      <c r="J224" s="397">
        <v>2</v>
      </c>
      <c r="K224" s="341"/>
      <c r="L224" s="341"/>
      <c r="M224" s="341"/>
      <c r="N224" s="341"/>
      <c r="O224" s="341"/>
      <c r="P224" s="341"/>
      <c r="Q224" s="341"/>
      <c r="R224" s="341"/>
      <c r="S224" s="341"/>
      <c r="T224" s="341"/>
      <c r="U224" s="341"/>
      <c r="V224" s="341"/>
      <c r="W224" s="341"/>
      <c r="X224" s="341"/>
      <c r="Y224" s="341"/>
      <c r="Z224" s="341"/>
      <c r="AA224" s="341"/>
      <c r="AB224" s="341"/>
      <c r="AC224" s="341"/>
      <c r="AD224" s="341"/>
      <c r="AE224" s="341"/>
      <c r="AF224" s="341"/>
      <c r="AG224" s="341"/>
      <c r="AH224" s="341"/>
      <c r="AI224" s="341"/>
      <c r="AJ224" s="341"/>
      <c r="AK224" s="341"/>
      <c r="AL224" s="341"/>
      <c r="AM224" s="397" t="s">
        <v>27</v>
      </c>
      <c r="AN224" s="397" t="s">
        <v>202</v>
      </c>
      <c r="AO224" s="13" t="s">
        <v>426</v>
      </c>
      <c r="AP224" s="162"/>
      <c r="AQ224" s="162"/>
      <c r="AR224" s="162"/>
      <c r="AS224" s="321"/>
      <c r="AT224" s="321"/>
      <c r="AU224" s="360"/>
      <c r="AV224" s="360"/>
      <c r="AW224" s="360"/>
      <c r="AX224" s="360"/>
      <c r="AY224" s="360"/>
      <c r="AZ224" s="360"/>
      <c r="BA224" s="360">
        <v>180000000</v>
      </c>
      <c r="BB224" s="360">
        <v>50000000</v>
      </c>
      <c r="BC224" s="360"/>
      <c r="BD224" s="360"/>
      <c r="BE224" s="360"/>
      <c r="BF224" s="360"/>
      <c r="BG224" s="360"/>
      <c r="BH224" s="360"/>
      <c r="BI224" s="360"/>
      <c r="BJ224" s="360"/>
      <c r="BK224" s="360"/>
      <c r="BL224" s="360"/>
      <c r="BM224" s="360"/>
      <c r="BN224" s="364">
        <f>SUM(BC224:BM224)</f>
        <v>0</v>
      </c>
      <c r="BO224" s="364">
        <f>BN224+BB224</f>
        <v>50000000</v>
      </c>
      <c r="BP224" s="401"/>
      <c r="BQ224" s="360"/>
      <c r="BR224" s="360"/>
      <c r="BS224" s="360"/>
      <c r="BT224" s="360"/>
      <c r="BU224" s="360"/>
      <c r="BV224" s="26">
        <f>SUM(BQ224:BU224)</f>
        <v>0</v>
      </c>
      <c r="BW224" s="26">
        <f>BV224+BP224</f>
        <v>0</v>
      </c>
      <c r="BX224" s="29">
        <v>30000000</v>
      </c>
      <c r="BY224" s="10"/>
      <c r="BZ224" s="10"/>
      <c r="CA224" s="10"/>
      <c r="CB224" s="26">
        <f>SUM(BY224:CA224)</f>
        <v>0</v>
      </c>
      <c r="CC224" s="26">
        <f>CB224+BX224</f>
        <v>30000000</v>
      </c>
      <c r="CD224" s="360"/>
      <c r="CE224" s="360"/>
      <c r="CF224" s="360"/>
      <c r="CG224" s="364">
        <f>SUM(CE224:CF224)</f>
        <v>0</v>
      </c>
      <c r="CH224" s="364">
        <f>CG224+CD224</f>
        <v>0</v>
      </c>
      <c r="CI224" s="360"/>
      <c r="CJ224" s="364">
        <f>CH224+CC224+BW224+BO224+CI224</f>
        <v>80000000</v>
      </c>
      <c r="CK224" s="364"/>
    </row>
    <row r="225" spans="1:89" s="8" customFormat="1" ht="48">
      <c r="A225" s="443"/>
      <c r="B225" s="333"/>
      <c r="C225" s="385"/>
      <c r="D225" s="383"/>
      <c r="E225" s="400"/>
      <c r="F225" s="400"/>
      <c r="G225" s="400"/>
      <c r="H225" s="400"/>
      <c r="I225" s="400"/>
      <c r="J225" s="400"/>
      <c r="K225" s="341"/>
      <c r="L225" s="341"/>
      <c r="M225" s="341"/>
      <c r="N225" s="341"/>
      <c r="O225" s="341"/>
      <c r="P225" s="341"/>
      <c r="Q225" s="341"/>
      <c r="R225" s="341"/>
      <c r="S225" s="341"/>
      <c r="T225" s="341"/>
      <c r="U225" s="341"/>
      <c r="V225" s="341"/>
      <c r="W225" s="341"/>
      <c r="X225" s="341"/>
      <c r="Y225" s="341"/>
      <c r="Z225" s="341"/>
      <c r="AA225" s="341"/>
      <c r="AB225" s="341"/>
      <c r="AC225" s="341"/>
      <c r="AD225" s="341"/>
      <c r="AE225" s="341"/>
      <c r="AF225" s="341"/>
      <c r="AG225" s="341"/>
      <c r="AH225" s="341"/>
      <c r="AI225" s="341"/>
      <c r="AJ225" s="341"/>
      <c r="AK225" s="341"/>
      <c r="AL225" s="341"/>
      <c r="AM225" s="400"/>
      <c r="AN225" s="400"/>
      <c r="AO225" s="13" t="s">
        <v>213</v>
      </c>
      <c r="AP225" s="162"/>
      <c r="AQ225" s="162"/>
      <c r="AR225" s="162"/>
      <c r="AS225" s="321"/>
      <c r="AT225" s="321"/>
      <c r="AU225" s="362"/>
      <c r="AV225" s="362"/>
      <c r="AW225" s="362"/>
      <c r="AX225" s="362"/>
      <c r="AY225" s="362"/>
      <c r="AZ225" s="362"/>
      <c r="BA225" s="362"/>
      <c r="BB225" s="362"/>
      <c r="BC225" s="362"/>
      <c r="BD225" s="362"/>
      <c r="BE225" s="362"/>
      <c r="BF225" s="362"/>
      <c r="BG225" s="362"/>
      <c r="BH225" s="362"/>
      <c r="BI225" s="362"/>
      <c r="BJ225" s="362"/>
      <c r="BK225" s="362"/>
      <c r="BL225" s="362"/>
      <c r="BM225" s="362"/>
      <c r="BN225" s="365"/>
      <c r="BO225" s="365"/>
      <c r="BP225" s="402"/>
      <c r="BQ225" s="362"/>
      <c r="BR225" s="362"/>
      <c r="BS225" s="362"/>
      <c r="BT225" s="362"/>
      <c r="BU225" s="362"/>
      <c r="BV225" s="26"/>
      <c r="BW225" s="26"/>
      <c r="BX225" s="29"/>
      <c r="BY225" s="10"/>
      <c r="BZ225" s="10"/>
      <c r="CA225" s="10"/>
      <c r="CB225" s="26"/>
      <c r="CC225" s="26"/>
      <c r="CD225" s="362"/>
      <c r="CE225" s="362"/>
      <c r="CF225" s="362"/>
      <c r="CG225" s="365"/>
      <c r="CH225" s="365"/>
      <c r="CI225" s="362"/>
      <c r="CJ225" s="365"/>
      <c r="CK225" s="365"/>
    </row>
    <row r="226" spans="1:89" s="8" customFormat="1" ht="36">
      <c r="A226" s="443"/>
      <c r="B226" s="333"/>
      <c r="C226" s="385"/>
      <c r="D226" s="383"/>
      <c r="E226" s="400"/>
      <c r="F226" s="400"/>
      <c r="G226" s="400"/>
      <c r="H226" s="400"/>
      <c r="I226" s="400"/>
      <c r="J226" s="400"/>
      <c r="K226" s="341"/>
      <c r="L226" s="341"/>
      <c r="M226" s="341"/>
      <c r="N226" s="341"/>
      <c r="O226" s="341"/>
      <c r="P226" s="341"/>
      <c r="Q226" s="341"/>
      <c r="R226" s="341"/>
      <c r="S226" s="341"/>
      <c r="T226" s="341"/>
      <c r="U226" s="341"/>
      <c r="V226" s="341"/>
      <c r="W226" s="341"/>
      <c r="X226" s="341"/>
      <c r="Y226" s="341"/>
      <c r="Z226" s="341"/>
      <c r="AA226" s="341"/>
      <c r="AB226" s="341"/>
      <c r="AC226" s="341"/>
      <c r="AD226" s="341"/>
      <c r="AE226" s="341"/>
      <c r="AF226" s="341"/>
      <c r="AG226" s="341"/>
      <c r="AH226" s="341"/>
      <c r="AI226" s="341"/>
      <c r="AJ226" s="341"/>
      <c r="AK226" s="341"/>
      <c r="AL226" s="341"/>
      <c r="AM226" s="400"/>
      <c r="AN226" s="400"/>
      <c r="AO226" s="13" t="s">
        <v>401</v>
      </c>
      <c r="AP226" s="162"/>
      <c r="AQ226" s="162"/>
      <c r="AR226" s="162"/>
      <c r="AS226" s="321"/>
      <c r="AT226" s="321"/>
      <c r="AU226" s="361"/>
      <c r="AV226" s="361"/>
      <c r="AW226" s="361"/>
      <c r="AX226" s="361"/>
      <c r="AY226" s="361"/>
      <c r="AZ226" s="361"/>
      <c r="BA226" s="361"/>
      <c r="BB226" s="361"/>
      <c r="BC226" s="361"/>
      <c r="BD226" s="361"/>
      <c r="BE226" s="361"/>
      <c r="BF226" s="361"/>
      <c r="BG226" s="361"/>
      <c r="BH226" s="361"/>
      <c r="BI226" s="361"/>
      <c r="BJ226" s="361"/>
      <c r="BK226" s="361"/>
      <c r="BL226" s="361"/>
      <c r="BM226" s="361"/>
      <c r="BN226" s="366"/>
      <c r="BO226" s="366"/>
      <c r="BP226" s="403"/>
      <c r="BQ226" s="361"/>
      <c r="BR226" s="361"/>
      <c r="BS226" s="361"/>
      <c r="BT226" s="361"/>
      <c r="BU226" s="361"/>
      <c r="BV226" s="26"/>
      <c r="BW226" s="26"/>
      <c r="BX226" s="29"/>
      <c r="BY226" s="10"/>
      <c r="BZ226" s="10"/>
      <c r="CA226" s="10"/>
      <c r="CB226" s="26"/>
      <c r="CC226" s="26"/>
      <c r="CD226" s="361"/>
      <c r="CE226" s="361"/>
      <c r="CF226" s="361"/>
      <c r="CG226" s="366"/>
      <c r="CH226" s="366"/>
      <c r="CI226" s="361"/>
      <c r="CJ226" s="366"/>
      <c r="CK226" s="366"/>
    </row>
    <row r="227" spans="1:89" s="4" customFormat="1" ht="60">
      <c r="A227" s="443"/>
      <c r="B227" s="333"/>
      <c r="C227" s="393" t="s">
        <v>425</v>
      </c>
      <c r="D227" s="388" t="s">
        <v>487</v>
      </c>
      <c r="E227" s="364"/>
      <c r="F227" s="364">
        <v>1</v>
      </c>
      <c r="G227" s="364">
        <v>1</v>
      </c>
      <c r="H227" s="364">
        <v>1</v>
      </c>
      <c r="I227" s="364"/>
      <c r="J227" s="322"/>
      <c r="K227" s="341"/>
      <c r="L227" s="341"/>
      <c r="M227" s="341"/>
      <c r="N227" s="341"/>
      <c r="O227" s="341"/>
      <c r="P227" s="341"/>
      <c r="Q227" s="341"/>
      <c r="R227" s="341"/>
      <c r="S227" s="341"/>
      <c r="T227" s="341"/>
      <c r="U227" s="341"/>
      <c r="V227" s="341"/>
      <c r="W227" s="341"/>
      <c r="X227" s="341"/>
      <c r="Y227" s="341"/>
      <c r="Z227" s="341"/>
      <c r="AA227" s="341"/>
      <c r="AB227" s="341"/>
      <c r="AC227" s="341"/>
      <c r="AD227" s="341"/>
      <c r="AE227" s="341"/>
      <c r="AF227" s="341"/>
      <c r="AG227" s="341"/>
      <c r="AH227" s="341"/>
      <c r="AI227" s="341"/>
      <c r="AJ227" s="341"/>
      <c r="AK227" s="341"/>
      <c r="AL227" s="341"/>
      <c r="AM227" s="364" t="s">
        <v>101</v>
      </c>
      <c r="AN227" s="322" t="s">
        <v>102</v>
      </c>
      <c r="AO227" s="127" t="s">
        <v>402</v>
      </c>
      <c r="AP227" s="97"/>
      <c r="AQ227" s="97"/>
      <c r="AR227" s="97"/>
      <c r="AS227" s="321">
        <v>919215635</v>
      </c>
      <c r="AT227" s="321">
        <v>0</v>
      </c>
      <c r="AU227" s="360">
        <v>162745588</v>
      </c>
      <c r="AV227" s="360">
        <v>0</v>
      </c>
      <c r="AW227" s="360">
        <v>115281914</v>
      </c>
      <c r="AX227" s="360">
        <v>0</v>
      </c>
      <c r="AY227" s="360" t="e">
        <f>#REF!+AU227+AW227</f>
        <v>#REF!</v>
      </c>
      <c r="AZ227" s="360">
        <f>AT227+AV227+AX227</f>
        <v>0</v>
      </c>
      <c r="BA227" s="341" t="e">
        <f>AY227+AZ227</f>
        <v>#REF!</v>
      </c>
      <c r="BB227" s="341">
        <v>50000000</v>
      </c>
      <c r="BC227" s="341"/>
      <c r="BD227" s="341"/>
      <c r="BE227" s="341"/>
      <c r="BF227" s="341"/>
      <c r="BG227" s="310"/>
      <c r="BH227" s="310"/>
      <c r="BI227" s="310"/>
      <c r="BJ227" s="310"/>
      <c r="BK227" s="310"/>
      <c r="BL227" s="310"/>
      <c r="BM227" s="310"/>
      <c r="BN227" s="310">
        <f>SUM(BC227:BM229)</f>
        <v>0</v>
      </c>
      <c r="BO227" s="310">
        <f>BN227+BB227</f>
        <v>50000000</v>
      </c>
      <c r="BP227" s="363">
        <v>234000000</v>
      </c>
      <c r="BQ227" s="341"/>
      <c r="BR227" s="341"/>
      <c r="BS227" s="341"/>
      <c r="BT227" s="341"/>
      <c r="BU227" s="341"/>
      <c r="BV227" s="310">
        <f>SUM(BQ227:BU229)</f>
        <v>0</v>
      </c>
      <c r="BW227" s="310">
        <f>BV227+BP227</f>
        <v>234000000</v>
      </c>
      <c r="BX227" s="341">
        <v>60000000</v>
      </c>
      <c r="BY227" s="341"/>
      <c r="BZ227" s="341"/>
      <c r="CA227" s="341"/>
      <c r="CB227" s="310">
        <f>SUM(BY227:CA229)</f>
        <v>0</v>
      </c>
      <c r="CC227" s="310">
        <f>CB227+BX227</f>
        <v>60000000</v>
      </c>
      <c r="CD227" s="341"/>
      <c r="CE227" s="341"/>
      <c r="CF227" s="341"/>
      <c r="CG227" s="310">
        <f>SUM(CE227:CF229)</f>
        <v>0</v>
      </c>
      <c r="CH227" s="310">
        <f>CG227+CD227</f>
        <v>0</v>
      </c>
      <c r="CI227" s="341"/>
      <c r="CJ227" s="310">
        <f>CH227+CC227+BW227+BO227+CI227</f>
        <v>344000000</v>
      </c>
      <c r="CK227" s="310"/>
    </row>
    <row r="228" spans="1:89" s="4" customFormat="1" ht="36">
      <c r="A228" s="443"/>
      <c r="B228" s="333"/>
      <c r="C228" s="394"/>
      <c r="D228" s="389"/>
      <c r="E228" s="365"/>
      <c r="F228" s="365"/>
      <c r="G228" s="365"/>
      <c r="H228" s="365"/>
      <c r="I228" s="365"/>
      <c r="J228" s="323"/>
      <c r="K228" s="341"/>
      <c r="L228" s="341"/>
      <c r="M228" s="341"/>
      <c r="N228" s="341"/>
      <c r="O228" s="341"/>
      <c r="P228" s="341"/>
      <c r="Q228" s="341"/>
      <c r="R228" s="341"/>
      <c r="S228" s="341"/>
      <c r="T228" s="341"/>
      <c r="U228" s="341"/>
      <c r="V228" s="341"/>
      <c r="W228" s="341"/>
      <c r="X228" s="341"/>
      <c r="Y228" s="341"/>
      <c r="Z228" s="341"/>
      <c r="AA228" s="341"/>
      <c r="AB228" s="341"/>
      <c r="AC228" s="341"/>
      <c r="AD228" s="341"/>
      <c r="AE228" s="341"/>
      <c r="AF228" s="341"/>
      <c r="AG228" s="341"/>
      <c r="AH228" s="341"/>
      <c r="AI228" s="341"/>
      <c r="AJ228" s="341"/>
      <c r="AK228" s="341"/>
      <c r="AL228" s="341"/>
      <c r="AM228" s="365"/>
      <c r="AN228" s="323"/>
      <c r="AO228" s="127" t="s">
        <v>403</v>
      </c>
      <c r="AP228" s="97"/>
      <c r="AQ228" s="97"/>
      <c r="AR228" s="97"/>
      <c r="AS228" s="321"/>
      <c r="AT228" s="321"/>
      <c r="AU228" s="362"/>
      <c r="AV228" s="362"/>
      <c r="AW228" s="362"/>
      <c r="AX228" s="362"/>
      <c r="AY228" s="362"/>
      <c r="AZ228" s="362"/>
      <c r="BA228" s="341"/>
      <c r="BB228" s="341"/>
      <c r="BC228" s="341"/>
      <c r="BD228" s="341"/>
      <c r="BE228" s="341"/>
      <c r="BF228" s="341"/>
      <c r="BG228" s="310"/>
      <c r="BH228" s="310"/>
      <c r="BI228" s="310"/>
      <c r="BJ228" s="310"/>
      <c r="BK228" s="310"/>
      <c r="BL228" s="310"/>
      <c r="BM228" s="310"/>
      <c r="BN228" s="310"/>
      <c r="BO228" s="310"/>
      <c r="BP228" s="363"/>
      <c r="BQ228" s="341"/>
      <c r="BR228" s="341"/>
      <c r="BS228" s="341"/>
      <c r="BT228" s="341"/>
      <c r="BU228" s="341"/>
      <c r="BV228" s="310"/>
      <c r="BW228" s="310"/>
      <c r="BX228" s="341"/>
      <c r="BY228" s="341"/>
      <c r="BZ228" s="341"/>
      <c r="CA228" s="341"/>
      <c r="CB228" s="310"/>
      <c r="CC228" s="310"/>
      <c r="CD228" s="341"/>
      <c r="CE228" s="341"/>
      <c r="CF228" s="341"/>
      <c r="CG228" s="310"/>
      <c r="CH228" s="310"/>
      <c r="CI228" s="341"/>
      <c r="CJ228" s="310"/>
      <c r="CK228" s="310"/>
    </row>
    <row r="229" spans="1:89" s="4" customFormat="1" ht="24">
      <c r="A229" s="443"/>
      <c r="B229" s="333"/>
      <c r="C229" s="394"/>
      <c r="D229" s="389"/>
      <c r="E229" s="365"/>
      <c r="F229" s="365"/>
      <c r="G229" s="365"/>
      <c r="H229" s="365"/>
      <c r="I229" s="365"/>
      <c r="J229" s="323"/>
      <c r="K229" s="341"/>
      <c r="L229" s="341"/>
      <c r="M229" s="341"/>
      <c r="N229" s="341"/>
      <c r="O229" s="341"/>
      <c r="P229" s="341"/>
      <c r="Q229" s="341"/>
      <c r="R229" s="341"/>
      <c r="S229" s="341"/>
      <c r="T229" s="341"/>
      <c r="U229" s="341"/>
      <c r="V229" s="341"/>
      <c r="W229" s="341"/>
      <c r="X229" s="341"/>
      <c r="Y229" s="341"/>
      <c r="Z229" s="341"/>
      <c r="AA229" s="341"/>
      <c r="AB229" s="341"/>
      <c r="AC229" s="341"/>
      <c r="AD229" s="341"/>
      <c r="AE229" s="341"/>
      <c r="AF229" s="341"/>
      <c r="AG229" s="341"/>
      <c r="AH229" s="341"/>
      <c r="AI229" s="341"/>
      <c r="AJ229" s="341"/>
      <c r="AK229" s="341"/>
      <c r="AL229" s="341"/>
      <c r="AM229" s="365"/>
      <c r="AN229" s="323"/>
      <c r="AO229" s="127" t="s">
        <v>404</v>
      </c>
      <c r="AP229" s="97"/>
      <c r="AQ229" s="97"/>
      <c r="AR229" s="97"/>
      <c r="AS229" s="321"/>
      <c r="AT229" s="321"/>
      <c r="AU229" s="361"/>
      <c r="AV229" s="361"/>
      <c r="AW229" s="361"/>
      <c r="AX229" s="361"/>
      <c r="AY229" s="361"/>
      <c r="AZ229" s="361"/>
      <c r="BA229" s="341"/>
      <c r="BB229" s="341"/>
      <c r="BC229" s="341"/>
      <c r="BD229" s="341"/>
      <c r="BE229" s="341"/>
      <c r="BF229" s="341"/>
      <c r="BG229" s="310"/>
      <c r="BH229" s="310"/>
      <c r="BI229" s="310"/>
      <c r="BJ229" s="310"/>
      <c r="BK229" s="310"/>
      <c r="BL229" s="310"/>
      <c r="BM229" s="310"/>
      <c r="BN229" s="310"/>
      <c r="BO229" s="310"/>
      <c r="BP229" s="363"/>
      <c r="BQ229" s="341"/>
      <c r="BR229" s="341"/>
      <c r="BS229" s="341"/>
      <c r="BT229" s="341"/>
      <c r="BU229" s="341"/>
      <c r="BV229" s="310"/>
      <c r="BW229" s="310"/>
      <c r="BX229" s="341"/>
      <c r="BY229" s="341"/>
      <c r="BZ229" s="341"/>
      <c r="CA229" s="341"/>
      <c r="CB229" s="310"/>
      <c r="CC229" s="310"/>
      <c r="CD229" s="341"/>
      <c r="CE229" s="341"/>
      <c r="CF229" s="341"/>
      <c r="CG229" s="310"/>
      <c r="CH229" s="310"/>
      <c r="CI229" s="341"/>
      <c r="CJ229" s="310"/>
      <c r="CK229" s="310"/>
    </row>
    <row r="230" spans="1:89" s="4" customFormat="1" ht="24">
      <c r="A230" s="443"/>
      <c r="B230" s="333"/>
      <c r="C230" s="394"/>
      <c r="D230" s="390"/>
      <c r="E230" s="366"/>
      <c r="F230" s="366"/>
      <c r="G230" s="366"/>
      <c r="H230" s="366"/>
      <c r="I230" s="366"/>
      <c r="J230" s="324"/>
      <c r="K230" s="341"/>
      <c r="L230" s="341"/>
      <c r="M230" s="341"/>
      <c r="N230" s="341"/>
      <c r="O230" s="341"/>
      <c r="P230" s="341"/>
      <c r="Q230" s="341"/>
      <c r="R230" s="341"/>
      <c r="S230" s="341"/>
      <c r="T230" s="341"/>
      <c r="U230" s="341"/>
      <c r="V230" s="341"/>
      <c r="W230" s="341"/>
      <c r="X230" s="341"/>
      <c r="Y230" s="341"/>
      <c r="Z230" s="341"/>
      <c r="AA230" s="341"/>
      <c r="AB230" s="341"/>
      <c r="AC230" s="341"/>
      <c r="AD230" s="341"/>
      <c r="AE230" s="341"/>
      <c r="AF230" s="341"/>
      <c r="AG230" s="341"/>
      <c r="AH230" s="341"/>
      <c r="AI230" s="341"/>
      <c r="AJ230" s="341"/>
      <c r="AK230" s="341"/>
      <c r="AL230" s="341"/>
      <c r="AM230" s="366"/>
      <c r="AN230" s="324"/>
      <c r="AO230" s="127" t="s">
        <v>405</v>
      </c>
      <c r="AP230" s="97"/>
      <c r="AQ230" s="97"/>
      <c r="AR230" s="97"/>
      <c r="AS230" s="321"/>
      <c r="AT230" s="71"/>
      <c r="AU230" s="117"/>
      <c r="AV230" s="117"/>
      <c r="AW230" s="117"/>
      <c r="AX230" s="117"/>
      <c r="AY230" s="117"/>
      <c r="AZ230" s="117"/>
      <c r="BA230" s="29"/>
      <c r="BB230" s="29"/>
      <c r="BC230" s="29"/>
      <c r="BD230" s="29"/>
      <c r="BE230" s="29"/>
      <c r="BF230" s="29"/>
      <c r="BG230" s="26"/>
      <c r="BH230" s="26"/>
      <c r="BI230" s="26"/>
      <c r="BJ230" s="26"/>
      <c r="BK230" s="26"/>
      <c r="BL230" s="26"/>
      <c r="BM230" s="26"/>
      <c r="BN230" s="26"/>
      <c r="BO230" s="26"/>
      <c r="BP230" s="134"/>
      <c r="BQ230" s="29"/>
      <c r="BR230" s="29"/>
      <c r="BS230" s="29"/>
      <c r="BT230" s="29"/>
      <c r="BU230" s="29"/>
      <c r="BV230" s="26"/>
      <c r="BW230" s="26"/>
      <c r="BX230" s="29"/>
      <c r="BY230" s="29"/>
      <c r="BZ230" s="29"/>
      <c r="CA230" s="29"/>
      <c r="CB230" s="26"/>
      <c r="CC230" s="26"/>
      <c r="CD230" s="29"/>
      <c r="CE230" s="29"/>
      <c r="CF230" s="29"/>
      <c r="CG230" s="26"/>
      <c r="CH230" s="26"/>
      <c r="CI230" s="29"/>
      <c r="CJ230" s="26"/>
      <c r="CK230" s="26"/>
    </row>
    <row r="231" spans="1:89" s="4" customFormat="1" ht="120">
      <c r="A231" s="443"/>
      <c r="B231" s="333"/>
      <c r="C231" s="394"/>
      <c r="D231" s="388" t="s">
        <v>419</v>
      </c>
      <c r="E231" s="364"/>
      <c r="F231" s="364">
        <v>1</v>
      </c>
      <c r="G231" s="364"/>
      <c r="H231" s="364">
        <v>1</v>
      </c>
      <c r="I231" s="364">
        <v>1</v>
      </c>
      <c r="J231" s="364"/>
      <c r="K231" s="341"/>
      <c r="L231" s="341"/>
      <c r="M231" s="341"/>
      <c r="N231" s="341"/>
      <c r="O231" s="341"/>
      <c r="P231" s="341"/>
      <c r="Q231" s="341"/>
      <c r="R231" s="341"/>
      <c r="S231" s="341"/>
      <c r="T231" s="341"/>
      <c r="U231" s="341"/>
      <c r="V231" s="341"/>
      <c r="W231" s="341"/>
      <c r="X231" s="341"/>
      <c r="Y231" s="341"/>
      <c r="Z231" s="341"/>
      <c r="AA231" s="341"/>
      <c r="AB231" s="341"/>
      <c r="AC231" s="341"/>
      <c r="AD231" s="341"/>
      <c r="AE231" s="341"/>
      <c r="AF231" s="341"/>
      <c r="AG231" s="341"/>
      <c r="AH231" s="341"/>
      <c r="AI231" s="341"/>
      <c r="AJ231" s="341"/>
      <c r="AK231" s="341"/>
      <c r="AL231" s="341"/>
      <c r="AM231" s="322" t="s">
        <v>101</v>
      </c>
      <c r="AN231" s="325" t="s">
        <v>119</v>
      </c>
      <c r="AO231" s="127" t="s">
        <v>406</v>
      </c>
      <c r="AP231" s="97"/>
      <c r="AQ231" s="97"/>
      <c r="AR231" s="97"/>
      <c r="AS231" s="321"/>
      <c r="AT231" s="321">
        <v>0</v>
      </c>
      <c r="AU231" s="360">
        <v>90919860</v>
      </c>
      <c r="AV231" s="360">
        <v>0</v>
      </c>
      <c r="AW231" s="360">
        <v>87484943</v>
      </c>
      <c r="AX231" s="360">
        <v>0</v>
      </c>
      <c r="AY231" s="360">
        <f>AS231+AU231+AW231</f>
        <v>178404803</v>
      </c>
      <c r="AZ231" s="360">
        <f>AT231+AV231+AX231</f>
        <v>0</v>
      </c>
      <c r="BA231" s="341">
        <f>AY231+AZ231</f>
        <v>178404803</v>
      </c>
      <c r="BB231" s="341">
        <v>30000000</v>
      </c>
      <c r="BC231" s="341"/>
      <c r="BD231" s="341"/>
      <c r="BE231" s="341"/>
      <c r="BF231" s="341"/>
      <c r="BG231" s="310"/>
      <c r="BH231" s="310"/>
      <c r="BI231" s="310"/>
      <c r="BJ231" s="310"/>
      <c r="BK231" s="310"/>
      <c r="BL231" s="310"/>
      <c r="BM231" s="310"/>
      <c r="BN231" s="310">
        <f>SUM(BC231:BM232)</f>
        <v>0</v>
      </c>
      <c r="BO231" s="310">
        <f>BN231+BB231</f>
        <v>30000000</v>
      </c>
      <c r="BP231" s="363"/>
      <c r="BQ231" s="341"/>
      <c r="BR231" s="341"/>
      <c r="BS231" s="341"/>
      <c r="BT231" s="341"/>
      <c r="BU231" s="341"/>
      <c r="BV231" s="310">
        <f>SUM(BQ231:BU232)</f>
        <v>0</v>
      </c>
      <c r="BW231" s="310">
        <f>BV231+BP231</f>
        <v>0</v>
      </c>
      <c r="BX231" s="341">
        <v>9000000</v>
      </c>
      <c r="BY231" s="341"/>
      <c r="BZ231" s="341"/>
      <c r="CA231" s="341"/>
      <c r="CB231" s="310">
        <f>SUM(BY231:CA232)</f>
        <v>0</v>
      </c>
      <c r="CC231" s="310">
        <f>CB231+BX231</f>
        <v>9000000</v>
      </c>
      <c r="CD231" s="341"/>
      <c r="CE231" s="341"/>
      <c r="CF231" s="341"/>
      <c r="CG231" s="310">
        <f>SUM(CE231:CF232)</f>
        <v>0</v>
      </c>
      <c r="CH231" s="310">
        <f>CG231+CD231</f>
        <v>0</v>
      </c>
      <c r="CI231" s="341"/>
      <c r="CJ231" s="310">
        <f>CH231+CC231+BW231+BO231+CI231</f>
        <v>39000000</v>
      </c>
      <c r="CK231" s="310"/>
    </row>
    <row r="232" spans="1:89" s="4" customFormat="1" ht="84">
      <c r="A232" s="443"/>
      <c r="B232" s="333"/>
      <c r="C232" s="394"/>
      <c r="D232" s="389"/>
      <c r="E232" s="365"/>
      <c r="F232" s="365"/>
      <c r="G232" s="365"/>
      <c r="H232" s="365"/>
      <c r="I232" s="365"/>
      <c r="J232" s="365"/>
      <c r="K232" s="341"/>
      <c r="L232" s="341"/>
      <c r="M232" s="341"/>
      <c r="N232" s="341"/>
      <c r="O232" s="341"/>
      <c r="P232" s="341"/>
      <c r="Q232" s="341"/>
      <c r="R232" s="341"/>
      <c r="S232" s="341"/>
      <c r="T232" s="341"/>
      <c r="U232" s="341"/>
      <c r="V232" s="341"/>
      <c r="W232" s="341"/>
      <c r="X232" s="341"/>
      <c r="Y232" s="341"/>
      <c r="Z232" s="341"/>
      <c r="AA232" s="341"/>
      <c r="AB232" s="341"/>
      <c r="AC232" s="341"/>
      <c r="AD232" s="341"/>
      <c r="AE232" s="341"/>
      <c r="AF232" s="341"/>
      <c r="AG232" s="341"/>
      <c r="AH232" s="341"/>
      <c r="AI232" s="341"/>
      <c r="AJ232" s="341"/>
      <c r="AK232" s="341"/>
      <c r="AL232" s="341"/>
      <c r="AM232" s="323"/>
      <c r="AN232" s="326"/>
      <c r="AO232" s="127" t="s">
        <v>407</v>
      </c>
      <c r="AP232" s="97"/>
      <c r="AQ232" s="97"/>
      <c r="AR232" s="97"/>
      <c r="AS232" s="321"/>
      <c r="AT232" s="321"/>
      <c r="AU232" s="361"/>
      <c r="AV232" s="361"/>
      <c r="AW232" s="361"/>
      <c r="AX232" s="361"/>
      <c r="AY232" s="361"/>
      <c r="AZ232" s="361"/>
      <c r="BA232" s="341"/>
      <c r="BB232" s="341"/>
      <c r="BC232" s="341"/>
      <c r="BD232" s="341"/>
      <c r="BE232" s="341"/>
      <c r="BF232" s="341"/>
      <c r="BG232" s="310"/>
      <c r="BH232" s="310"/>
      <c r="BI232" s="310"/>
      <c r="BJ232" s="310"/>
      <c r="BK232" s="310"/>
      <c r="BL232" s="310"/>
      <c r="BM232" s="310"/>
      <c r="BN232" s="310"/>
      <c r="BO232" s="310"/>
      <c r="BP232" s="363"/>
      <c r="BQ232" s="341"/>
      <c r="BR232" s="341"/>
      <c r="BS232" s="341"/>
      <c r="BT232" s="341"/>
      <c r="BU232" s="341"/>
      <c r="BV232" s="310"/>
      <c r="BW232" s="310"/>
      <c r="BX232" s="341"/>
      <c r="BY232" s="341"/>
      <c r="BZ232" s="341"/>
      <c r="CA232" s="341"/>
      <c r="CB232" s="310"/>
      <c r="CC232" s="310"/>
      <c r="CD232" s="341"/>
      <c r="CE232" s="341"/>
      <c r="CF232" s="341"/>
      <c r="CG232" s="310"/>
      <c r="CH232" s="310"/>
      <c r="CI232" s="341"/>
      <c r="CJ232" s="310"/>
      <c r="CK232" s="310"/>
    </row>
    <row r="233" spans="1:89" s="4" customFormat="1" ht="48">
      <c r="A233" s="443"/>
      <c r="B233" s="333"/>
      <c r="C233" s="394"/>
      <c r="D233" s="390"/>
      <c r="E233" s="366"/>
      <c r="F233" s="366"/>
      <c r="G233" s="366"/>
      <c r="H233" s="366"/>
      <c r="I233" s="366"/>
      <c r="J233" s="366"/>
      <c r="K233" s="341"/>
      <c r="L233" s="341"/>
      <c r="M233" s="341"/>
      <c r="N233" s="341"/>
      <c r="O233" s="341"/>
      <c r="P233" s="341"/>
      <c r="Q233" s="341"/>
      <c r="R233" s="341"/>
      <c r="S233" s="341"/>
      <c r="T233" s="341"/>
      <c r="U233" s="341"/>
      <c r="V233" s="341"/>
      <c r="W233" s="341"/>
      <c r="X233" s="341"/>
      <c r="Y233" s="341"/>
      <c r="Z233" s="341"/>
      <c r="AA233" s="341"/>
      <c r="AB233" s="341"/>
      <c r="AC233" s="341"/>
      <c r="AD233" s="341"/>
      <c r="AE233" s="341"/>
      <c r="AF233" s="341"/>
      <c r="AG233" s="341"/>
      <c r="AH233" s="341"/>
      <c r="AI233" s="341"/>
      <c r="AJ233" s="341"/>
      <c r="AK233" s="341"/>
      <c r="AL233" s="341"/>
      <c r="AM233" s="324"/>
      <c r="AN233" s="327"/>
      <c r="AO233" s="127" t="s">
        <v>408</v>
      </c>
      <c r="AP233" s="97"/>
      <c r="AQ233" s="97"/>
      <c r="AR233" s="97"/>
      <c r="AS233" s="321"/>
      <c r="AT233" s="71"/>
      <c r="AU233" s="117"/>
      <c r="AV233" s="117"/>
      <c r="AW233" s="117"/>
      <c r="AX233" s="117"/>
      <c r="AY233" s="117"/>
      <c r="AZ233" s="117"/>
      <c r="BA233" s="29"/>
      <c r="BB233" s="29"/>
      <c r="BC233" s="29"/>
      <c r="BD233" s="29"/>
      <c r="BE233" s="29"/>
      <c r="BF233" s="29"/>
      <c r="BG233" s="26"/>
      <c r="BH233" s="26"/>
      <c r="BI233" s="26"/>
      <c r="BJ233" s="26"/>
      <c r="BK233" s="26"/>
      <c r="BL233" s="26"/>
      <c r="BM233" s="26"/>
      <c r="BN233" s="26"/>
      <c r="BO233" s="26"/>
      <c r="BP233" s="134"/>
      <c r="BQ233" s="29"/>
      <c r="BR233" s="29"/>
      <c r="BS233" s="29"/>
      <c r="BT233" s="29"/>
      <c r="BU233" s="29"/>
      <c r="BV233" s="26"/>
      <c r="BW233" s="26"/>
      <c r="BX233" s="29"/>
      <c r="BY233" s="29"/>
      <c r="BZ233" s="29"/>
      <c r="CA233" s="29"/>
      <c r="CB233" s="26"/>
      <c r="CC233" s="26"/>
      <c r="CD233" s="29"/>
      <c r="CE233" s="29"/>
      <c r="CF233" s="29"/>
      <c r="CG233" s="26"/>
      <c r="CH233" s="26"/>
      <c r="CI233" s="29"/>
      <c r="CJ233" s="26"/>
      <c r="CK233" s="26"/>
    </row>
    <row r="234" spans="1:89" s="4" customFormat="1" ht="36">
      <c r="A234" s="443"/>
      <c r="B234" s="333"/>
      <c r="C234" s="394"/>
      <c r="D234" s="388" t="s">
        <v>488</v>
      </c>
      <c r="E234" s="364"/>
      <c r="F234" s="364">
        <v>1</v>
      </c>
      <c r="G234" s="364">
        <v>1</v>
      </c>
      <c r="H234" s="364"/>
      <c r="I234" s="364"/>
      <c r="J234" s="364"/>
      <c r="K234" s="341"/>
      <c r="L234" s="341"/>
      <c r="M234" s="341"/>
      <c r="N234" s="341"/>
      <c r="O234" s="341"/>
      <c r="P234" s="341"/>
      <c r="Q234" s="341"/>
      <c r="R234" s="341"/>
      <c r="S234" s="341"/>
      <c r="T234" s="341"/>
      <c r="U234" s="341"/>
      <c r="V234" s="341"/>
      <c r="W234" s="341"/>
      <c r="X234" s="341"/>
      <c r="Y234" s="341"/>
      <c r="Z234" s="341"/>
      <c r="AA234" s="341"/>
      <c r="AB234" s="341"/>
      <c r="AC234" s="341"/>
      <c r="AD234" s="341"/>
      <c r="AE234" s="341"/>
      <c r="AF234" s="341"/>
      <c r="AG234" s="341"/>
      <c r="AH234" s="341"/>
      <c r="AI234" s="341"/>
      <c r="AJ234" s="341"/>
      <c r="AK234" s="341"/>
      <c r="AL234" s="341"/>
      <c r="AM234" s="322" t="s">
        <v>27</v>
      </c>
      <c r="AN234" s="325" t="s">
        <v>120</v>
      </c>
      <c r="AO234" s="127" t="s">
        <v>409</v>
      </c>
      <c r="AP234" s="97"/>
      <c r="AQ234" s="97"/>
      <c r="AR234" s="97"/>
      <c r="AS234" s="321"/>
      <c r="AT234" s="391"/>
      <c r="AU234" s="386">
        <v>196471060</v>
      </c>
      <c r="AV234" s="386"/>
      <c r="AW234" s="386">
        <v>100516254</v>
      </c>
      <c r="AX234" s="386"/>
      <c r="AY234" s="360">
        <f>AS234+AU234+AW234</f>
        <v>296987314</v>
      </c>
      <c r="AZ234" s="360">
        <f>AT234+AV234+AX234</f>
        <v>0</v>
      </c>
      <c r="BA234" s="310">
        <f>AY234+AZ234</f>
        <v>296987314</v>
      </c>
      <c r="BB234" s="310">
        <v>40000000</v>
      </c>
      <c r="BC234" s="310"/>
      <c r="BD234" s="310"/>
      <c r="BE234" s="310"/>
      <c r="BF234" s="310"/>
      <c r="BG234" s="310"/>
      <c r="BH234" s="310"/>
      <c r="BI234" s="310"/>
      <c r="BJ234" s="310"/>
      <c r="BK234" s="310"/>
      <c r="BL234" s="310"/>
      <c r="BM234" s="310"/>
      <c r="BN234" s="310">
        <f>SUM(BC234:BM235)</f>
        <v>0</v>
      </c>
      <c r="BO234" s="310">
        <f>BN234+BB234</f>
        <v>40000000</v>
      </c>
      <c r="BP234" s="392"/>
      <c r="BQ234" s="310"/>
      <c r="BR234" s="310"/>
      <c r="BS234" s="310"/>
      <c r="BT234" s="310"/>
      <c r="BU234" s="310"/>
      <c r="BV234" s="310">
        <f>SUM(BQ234:BU235)</f>
        <v>0</v>
      </c>
      <c r="BW234" s="310">
        <f>BV234+BP234</f>
        <v>0</v>
      </c>
      <c r="BX234" s="310">
        <v>6000000</v>
      </c>
      <c r="BY234" s="310"/>
      <c r="BZ234" s="310"/>
      <c r="CA234" s="310"/>
      <c r="CB234" s="310">
        <f>SUM(BY234:CA235)</f>
        <v>0</v>
      </c>
      <c r="CC234" s="310">
        <f>CB234+BX234</f>
        <v>6000000</v>
      </c>
      <c r="CD234" s="310"/>
      <c r="CE234" s="310"/>
      <c r="CF234" s="310"/>
      <c r="CG234" s="310">
        <f>SUM(CE234:CF235)</f>
        <v>0</v>
      </c>
      <c r="CH234" s="310">
        <f>CG234+CD234</f>
        <v>0</v>
      </c>
      <c r="CI234" s="310"/>
      <c r="CJ234" s="310">
        <f>CH234+CC234+BW234+BO234+CI234</f>
        <v>46000000</v>
      </c>
      <c r="CK234" s="310"/>
    </row>
    <row r="235" spans="1:89" s="4" customFormat="1" ht="72">
      <c r="A235" s="443"/>
      <c r="B235" s="333"/>
      <c r="C235" s="394"/>
      <c r="D235" s="389"/>
      <c r="E235" s="365"/>
      <c r="F235" s="365"/>
      <c r="G235" s="365"/>
      <c r="H235" s="365"/>
      <c r="I235" s="365"/>
      <c r="J235" s="365"/>
      <c r="K235" s="341"/>
      <c r="L235" s="341"/>
      <c r="M235" s="341"/>
      <c r="N235" s="341"/>
      <c r="O235" s="341"/>
      <c r="P235" s="341"/>
      <c r="Q235" s="341"/>
      <c r="R235" s="341"/>
      <c r="S235" s="341"/>
      <c r="T235" s="341"/>
      <c r="U235" s="341"/>
      <c r="V235" s="341"/>
      <c r="W235" s="341"/>
      <c r="X235" s="341"/>
      <c r="Y235" s="341"/>
      <c r="Z235" s="341"/>
      <c r="AA235" s="341"/>
      <c r="AB235" s="341"/>
      <c r="AC235" s="341"/>
      <c r="AD235" s="341"/>
      <c r="AE235" s="341"/>
      <c r="AF235" s="341"/>
      <c r="AG235" s="341"/>
      <c r="AH235" s="341"/>
      <c r="AI235" s="341"/>
      <c r="AJ235" s="341"/>
      <c r="AK235" s="341"/>
      <c r="AL235" s="341"/>
      <c r="AM235" s="323"/>
      <c r="AN235" s="326"/>
      <c r="AO235" s="127" t="s">
        <v>410</v>
      </c>
      <c r="AP235" s="97"/>
      <c r="AQ235" s="97"/>
      <c r="AR235" s="97"/>
      <c r="AS235" s="321"/>
      <c r="AT235" s="391"/>
      <c r="AU235" s="387"/>
      <c r="AV235" s="387"/>
      <c r="AW235" s="387"/>
      <c r="AX235" s="387"/>
      <c r="AY235" s="361"/>
      <c r="AZ235" s="361"/>
      <c r="BA235" s="310"/>
      <c r="BB235" s="310"/>
      <c r="BC235" s="310"/>
      <c r="BD235" s="310"/>
      <c r="BE235" s="310"/>
      <c r="BF235" s="310"/>
      <c r="BG235" s="310"/>
      <c r="BH235" s="310"/>
      <c r="BI235" s="310"/>
      <c r="BJ235" s="310"/>
      <c r="BK235" s="310"/>
      <c r="BL235" s="310"/>
      <c r="BM235" s="310"/>
      <c r="BN235" s="310"/>
      <c r="BO235" s="310"/>
      <c r="BP235" s="392"/>
      <c r="BQ235" s="310"/>
      <c r="BR235" s="310"/>
      <c r="BS235" s="310"/>
      <c r="BT235" s="310"/>
      <c r="BU235" s="310"/>
      <c r="BV235" s="310"/>
      <c r="BW235" s="310"/>
      <c r="BX235" s="310"/>
      <c r="BY235" s="310"/>
      <c r="BZ235" s="310"/>
      <c r="CA235" s="310"/>
      <c r="CB235" s="310"/>
      <c r="CC235" s="310"/>
      <c r="CD235" s="310"/>
      <c r="CE235" s="310"/>
      <c r="CF235" s="310"/>
      <c r="CG235" s="310"/>
      <c r="CH235" s="310"/>
      <c r="CI235" s="310"/>
      <c r="CJ235" s="310"/>
      <c r="CK235" s="310"/>
    </row>
    <row r="236" spans="1:89" s="4" customFormat="1" ht="24">
      <c r="A236" s="443"/>
      <c r="B236" s="333"/>
      <c r="C236" s="394"/>
      <c r="D236" s="389"/>
      <c r="E236" s="365"/>
      <c r="F236" s="365"/>
      <c r="G236" s="365"/>
      <c r="H236" s="365"/>
      <c r="I236" s="365"/>
      <c r="J236" s="365"/>
      <c r="K236" s="341"/>
      <c r="L236" s="341"/>
      <c r="M236" s="341"/>
      <c r="N236" s="341"/>
      <c r="O236" s="341"/>
      <c r="P236" s="341"/>
      <c r="Q236" s="341"/>
      <c r="R236" s="341"/>
      <c r="S236" s="341"/>
      <c r="T236" s="341"/>
      <c r="U236" s="341"/>
      <c r="V236" s="341"/>
      <c r="W236" s="341"/>
      <c r="X236" s="341"/>
      <c r="Y236" s="341"/>
      <c r="Z236" s="341"/>
      <c r="AA236" s="341"/>
      <c r="AB236" s="341"/>
      <c r="AC236" s="341"/>
      <c r="AD236" s="341"/>
      <c r="AE236" s="341"/>
      <c r="AF236" s="341"/>
      <c r="AG236" s="341"/>
      <c r="AH236" s="341"/>
      <c r="AI236" s="341"/>
      <c r="AJ236" s="341"/>
      <c r="AK236" s="341"/>
      <c r="AL236" s="341"/>
      <c r="AM236" s="323"/>
      <c r="AN236" s="326"/>
      <c r="AO236" s="127" t="s">
        <v>411</v>
      </c>
      <c r="AP236" s="97"/>
      <c r="AQ236" s="97"/>
      <c r="AR236" s="97"/>
      <c r="AS236" s="321"/>
      <c r="AT236" s="17"/>
      <c r="AU236" s="132"/>
      <c r="AV236" s="132"/>
      <c r="AW236" s="132"/>
      <c r="AX236" s="132"/>
      <c r="AY236" s="118"/>
      <c r="AZ236" s="118"/>
      <c r="BA236" s="26"/>
      <c r="BB236" s="26"/>
      <c r="BC236" s="26"/>
      <c r="BD236" s="26"/>
      <c r="BE236" s="26"/>
      <c r="BF236" s="26"/>
      <c r="BG236" s="26"/>
      <c r="BH236" s="26"/>
      <c r="BI236" s="26"/>
      <c r="BJ236" s="26"/>
      <c r="BK236" s="26"/>
      <c r="BL236" s="26"/>
      <c r="BM236" s="26"/>
      <c r="BN236" s="26"/>
      <c r="BO236" s="26"/>
      <c r="BP236" s="133"/>
      <c r="BQ236" s="26"/>
      <c r="BR236" s="26"/>
      <c r="BS236" s="26"/>
      <c r="BT236" s="26"/>
      <c r="BU236" s="26"/>
      <c r="BV236" s="26"/>
      <c r="BW236" s="26"/>
      <c r="BX236" s="26"/>
      <c r="BY236" s="26"/>
      <c r="BZ236" s="26"/>
      <c r="CA236" s="26"/>
      <c r="CB236" s="26"/>
      <c r="CC236" s="26"/>
      <c r="CD236" s="26"/>
      <c r="CE236" s="26"/>
      <c r="CF236" s="26"/>
      <c r="CG236" s="26"/>
      <c r="CH236" s="26"/>
      <c r="CI236" s="26"/>
      <c r="CJ236" s="26"/>
      <c r="CK236" s="26"/>
    </row>
    <row r="237" spans="1:89" s="4" customFormat="1" ht="24">
      <c r="A237" s="443"/>
      <c r="B237" s="334"/>
      <c r="C237" s="395"/>
      <c r="D237" s="390"/>
      <c r="E237" s="366"/>
      <c r="F237" s="366"/>
      <c r="G237" s="366"/>
      <c r="H237" s="366"/>
      <c r="I237" s="366"/>
      <c r="J237" s="366"/>
      <c r="K237" s="341"/>
      <c r="L237" s="341"/>
      <c r="M237" s="341"/>
      <c r="N237" s="341"/>
      <c r="O237" s="341"/>
      <c r="P237" s="341"/>
      <c r="Q237" s="341"/>
      <c r="R237" s="341"/>
      <c r="S237" s="341"/>
      <c r="T237" s="341"/>
      <c r="U237" s="341"/>
      <c r="V237" s="341"/>
      <c r="W237" s="341"/>
      <c r="X237" s="341"/>
      <c r="Y237" s="341"/>
      <c r="Z237" s="341"/>
      <c r="AA237" s="341"/>
      <c r="AB237" s="341"/>
      <c r="AC237" s="341"/>
      <c r="AD237" s="341"/>
      <c r="AE237" s="341"/>
      <c r="AF237" s="341"/>
      <c r="AG237" s="341"/>
      <c r="AH237" s="341"/>
      <c r="AI237" s="341"/>
      <c r="AJ237" s="341"/>
      <c r="AK237" s="341"/>
      <c r="AL237" s="341"/>
      <c r="AM237" s="324"/>
      <c r="AN237" s="327"/>
      <c r="AO237" s="127" t="s">
        <v>405</v>
      </c>
      <c r="AP237" s="97"/>
      <c r="AQ237" s="97"/>
      <c r="AR237" s="97"/>
      <c r="AS237" s="321"/>
      <c r="AT237" s="17"/>
      <c r="AU237" s="132"/>
      <c r="AV237" s="132"/>
      <c r="AW237" s="132"/>
      <c r="AX237" s="132"/>
      <c r="AY237" s="118"/>
      <c r="AZ237" s="118"/>
      <c r="BA237" s="26"/>
      <c r="BB237" s="26"/>
      <c r="BC237" s="26"/>
      <c r="BD237" s="26"/>
      <c r="BE237" s="26"/>
      <c r="BF237" s="26"/>
      <c r="BG237" s="26"/>
      <c r="BH237" s="26"/>
      <c r="BI237" s="26"/>
      <c r="BJ237" s="26"/>
      <c r="BK237" s="26"/>
      <c r="BL237" s="26"/>
      <c r="BM237" s="26"/>
      <c r="BN237" s="26"/>
      <c r="BO237" s="26"/>
      <c r="BP237" s="133"/>
      <c r="BQ237" s="26"/>
      <c r="BR237" s="26"/>
      <c r="BS237" s="26"/>
      <c r="BT237" s="26"/>
      <c r="BU237" s="26"/>
      <c r="BV237" s="26"/>
      <c r="BW237" s="26"/>
      <c r="BX237" s="26"/>
      <c r="BY237" s="26"/>
      <c r="BZ237" s="26"/>
      <c r="CA237" s="26"/>
      <c r="CB237" s="26"/>
      <c r="CC237" s="26"/>
      <c r="CD237" s="26"/>
      <c r="CE237" s="26"/>
      <c r="CF237" s="26"/>
      <c r="CG237" s="26"/>
      <c r="CH237" s="26"/>
      <c r="CI237" s="26"/>
      <c r="CJ237" s="26"/>
      <c r="CK237" s="26"/>
    </row>
    <row r="238" spans="1:89" s="50" customFormat="1">
      <c r="A238" s="444"/>
      <c r="B238" s="437" t="s">
        <v>139</v>
      </c>
      <c r="C238" s="437"/>
      <c r="D238" s="437"/>
      <c r="E238" s="53"/>
      <c r="F238" s="53"/>
      <c r="G238" s="53"/>
      <c r="H238" s="53"/>
      <c r="I238" s="53"/>
      <c r="J238" s="5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53"/>
      <c r="AN238" s="53"/>
      <c r="AO238" s="139">
        <v>4197988722</v>
      </c>
      <c r="AP238" s="139"/>
      <c r="AQ238" s="139"/>
      <c r="AR238" s="139"/>
      <c r="AS238" s="45">
        <f>SUM(AS190:AS237)</f>
        <v>3025875900</v>
      </c>
      <c r="AT238" s="45"/>
      <c r="AU238" s="45"/>
      <c r="AV238" s="45"/>
      <c r="AW238" s="45"/>
      <c r="AX238" s="45"/>
      <c r="AY238" s="43"/>
      <c r="AZ238" s="43"/>
      <c r="BA238" s="45" t="e">
        <f>SUM(BA190:BA237)</f>
        <v>#REF!</v>
      </c>
      <c r="BB238" s="45">
        <f t="shared" ref="BB238:BN238" si="15">SUM(BB190:BB224)</f>
        <v>3889094216</v>
      </c>
      <c r="BC238" s="45">
        <f t="shared" si="15"/>
        <v>0</v>
      </c>
      <c r="BD238" s="45">
        <f t="shared" si="15"/>
        <v>0</v>
      </c>
      <c r="BE238" s="45">
        <f t="shared" si="15"/>
        <v>0</v>
      </c>
      <c r="BF238" s="45">
        <f t="shared" si="15"/>
        <v>0</v>
      </c>
      <c r="BG238" s="45">
        <f t="shared" si="15"/>
        <v>0</v>
      </c>
      <c r="BH238" s="45">
        <f t="shared" si="15"/>
        <v>0</v>
      </c>
      <c r="BI238" s="45">
        <f t="shared" si="15"/>
        <v>0</v>
      </c>
      <c r="BJ238" s="45">
        <f t="shared" si="15"/>
        <v>0</v>
      </c>
      <c r="BK238" s="45">
        <f t="shared" si="15"/>
        <v>0</v>
      </c>
      <c r="BL238" s="45">
        <f t="shared" si="15"/>
        <v>0</v>
      </c>
      <c r="BM238" s="45">
        <f t="shared" si="15"/>
        <v>0</v>
      </c>
      <c r="BN238" s="45">
        <f t="shared" si="15"/>
        <v>0</v>
      </c>
      <c r="BO238" s="28">
        <f>SUM(BO190:BO224)</f>
        <v>3889094216</v>
      </c>
      <c r="BP238" s="45">
        <f>SUM(BP190:BP224)</f>
        <v>568282220</v>
      </c>
      <c r="BQ238" s="45">
        <f t="shared" ref="BQ238:BW238" si="16">SUM(BQ190:BQ224)</f>
        <v>0</v>
      </c>
      <c r="BR238" s="45">
        <f t="shared" si="16"/>
        <v>0</v>
      </c>
      <c r="BS238" s="45">
        <f t="shared" si="16"/>
        <v>0</v>
      </c>
      <c r="BT238" s="45">
        <f t="shared" si="16"/>
        <v>0</v>
      </c>
      <c r="BU238" s="45">
        <f t="shared" si="16"/>
        <v>0</v>
      </c>
      <c r="BV238" s="45">
        <f t="shared" si="16"/>
        <v>0</v>
      </c>
      <c r="BW238" s="45">
        <f t="shared" si="16"/>
        <v>568282220</v>
      </c>
      <c r="BX238" s="45">
        <f t="shared" ref="BX238:CK238" si="17">SUM(BX190:BX224)</f>
        <v>870000000</v>
      </c>
      <c r="BY238" s="45">
        <f t="shared" si="17"/>
        <v>0</v>
      </c>
      <c r="BZ238" s="45">
        <f t="shared" si="17"/>
        <v>0</v>
      </c>
      <c r="CA238" s="45">
        <f t="shared" si="17"/>
        <v>0</v>
      </c>
      <c r="CB238" s="45">
        <f t="shared" si="17"/>
        <v>0</v>
      </c>
      <c r="CC238" s="45">
        <f t="shared" si="17"/>
        <v>870000000</v>
      </c>
      <c r="CD238" s="45">
        <f t="shared" si="17"/>
        <v>180000000</v>
      </c>
      <c r="CE238" s="45">
        <f t="shared" si="17"/>
        <v>158000000</v>
      </c>
      <c r="CF238" s="45">
        <f t="shared" si="17"/>
        <v>150000000</v>
      </c>
      <c r="CG238" s="45">
        <f t="shared" si="17"/>
        <v>308000000</v>
      </c>
      <c r="CH238" s="45">
        <f t="shared" si="17"/>
        <v>488000000</v>
      </c>
      <c r="CI238" s="45">
        <f>SUM(CI190:CI224)</f>
        <v>0</v>
      </c>
      <c r="CJ238" s="45">
        <f t="shared" si="17"/>
        <v>5815376436</v>
      </c>
      <c r="CK238" s="69">
        <f t="shared" si="17"/>
        <v>0</v>
      </c>
    </row>
    <row r="239" spans="1:89" s="6" customFormat="1">
      <c r="A239" s="427" t="s">
        <v>140</v>
      </c>
      <c r="B239" s="427"/>
      <c r="C239" s="427"/>
      <c r="D239" s="427"/>
      <c r="E239" s="54"/>
      <c r="F239" s="54"/>
      <c r="G239" s="54"/>
      <c r="H239" s="54"/>
      <c r="I239" s="54"/>
      <c r="J239" s="54"/>
      <c r="K239" s="56"/>
      <c r="L239" s="56"/>
      <c r="M239" s="56"/>
      <c r="N239" s="56"/>
      <c r="O239" s="56"/>
      <c r="P239" s="56"/>
      <c r="Q239" s="56"/>
      <c r="R239" s="56"/>
      <c r="S239" s="56"/>
      <c r="T239" s="56"/>
      <c r="U239" s="56"/>
      <c r="V239" s="56"/>
      <c r="W239" s="56"/>
      <c r="X239" s="56"/>
      <c r="Y239" s="56"/>
      <c r="Z239" s="56"/>
      <c r="AA239" s="56"/>
      <c r="AB239" s="56"/>
      <c r="AC239" s="56"/>
      <c r="AD239" s="56"/>
      <c r="AE239" s="56"/>
      <c r="AF239" s="56"/>
      <c r="AG239" s="56"/>
      <c r="AH239" s="56"/>
      <c r="AI239" s="56"/>
      <c r="AJ239" s="56"/>
      <c r="AK239" s="56"/>
      <c r="AL239" s="56"/>
      <c r="AM239" s="103"/>
      <c r="AN239" s="103"/>
      <c r="AO239" s="55"/>
      <c r="AP239" s="171"/>
      <c r="AQ239" s="171"/>
      <c r="AR239" s="171"/>
      <c r="AS239" s="149" t="s">
        <v>447</v>
      </c>
      <c r="AT239" s="149"/>
      <c r="AU239" s="57"/>
      <c r="AV239" s="57"/>
      <c r="AW239" s="57"/>
      <c r="AX239" s="72"/>
      <c r="AY239" s="56"/>
      <c r="AZ239" s="56"/>
      <c r="BA239" s="57" t="e">
        <f t="shared" ref="BA239:CK239" si="18">BA238+BA189+BA161+BA127+BA81+BA46</f>
        <v>#REF!</v>
      </c>
      <c r="BB239" s="57">
        <f t="shared" si="18"/>
        <v>21194101956</v>
      </c>
      <c r="BC239" s="57">
        <f t="shared" si="18"/>
        <v>0</v>
      </c>
      <c r="BD239" s="57">
        <f t="shared" si="18"/>
        <v>0</v>
      </c>
      <c r="BE239" s="57">
        <f t="shared" si="18"/>
        <v>0</v>
      </c>
      <c r="BF239" s="57">
        <f t="shared" si="18"/>
        <v>0</v>
      </c>
      <c r="BG239" s="57">
        <f t="shared" si="18"/>
        <v>0</v>
      </c>
      <c r="BH239" s="57">
        <f t="shared" si="18"/>
        <v>0</v>
      </c>
      <c r="BI239" s="57">
        <f t="shared" si="18"/>
        <v>0</v>
      </c>
      <c r="BJ239" s="57">
        <f t="shared" si="18"/>
        <v>0</v>
      </c>
      <c r="BK239" s="57">
        <f t="shared" si="18"/>
        <v>0</v>
      </c>
      <c r="BL239" s="57">
        <f t="shared" si="18"/>
        <v>0</v>
      </c>
      <c r="BM239" s="57">
        <f t="shared" si="18"/>
        <v>0</v>
      </c>
      <c r="BN239" s="57">
        <f t="shared" si="18"/>
        <v>0</v>
      </c>
      <c r="BO239" s="57">
        <f t="shared" si="18"/>
        <v>21194101956</v>
      </c>
      <c r="BP239" s="57">
        <f t="shared" si="18"/>
        <v>8884000000</v>
      </c>
      <c r="BQ239" s="57">
        <f t="shared" si="18"/>
        <v>0</v>
      </c>
      <c r="BR239" s="57">
        <f t="shared" si="18"/>
        <v>0</v>
      </c>
      <c r="BS239" s="57">
        <f t="shared" si="18"/>
        <v>0</v>
      </c>
      <c r="BT239" s="57">
        <f t="shared" si="18"/>
        <v>0</v>
      </c>
      <c r="BU239" s="57">
        <f t="shared" si="18"/>
        <v>0</v>
      </c>
      <c r="BV239" s="57">
        <f t="shared" si="18"/>
        <v>0</v>
      </c>
      <c r="BW239" s="57">
        <f t="shared" si="18"/>
        <v>8884000000</v>
      </c>
      <c r="BX239" s="57">
        <f t="shared" si="18"/>
        <v>7318722625</v>
      </c>
      <c r="BY239" s="57">
        <f t="shared" si="18"/>
        <v>0</v>
      </c>
      <c r="BZ239" s="57">
        <f t="shared" si="18"/>
        <v>0</v>
      </c>
      <c r="CA239" s="57">
        <f t="shared" si="18"/>
        <v>0</v>
      </c>
      <c r="CB239" s="57">
        <f t="shared" si="18"/>
        <v>0</v>
      </c>
      <c r="CC239" s="57">
        <f t="shared" si="18"/>
        <v>7318722625</v>
      </c>
      <c r="CD239" s="57">
        <f t="shared" si="18"/>
        <v>2860000000</v>
      </c>
      <c r="CE239" s="57">
        <f t="shared" si="18"/>
        <v>581000000</v>
      </c>
      <c r="CF239" s="57">
        <f t="shared" si="18"/>
        <v>1099000000</v>
      </c>
      <c r="CG239" s="57">
        <f t="shared" si="18"/>
        <v>1680000000</v>
      </c>
      <c r="CH239" s="57">
        <f t="shared" si="18"/>
        <v>4540000000</v>
      </c>
      <c r="CI239" s="57">
        <f t="shared" si="18"/>
        <v>185350000</v>
      </c>
      <c r="CJ239" s="57">
        <f t="shared" si="18"/>
        <v>42122174581</v>
      </c>
      <c r="CK239" s="57">
        <f t="shared" si="18"/>
        <v>0</v>
      </c>
    </row>
    <row r="240" spans="1:89" s="2" customFormat="1">
      <c r="B240" s="1"/>
      <c r="C240" s="1"/>
      <c r="E240" s="7"/>
      <c r="F240" s="7"/>
      <c r="G240" s="7"/>
      <c r="H240" s="7"/>
      <c r="I240" s="7"/>
      <c r="J240" s="7"/>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7"/>
      <c r="AN240" s="108"/>
      <c r="AP240" s="164"/>
      <c r="AQ240" s="164"/>
      <c r="AR240" s="164"/>
      <c r="AS240" s="143"/>
      <c r="AT240" s="143"/>
      <c r="AU240" s="36"/>
      <c r="AV240" s="36"/>
      <c r="AW240" s="47"/>
      <c r="AX240" s="88"/>
      <c r="AY240" s="11"/>
      <c r="AZ240" s="11"/>
      <c r="BA240" s="47"/>
      <c r="BB240" s="47"/>
      <c r="BC240" s="25"/>
      <c r="BD240" s="25"/>
      <c r="BE240" s="25"/>
      <c r="BF240" s="25"/>
      <c r="BG240" s="19"/>
      <c r="BH240" s="19"/>
      <c r="BI240" s="19"/>
      <c r="BJ240" s="19"/>
      <c r="BK240" s="19"/>
      <c r="BL240" s="19"/>
      <c r="BM240" s="19"/>
      <c r="BN240" s="36"/>
      <c r="BO240" s="36"/>
      <c r="BP240" s="47"/>
      <c r="BQ240" s="25"/>
      <c r="BR240" s="25"/>
      <c r="BS240" s="25"/>
      <c r="BT240" s="25"/>
      <c r="BU240" s="25"/>
      <c r="BV240" s="36"/>
      <c r="BW240" s="36"/>
      <c r="BX240" s="47"/>
      <c r="BY240" s="25"/>
      <c r="BZ240" s="25"/>
      <c r="CA240" s="25"/>
      <c r="CB240" s="36"/>
      <c r="CC240" s="36"/>
      <c r="CD240" s="47"/>
      <c r="CE240" s="25"/>
      <c r="CF240" s="25"/>
      <c r="CG240" s="36"/>
      <c r="CH240" s="36"/>
      <c r="CI240" s="25"/>
    </row>
    <row r="241" spans="2:87" s="2" customFormat="1">
      <c r="B241" s="1"/>
      <c r="C241" s="1"/>
      <c r="E241" s="7"/>
      <c r="F241" s="7"/>
      <c r="G241" s="7"/>
      <c r="H241" s="7"/>
      <c r="I241" s="7"/>
      <c r="J241" s="7"/>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7"/>
      <c r="AN241" s="108"/>
      <c r="AP241" s="164"/>
      <c r="AQ241" s="164"/>
      <c r="AR241" s="164"/>
      <c r="AS241" s="143"/>
      <c r="AT241" s="143"/>
      <c r="AU241" s="36"/>
      <c r="AV241" s="36"/>
      <c r="AW241" s="47"/>
      <c r="AX241" s="88"/>
      <c r="AY241" s="11"/>
      <c r="AZ241" s="11"/>
      <c r="BA241" s="89"/>
      <c r="BB241" s="47"/>
      <c r="BC241" s="25"/>
      <c r="BD241" s="25"/>
      <c r="BE241" s="25"/>
      <c r="BF241" s="25"/>
      <c r="BG241" s="19"/>
      <c r="BH241" s="19"/>
      <c r="BI241" s="19"/>
      <c r="BJ241" s="19"/>
      <c r="BK241" s="19"/>
      <c r="BL241" s="19"/>
      <c r="BM241" s="19"/>
      <c r="BN241" s="36"/>
      <c r="BO241" s="36"/>
      <c r="BP241" s="47"/>
      <c r="BQ241" s="25"/>
      <c r="BR241" s="25"/>
      <c r="BS241" s="25"/>
      <c r="BT241" s="25"/>
      <c r="BU241" s="25"/>
      <c r="BV241" s="36"/>
      <c r="BW241" s="36"/>
      <c r="BX241" s="47"/>
      <c r="BY241" s="25"/>
      <c r="BZ241" s="25"/>
      <c r="CA241" s="25"/>
      <c r="CB241" s="36"/>
      <c r="CC241" s="36"/>
      <c r="CD241" s="47"/>
      <c r="CE241" s="25"/>
      <c r="CF241" s="25"/>
      <c r="CG241" s="36"/>
      <c r="CH241" s="36"/>
      <c r="CI241" s="25"/>
    </row>
    <row r="242" spans="2:87" s="2" customFormat="1">
      <c r="B242" s="1"/>
      <c r="C242" s="1"/>
      <c r="E242" s="7"/>
      <c r="F242" s="7"/>
      <c r="G242" s="7"/>
      <c r="H242" s="7"/>
      <c r="I242" s="7"/>
      <c r="J242" s="7"/>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7"/>
      <c r="AN242" s="108"/>
      <c r="AP242" s="164"/>
      <c r="AQ242" s="164"/>
      <c r="AR242" s="164"/>
      <c r="AS242" s="143"/>
      <c r="AT242" s="143"/>
      <c r="AU242" s="36"/>
      <c r="AV242" s="36"/>
      <c r="AW242" s="47"/>
      <c r="AX242" s="88"/>
      <c r="AY242" s="11"/>
      <c r="AZ242" s="11"/>
      <c r="BA242" s="47"/>
      <c r="BB242" s="47"/>
      <c r="BC242" s="25"/>
      <c r="BD242" s="25"/>
      <c r="BE242" s="25"/>
      <c r="BF242" s="25"/>
      <c r="BG242" s="19"/>
      <c r="BH242" s="19"/>
      <c r="BI242" s="19"/>
      <c r="BJ242" s="19"/>
      <c r="BK242" s="19"/>
      <c r="BL242" s="19"/>
      <c r="BM242" s="19"/>
      <c r="BN242" s="36"/>
      <c r="BO242" s="36"/>
      <c r="BP242" s="47"/>
      <c r="BQ242" s="25"/>
      <c r="BR242" s="25"/>
      <c r="BS242" s="25"/>
      <c r="BT242" s="25"/>
      <c r="BU242" s="25"/>
      <c r="BV242" s="36"/>
      <c r="BW242" s="36"/>
      <c r="BX242" s="47"/>
      <c r="BY242" s="25"/>
      <c r="BZ242" s="25"/>
      <c r="CA242" s="25"/>
      <c r="CB242" s="36"/>
      <c r="CC242" s="36"/>
      <c r="CD242" s="47"/>
      <c r="CE242" s="25"/>
      <c r="CF242" s="25"/>
      <c r="CG242" s="36"/>
      <c r="CH242" s="36"/>
      <c r="CI242" s="25"/>
    </row>
    <row r="243" spans="2:87" s="2" customFormat="1">
      <c r="B243" s="1"/>
      <c r="C243" s="1"/>
      <c r="E243" s="7"/>
      <c r="F243" s="7"/>
      <c r="G243" s="7"/>
      <c r="H243" s="7"/>
      <c r="I243" s="7"/>
      <c r="J243" s="7"/>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7"/>
      <c r="AN243" s="108"/>
      <c r="AO243" s="2">
        <f>1461189796*100/AO238</f>
        <v>34.806901417873796</v>
      </c>
      <c r="AP243" s="164"/>
      <c r="AQ243" s="164"/>
      <c r="AR243" s="164"/>
      <c r="AS243" s="143"/>
      <c r="AT243" s="143"/>
      <c r="AU243" s="36"/>
      <c r="AV243" s="36"/>
      <c r="AW243" s="47"/>
      <c r="AX243" s="88"/>
      <c r="AY243" s="11"/>
      <c r="AZ243" s="11"/>
      <c r="BA243" s="47"/>
      <c r="BB243" s="47"/>
      <c r="BC243" s="25"/>
      <c r="BD243" s="25"/>
      <c r="BE243" s="25"/>
      <c r="BF243" s="25"/>
      <c r="BG243" s="19"/>
      <c r="BH243" s="19"/>
      <c r="BI243" s="19"/>
      <c r="BJ243" s="19"/>
      <c r="BK243" s="19"/>
      <c r="BL243" s="19"/>
      <c r="BM243" s="19"/>
      <c r="BN243" s="36"/>
      <c r="BO243" s="36"/>
      <c r="BP243" s="47"/>
      <c r="BQ243" s="25"/>
      <c r="BR243" s="25"/>
      <c r="BS243" s="25"/>
      <c r="BT243" s="25"/>
      <c r="BU243" s="25"/>
      <c r="BV243" s="36"/>
      <c r="BW243" s="36"/>
      <c r="BX243" s="47"/>
      <c r="BY243" s="25"/>
      <c r="BZ243" s="25"/>
      <c r="CA243" s="25"/>
      <c r="CB243" s="36"/>
      <c r="CC243" s="36"/>
      <c r="CD243" s="47"/>
      <c r="CE243" s="25"/>
      <c r="CF243" s="25"/>
      <c r="CG243" s="36"/>
      <c r="CH243" s="36"/>
      <c r="CI243" s="25"/>
    </row>
    <row r="244" spans="2:87" s="2" customFormat="1">
      <c r="B244" s="1"/>
      <c r="C244" s="1"/>
      <c r="E244" s="7"/>
      <c r="F244" s="7"/>
      <c r="G244" s="7"/>
      <c r="H244" s="7"/>
      <c r="I244" s="7"/>
      <c r="J244" s="7"/>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7"/>
      <c r="AN244" s="108"/>
      <c r="AP244" s="164"/>
      <c r="AQ244" s="164"/>
      <c r="AR244" s="164"/>
      <c r="AS244" s="143"/>
      <c r="AT244" s="143"/>
      <c r="AU244" s="36"/>
      <c r="AV244" s="36"/>
      <c r="AW244" s="47"/>
      <c r="AX244" s="88"/>
      <c r="AY244" s="11"/>
      <c r="AZ244" s="11"/>
      <c r="BA244" s="47"/>
      <c r="BB244" s="47"/>
      <c r="BC244" s="25"/>
      <c r="BD244" s="25"/>
      <c r="BE244" s="25"/>
      <c r="BF244" s="25"/>
      <c r="BG244" s="19"/>
      <c r="BH244" s="19"/>
      <c r="BI244" s="19"/>
      <c r="BJ244" s="19"/>
      <c r="BK244" s="19"/>
      <c r="BL244" s="19"/>
      <c r="BM244" s="19"/>
      <c r="BN244" s="36"/>
      <c r="BO244" s="36"/>
      <c r="BP244" s="47"/>
      <c r="BQ244" s="25"/>
      <c r="BR244" s="25"/>
      <c r="BS244" s="25"/>
      <c r="BT244" s="25"/>
      <c r="BU244" s="25"/>
      <c r="BV244" s="36"/>
      <c r="BW244" s="36"/>
      <c r="BX244" s="47"/>
      <c r="BY244" s="25"/>
      <c r="BZ244" s="25"/>
      <c r="CA244" s="25"/>
      <c r="CB244" s="36"/>
      <c r="CC244" s="36"/>
      <c r="CD244" s="47"/>
      <c r="CE244" s="25"/>
      <c r="CF244" s="25"/>
      <c r="CG244" s="36"/>
      <c r="CH244" s="36"/>
      <c r="CI244" s="25"/>
    </row>
    <row r="245" spans="2:87" s="2" customFormat="1">
      <c r="B245" s="1"/>
      <c r="C245" s="1"/>
      <c r="E245" s="7"/>
      <c r="F245" s="7"/>
      <c r="G245" s="7"/>
      <c r="H245" s="7"/>
      <c r="I245" s="7"/>
      <c r="J245" s="7"/>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7"/>
      <c r="AN245" s="108"/>
      <c r="AP245" s="164"/>
      <c r="AQ245" s="164"/>
      <c r="AR245" s="164"/>
      <c r="AS245" s="143"/>
      <c r="AT245" s="143"/>
      <c r="AU245" s="36"/>
      <c r="AV245" s="36"/>
      <c r="AW245" s="47"/>
      <c r="AX245" s="88"/>
      <c r="AY245" s="11"/>
      <c r="AZ245" s="11"/>
      <c r="BA245" s="47"/>
      <c r="BB245" s="47"/>
      <c r="BC245" s="25"/>
      <c r="BD245" s="25"/>
      <c r="BE245" s="25"/>
      <c r="BF245" s="25"/>
      <c r="BG245" s="19"/>
      <c r="BH245" s="19"/>
      <c r="BI245" s="19"/>
      <c r="BJ245" s="19"/>
      <c r="BK245" s="19"/>
      <c r="BL245" s="19"/>
      <c r="BM245" s="19"/>
      <c r="BN245" s="36"/>
      <c r="BO245" s="36"/>
      <c r="BP245" s="47"/>
      <c r="BQ245" s="25"/>
      <c r="BR245" s="25"/>
      <c r="BS245" s="25"/>
      <c r="BT245" s="25"/>
      <c r="BU245" s="25"/>
      <c r="BV245" s="36"/>
      <c r="BW245" s="36"/>
      <c r="BX245" s="47"/>
      <c r="BY245" s="25"/>
      <c r="BZ245" s="25"/>
      <c r="CA245" s="25"/>
      <c r="CB245" s="36"/>
      <c r="CC245" s="36"/>
      <c r="CD245" s="47"/>
      <c r="CE245" s="25"/>
      <c r="CF245" s="25"/>
      <c r="CG245" s="36"/>
      <c r="CH245" s="36"/>
      <c r="CI245" s="25"/>
    </row>
    <row r="246" spans="2:87" s="2" customFormat="1">
      <c r="B246" s="1"/>
      <c r="C246" s="1"/>
      <c r="E246" s="7"/>
      <c r="F246" s="7"/>
      <c r="G246" s="7"/>
      <c r="H246" s="7"/>
      <c r="I246" s="7"/>
      <c r="J246" s="7"/>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7"/>
      <c r="AN246" s="108"/>
      <c r="AP246" s="164"/>
      <c r="AQ246" s="164"/>
      <c r="AR246" s="164"/>
      <c r="AS246" s="143"/>
      <c r="AT246" s="143"/>
      <c r="AU246" s="36"/>
      <c r="AV246" s="36"/>
      <c r="AW246" s="47"/>
      <c r="AX246" s="88"/>
      <c r="AY246" s="11"/>
      <c r="AZ246" s="11"/>
      <c r="BA246" s="47"/>
      <c r="BB246" s="47"/>
      <c r="BC246" s="25"/>
      <c r="BD246" s="25"/>
      <c r="BE246" s="25"/>
      <c r="BF246" s="25"/>
      <c r="BG246" s="19"/>
      <c r="BH246" s="19"/>
      <c r="BI246" s="19"/>
      <c r="BJ246" s="19"/>
      <c r="BK246" s="19"/>
      <c r="BL246" s="19"/>
      <c r="BM246" s="19"/>
      <c r="BN246" s="36"/>
      <c r="BO246" s="36"/>
      <c r="BP246" s="47"/>
      <c r="BQ246" s="25"/>
      <c r="BR246" s="25"/>
      <c r="BS246" s="25"/>
      <c r="BT246" s="25"/>
      <c r="BU246" s="25"/>
      <c r="BV246" s="36"/>
      <c r="BW246" s="36"/>
      <c r="BX246" s="47"/>
      <c r="BY246" s="25"/>
      <c r="BZ246" s="25"/>
      <c r="CA246" s="25"/>
      <c r="CB246" s="36"/>
      <c r="CC246" s="36"/>
      <c r="CD246" s="47"/>
      <c r="CE246" s="25"/>
      <c r="CF246" s="25"/>
      <c r="CG246" s="36"/>
      <c r="CH246" s="36"/>
      <c r="CI246" s="25"/>
    </row>
    <row r="247" spans="2:87">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W247" s="47"/>
      <c r="AX247" s="88"/>
      <c r="AY247" s="11"/>
      <c r="AZ247" s="11"/>
      <c r="BA247" s="47"/>
      <c r="BB247" s="47"/>
      <c r="BC247" s="25"/>
      <c r="BD247" s="25"/>
      <c r="BE247" s="25"/>
      <c r="BF247" s="25"/>
      <c r="BG247" s="12"/>
      <c r="BH247" s="12"/>
      <c r="BI247" s="12"/>
      <c r="BJ247" s="12"/>
      <c r="BK247" s="12"/>
      <c r="BL247" s="12"/>
      <c r="BM247" s="12"/>
      <c r="BP247" s="47"/>
      <c r="BQ247" s="25"/>
      <c r="BR247" s="25"/>
      <c r="BS247" s="25"/>
      <c r="BT247" s="25"/>
      <c r="BU247" s="25"/>
      <c r="BX247" s="47"/>
      <c r="BY247" s="25"/>
      <c r="BZ247" s="25"/>
      <c r="CA247" s="25"/>
      <c r="CD247" s="47"/>
      <c r="CE247" s="25"/>
      <c r="CF247" s="25"/>
      <c r="CI247" s="25"/>
    </row>
    <row r="248" spans="2:87">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W248" s="47"/>
      <c r="AX248" s="88"/>
      <c r="AY248" s="11"/>
      <c r="AZ248" s="11"/>
      <c r="BA248" s="47"/>
      <c r="BB248" s="47"/>
      <c r="BC248" s="25"/>
      <c r="BD248" s="25"/>
      <c r="BE248" s="25"/>
      <c r="BF248" s="25"/>
      <c r="BG248" s="12"/>
      <c r="BH248" s="12"/>
      <c r="BI248" s="12"/>
      <c r="BJ248" s="12"/>
      <c r="BK248" s="12"/>
      <c r="BL248" s="12"/>
      <c r="BM248" s="12"/>
      <c r="BP248" s="47"/>
      <c r="BQ248" s="25"/>
      <c r="BR248" s="25"/>
      <c r="BS248" s="25"/>
      <c r="BT248" s="25"/>
      <c r="BU248" s="25"/>
      <c r="BX248" s="47"/>
      <c r="BY248" s="25"/>
      <c r="BZ248" s="25"/>
      <c r="CA248" s="25"/>
      <c r="CD248" s="47"/>
      <c r="CE248" s="25"/>
      <c r="CF248" s="25"/>
      <c r="CI248" s="25"/>
    </row>
    <row r="249" spans="2:87">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W249" s="47"/>
      <c r="AX249" s="88"/>
      <c r="AY249" s="11"/>
      <c r="AZ249" s="11"/>
      <c r="BA249" s="47"/>
      <c r="BB249" s="47"/>
      <c r="BC249" s="25"/>
      <c r="BD249" s="25"/>
      <c r="BE249" s="25"/>
      <c r="BF249" s="25"/>
      <c r="BG249" s="12"/>
      <c r="BH249" s="12"/>
      <c r="BI249" s="12"/>
      <c r="BJ249" s="12"/>
      <c r="BK249" s="12"/>
      <c r="BL249" s="12"/>
      <c r="BM249" s="12"/>
      <c r="BP249" s="47"/>
      <c r="BQ249" s="25"/>
      <c r="BR249" s="25"/>
      <c r="BS249" s="25"/>
      <c r="BT249" s="25"/>
      <c r="BU249" s="25"/>
      <c r="BX249" s="47"/>
      <c r="BY249" s="25"/>
      <c r="BZ249" s="25"/>
      <c r="CA249" s="25"/>
      <c r="CD249" s="47"/>
      <c r="CE249" s="25"/>
      <c r="CF249" s="25"/>
      <c r="CI249" s="25"/>
    </row>
    <row r="250" spans="2:87">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W250" s="47"/>
      <c r="AX250" s="88"/>
      <c r="AY250" s="11"/>
      <c r="AZ250" s="11"/>
      <c r="BA250" s="47"/>
      <c r="BB250" s="47"/>
      <c r="BC250" s="25"/>
      <c r="BD250" s="25"/>
      <c r="BE250" s="25"/>
      <c r="BF250" s="25"/>
      <c r="BG250" s="12"/>
      <c r="BH250" s="12"/>
      <c r="BI250" s="12"/>
      <c r="BJ250" s="12"/>
      <c r="BK250" s="12"/>
      <c r="BL250" s="12"/>
      <c r="BM250" s="12"/>
      <c r="BP250" s="47"/>
      <c r="BQ250" s="25"/>
      <c r="BR250" s="25"/>
      <c r="BS250" s="25"/>
      <c r="BT250" s="25"/>
      <c r="BU250" s="25"/>
      <c r="BX250" s="47"/>
      <c r="BY250" s="25"/>
      <c r="BZ250" s="25"/>
      <c r="CA250" s="25"/>
      <c r="CD250" s="47"/>
      <c r="CE250" s="25"/>
      <c r="CF250" s="25"/>
      <c r="CI250" s="25"/>
    </row>
    <row r="251" spans="2:87">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W251" s="47"/>
      <c r="AX251" s="88"/>
      <c r="AY251" s="11"/>
      <c r="AZ251" s="11"/>
      <c r="BA251" s="47"/>
      <c r="BB251" s="47"/>
      <c r="BC251" s="25"/>
      <c r="BD251" s="25"/>
      <c r="BE251" s="25"/>
      <c r="BF251" s="25"/>
      <c r="BG251" s="12"/>
      <c r="BH251" s="12"/>
      <c r="BI251" s="12"/>
      <c r="BJ251" s="12"/>
      <c r="BK251" s="12"/>
      <c r="BL251" s="12"/>
      <c r="BM251" s="12"/>
      <c r="BP251" s="47"/>
      <c r="BQ251" s="25"/>
      <c r="BR251" s="25"/>
      <c r="BS251" s="25"/>
      <c r="BT251" s="25"/>
      <c r="BU251" s="25"/>
      <c r="BX251" s="47"/>
      <c r="BY251" s="25"/>
      <c r="BZ251" s="25"/>
      <c r="CA251" s="25"/>
      <c r="CD251" s="47"/>
      <c r="CE251" s="25"/>
      <c r="CF251" s="25"/>
      <c r="CI251" s="25"/>
    </row>
    <row r="252" spans="2:87">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W252" s="47"/>
      <c r="AX252" s="88"/>
      <c r="AY252" s="11"/>
      <c r="AZ252" s="11"/>
      <c r="BA252" s="47"/>
      <c r="BB252" s="47"/>
      <c r="BC252" s="25"/>
      <c r="BD252" s="25"/>
      <c r="BE252" s="25"/>
      <c r="BF252" s="25"/>
      <c r="BG252" s="12"/>
      <c r="BH252" s="12"/>
      <c r="BI252" s="12"/>
      <c r="BJ252" s="12"/>
      <c r="BK252" s="12"/>
      <c r="BL252" s="12"/>
      <c r="BM252" s="12"/>
      <c r="BP252" s="47"/>
      <c r="BQ252" s="25"/>
      <c r="BR252" s="25"/>
      <c r="BS252" s="25"/>
      <c r="BT252" s="25"/>
      <c r="BU252" s="25"/>
      <c r="BX252" s="47"/>
      <c r="BY252" s="25"/>
      <c r="BZ252" s="25"/>
      <c r="CA252" s="25"/>
      <c r="CD252" s="47"/>
      <c r="CE252" s="25"/>
      <c r="CF252" s="25"/>
      <c r="CI252" s="25"/>
    </row>
    <row r="253" spans="2:87">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W253" s="47"/>
      <c r="AX253" s="88"/>
      <c r="AY253" s="11"/>
      <c r="AZ253" s="11"/>
      <c r="BA253" s="47"/>
      <c r="BB253" s="47"/>
      <c r="BC253" s="25"/>
      <c r="BD253" s="25"/>
      <c r="BE253" s="25"/>
      <c r="BF253" s="25"/>
      <c r="BG253" s="12"/>
      <c r="BH253" s="12"/>
      <c r="BI253" s="12"/>
      <c r="BJ253" s="12"/>
      <c r="BK253" s="12"/>
      <c r="BL253" s="12"/>
      <c r="BM253" s="12"/>
      <c r="BP253" s="47"/>
      <c r="BQ253" s="25"/>
      <c r="BR253" s="25"/>
      <c r="BS253" s="25"/>
      <c r="BT253" s="25"/>
      <c r="BU253" s="25"/>
      <c r="BX253" s="47"/>
      <c r="BY253" s="25"/>
      <c r="BZ253" s="25"/>
      <c r="CA253" s="25"/>
      <c r="CD253" s="47"/>
      <c r="CE253" s="25"/>
      <c r="CF253" s="25"/>
      <c r="CI253" s="25"/>
    </row>
    <row r="254" spans="2:87">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W254" s="47"/>
      <c r="AX254" s="88"/>
      <c r="AY254" s="11"/>
      <c r="AZ254" s="11"/>
      <c r="BA254" s="47"/>
      <c r="BB254" s="47"/>
      <c r="BC254" s="25"/>
      <c r="BD254" s="25"/>
      <c r="BE254" s="25"/>
      <c r="BF254" s="25"/>
      <c r="BG254" s="12"/>
      <c r="BH254" s="12"/>
      <c r="BI254" s="12"/>
      <c r="BJ254" s="12"/>
      <c r="BK254" s="12"/>
      <c r="BL254" s="12"/>
      <c r="BM254" s="12"/>
      <c r="BP254" s="47"/>
      <c r="BQ254" s="25"/>
      <c r="BR254" s="25"/>
      <c r="BS254" s="25"/>
      <c r="BT254" s="25"/>
      <c r="BU254" s="25"/>
      <c r="BX254" s="47"/>
      <c r="BY254" s="25"/>
      <c r="BZ254" s="25"/>
      <c r="CA254" s="25"/>
      <c r="CD254" s="47"/>
      <c r="CE254" s="25"/>
      <c r="CF254" s="25"/>
      <c r="CI254" s="25"/>
    </row>
    <row r="255" spans="2:87">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W255" s="47"/>
      <c r="AX255" s="88"/>
      <c r="AY255" s="11"/>
      <c r="AZ255" s="11"/>
      <c r="BA255" s="47"/>
      <c r="BB255" s="47"/>
      <c r="BC255" s="25"/>
      <c r="BD255" s="25"/>
      <c r="BE255" s="25"/>
      <c r="BF255" s="25"/>
      <c r="BG255" s="12"/>
      <c r="BH255" s="12"/>
      <c r="BI255" s="12"/>
      <c r="BJ255" s="12"/>
      <c r="BK255" s="12"/>
      <c r="BL255" s="12"/>
      <c r="BM255" s="12"/>
      <c r="BP255" s="47"/>
      <c r="BQ255" s="25"/>
      <c r="BR255" s="25"/>
      <c r="BS255" s="25"/>
      <c r="BT255" s="25"/>
      <c r="BU255" s="25"/>
      <c r="BX255" s="47"/>
      <c r="BY255" s="25"/>
      <c r="BZ255" s="25"/>
      <c r="CA255" s="25"/>
      <c r="CD255" s="47"/>
      <c r="CE255" s="25"/>
      <c r="CF255" s="25"/>
      <c r="CI255" s="25"/>
    </row>
    <row r="256" spans="2:87">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W256" s="47"/>
      <c r="AX256" s="88"/>
      <c r="AY256" s="11"/>
      <c r="AZ256" s="11"/>
      <c r="BA256" s="47"/>
      <c r="BB256" s="47"/>
      <c r="BC256" s="25"/>
      <c r="BD256" s="25"/>
      <c r="BE256" s="25"/>
      <c r="BF256" s="25"/>
      <c r="BG256" s="12"/>
      <c r="BH256" s="12"/>
      <c r="BI256" s="12"/>
      <c r="BJ256" s="12"/>
      <c r="BK256" s="12"/>
      <c r="BL256" s="12"/>
      <c r="BM256" s="12"/>
      <c r="BP256" s="47"/>
      <c r="BQ256" s="25"/>
      <c r="BR256" s="25"/>
      <c r="BS256" s="25"/>
      <c r="BT256" s="25"/>
      <c r="BU256" s="25"/>
      <c r="BX256" s="47"/>
      <c r="BY256" s="25"/>
      <c r="BZ256" s="25"/>
      <c r="CA256" s="25"/>
      <c r="CD256" s="47"/>
      <c r="CE256" s="25"/>
      <c r="CF256" s="25"/>
      <c r="CI256" s="25"/>
    </row>
    <row r="257" spans="11:87">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W257" s="47"/>
      <c r="AX257" s="88"/>
      <c r="AY257" s="11"/>
      <c r="AZ257" s="11"/>
      <c r="BA257" s="47"/>
      <c r="BB257" s="47"/>
      <c r="BC257" s="25"/>
      <c r="BD257" s="25"/>
      <c r="BE257" s="25"/>
      <c r="BF257" s="25"/>
      <c r="BG257" s="12"/>
      <c r="BH257" s="12"/>
      <c r="BI257" s="12"/>
      <c r="BJ257" s="12"/>
      <c r="BK257" s="12"/>
      <c r="BL257" s="12"/>
      <c r="BM257" s="12"/>
      <c r="BP257" s="47"/>
      <c r="BQ257" s="25"/>
      <c r="BR257" s="25"/>
      <c r="BS257" s="25"/>
      <c r="BT257" s="25"/>
      <c r="BU257" s="25"/>
      <c r="BX257" s="47"/>
      <c r="BY257" s="25"/>
      <c r="BZ257" s="25"/>
      <c r="CA257" s="25"/>
      <c r="CD257" s="47"/>
      <c r="CE257" s="25"/>
      <c r="CF257" s="25"/>
      <c r="CI257" s="25"/>
    </row>
    <row r="258" spans="11:87">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W258" s="47"/>
      <c r="AX258" s="88"/>
      <c r="AY258" s="11"/>
      <c r="AZ258" s="11"/>
      <c r="BA258" s="47"/>
      <c r="BB258" s="47"/>
      <c r="BC258" s="25"/>
      <c r="BD258" s="25"/>
      <c r="BE258" s="25"/>
      <c r="BF258" s="25"/>
      <c r="BG258" s="12"/>
      <c r="BH258" s="12"/>
      <c r="BI258" s="12"/>
      <c r="BJ258" s="12"/>
      <c r="BK258" s="12"/>
      <c r="BL258" s="12"/>
      <c r="BM258" s="12"/>
      <c r="BP258" s="47"/>
      <c r="BQ258" s="25"/>
      <c r="BR258" s="25"/>
      <c r="BS258" s="25"/>
      <c r="BT258" s="25"/>
      <c r="BU258" s="25"/>
      <c r="BX258" s="47"/>
      <c r="BY258" s="25"/>
      <c r="BZ258" s="25"/>
      <c r="CA258" s="25"/>
      <c r="CD258" s="47"/>
      <c r="CE258" s="25"/>
      <c r="CF258" s="25"/>
      <c r="CI258" s="25"/>
    </row>
    <row r="259" spans="11:87">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W259" s="47"/>
      <c r="AX259" s="88"/>
      <c r="AY259" s="11"/>
      <c r="AZ259" s="11"/>
      <c r="BA259" s="47"/>
      <c r="BB259" s="47"/>
      <c r="BC259" s="25"/>
      <c r="BD259" s="25"/>
      <c r="BE259" s="25"/>
      <c r="BF259" s="25"/>
      <c r="BG259" s="12"/>
      <c r="BH259" s="12"/>
      <c r="BI259" s="12"/>
      <c r="BJ259" s="12"/>
      <c r="BK259" s="12"/>
      <c r="BL259" s="12"/>
      <c r="BM259" s="12"/>
      <c r="BP259" s="47"/>
      <c r="BQ259" s="25"/>
      <c r="BR259" s="25"/>
      <c r="BS259" s="25"/>
      <c r="BT259" s="25"/>
      <c r="BU259" s="25"/>
      <c r="BX259" s="47"/>
      <c r="BY259" s="25"/>
      <c r="BZ259" s="25"/>
      <c r="CA259" s="25"/>
      <c r="CD259" s="47"/>
      <c r="CE259" s="25"/>
      <c r="CF259" s="25"/>
      <c r="CI259" s="25"/>
    </row>
    <row r="260" spans="11:87">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W260" s="47"/>
      <c r="AX260" s="88"/>
      <c r="AY260" s="11"/>
      <c r="AZ260" s="11"/>
      <c r="BA260" s="47"/>
      <c r="BB260" s="47"/>
      <c r="BC260" s="25"/>
      <c r="BD260" s="25"/>
      <c r="BE260" s="25"/>
      <c r="BF260" s="25"/>
      <c r="BG260" s="12"/>
      <c r="BH260" s="12"/>
      <c r="BI260" s="12"/>
      <c r="BJ260" s="12"/>
      <c r="BK260" s="12"/>
      <c r="BL260" s="12"/>
      <c r="BM260" s="12"/>
      <c r="BP260" s="47"/>
      <c r="BQ260" s="25"/>
      <c r="BR260" s="25"/>
      <c r="BS260" s="25"/>
      <c r="BT260" s="25"/>
      <c r="BU260" s="25"/>
      <c r="BX260" s="47"/>
      <c r="BY260" s="25"/>
      <c r="BZ260" s="25"/>
      <c r="CA260" s="25"/>
      <c r="CD260" s="47"/>
      <c r="CE260" s="25"/>
      <c r="CF260" s="25"/>
      <c r="CI260" s="25"/>
    </row>
    <row r="261" spans="11:87">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W261" s="47"/>
      <c r="AX261" s="88"/>
      <c r="AY261" s="11"/>
      <c r="AZ261" s="11"/>
      <c r="BA261" s="47"/>
      <c r="BB261" s="47"/>
      <c r="BC261" s="25"/>
      <c r="BD261" s="25"/>
      <c r="BE261" s="25"/>
      <c r="BF261" s="25"/>
      <c r="BG261" s="12"/>
      <c r="BH261" s="12"/>
      <c r="BI261" s="12"/>
      <c r="BJ261" s="12"/>
      <c r="BK261" s="12"/>
      <c r="BL261" s="12"/>
      <c r="BM261" s="12"/>
      <c r="BP261" s="47"/>
      <c r="BQ261" s="25"/>
      <c r="BR261" s="25"/>
      <c r="BS261" s="25"/>
      <c r="BT261" s="25"/>
      <c r="BU261" s="25"/>
      <c r="BX261" s="47"/>
      <c r="BY261" s="25"/>
      <c r="BZ261" s="25"/>
      <c r="CA261" s="25"/>
      <c r="CD261" s="47"/>
      <c r="CE261" s="25"/>
      <c r="CF261" s="25"/>
      <c r="CI261" s="25"/>
    </row>
    <row r="262" spans="11:87">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W262" s="47"/>
      <c r="AX262" s="88"/>
      <c r="AY262" s="11"/>
      <c r="AZ262" s="11"/>
      <c r="BA262" s="47"/>
      <c r="BB262" s="47"/>
      <c r="BC262" s="25"/>
      <c r="BD262" s="25"/>
      <c r="BE262" s="25"/>
      <c r="BF262" s="25"/>
      <c r="BG262" s="12"/>
      <c r="BH262" s="12"/>
      <c r="BI262" s="12"/>
      <c r="BJ262" s="12"/>
      <c r="BK262" s="12"/>
      <c r="BL262" s="12"/>
      <c r="BM262" s="12"/>
      <c r="BP262" s="47"/>
      <c r="BQ262" s="25"/>
      <c r="BR262" s="25"/>
      <c r="BS262" s="25"/>
      <c r="BT262" s="25"/>
      <c r="BU262" s="25"/>
      <c r="BX262" s="47"/>
      <c r="BY262" s="25"/>
      <c r="BZ262" s="25"/>
      <c r="CA262" s="25"/>
      <c r="CD262" s="47"/>
      <c r="CE262" s="25"/>
      <c r="CF262" s="25"/>
      <c r="CI262" s="25"/>
    </row>
    <row r="263" spans="11:87">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W263" s="47"/>
      <c r="AX263" s="88"/>
      <c r="AY263" s="11"/>
      <c r="AZ263" s="11"/>
      <c r="BA263" s="47"/>
      <c r="BB263" s="47"/>
      <c r="BC263" s="25"/>
      <c r="BD263" s="25"/>
      <c r="BE263" s="25"/>
      <c r="BF263" s="25"/>
      <c r="BG263" s="12"/>
      <c r="BH263" s="12"/>
      <c r="BI263" s="12"/>
      <c r="BJ263" s="12"/>
      <c r="BK263" s="12"/>
      <c r="BL263" s="12"/>
      <c r="BM263" s="12"/>
      <c r="BP263" s="47"/>
      <c r="BQ263" s="25"/>
      <c r="BR263" s="25"/>
      <c r="BS263" s="25"/>
      <c r="BT263" s="25"/>
      <c r="BU263" s="25"/>
      <c r="BX263" s="47"/>
      <c r="BY263" s="25"/>
      <c r="BZ263" s="25"/>
      <c r="CA263" s="25"/>
      <c r="CD263" s="47"/>
      <c r="CE263" s="25"/>
      <c r="CF263" s="25"/>
      <c r="CI263" s="25"/>
    </row>
    <row r="264" spans="11:87">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W264" s="47"/>
      <c r="AX264" s="88"/>
      <c r="AY264" s="11"/>
      <c r="AZ264" s="11"/>
      <c r="BA264" s="47"/>
      <c r="BB264" s="47"/>
      <c r="BC264" s="25"/>
      <c r="BD264" s="25"/>
      <c r="BE264" s="25"/>
      <c r="BF264" s="25"/>
      <c r="BG264" s="12"/>
      <c r="BH264" s="12"/>
      <c r="BI264" s="12"/>
      <c r="BJ264" s="12"/>
      <c r="BK264" s="12"/>
      <c r="BL264" s="12"/>
      <c r="BM264" s="12"/>
      <c r="BP264" s="47"/>
      <c r="BQ264" s="25"/>
      <c r="BR264" s="25"/>
      <c r="BS264" s="25"/>
      <c r="BT264" s="25"/>
      <c r="BU264" s="25"/>
      <c r="BX264" s="47"/>
      <c r="BY264" s="25"/>
      <c r="BZ264" s="25"/>
      <c r="CA264" s="25"/>
      <c r="CD264" s="47"/>
      <c r="CE264" s="25"/>
      <c r="CF264" s="25"/>
      <c r="CI264" s="25"/>
    </row>
    <row r="265" spans="11:87">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W265" s="47"/>
      <c r="AX265" s="47"/>
      <c r="AY265" s="12"/>
      <c r="AZ265" s="12"/>
      <c r="BA265" s="47"/>
      <c r="BB265" s="47"/>
      <c r="BC265" s="25"/>
      <c r="BD265" s="25"/>
      <c r="BE265" s="25"/>
      <c r="BF265" s="25"/>
      <c r="BG265" s="12"/>
      <c r="BH265" s="12"/>
      <c r="BI265" s="12"/>
      <c r="BJ265" s="12"/>
      <c r="BK265" s="12"/>
      <c r="BL265" s="12"/>
      <c r="BM265" s="12"/>
      <c r="BP265" s="47"/>
      <c r="BQ265" s="25"/>
      <c r="BR265" s="25"/>
      <c r="BS265" s="25"/>
      <c r="BT265" s="25"/>
      <c r="BU265" s="25"/>
      <c r="BX265" s="47"/>
      <c r="BY265" s="25"/>
      <c r="BZ265" s="25"/>
      <c r="CA265" s="25"/>
      <c r="CD265" s="47"/>
      <c r="CE265" s="25"/>
      <c r="CF265" s="25"/>
      <c r="CI265" s="25"/>
    </row>
    <row r="266" spans="11:87">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W266" s="47"/>
      <c r="AX266" s="47"/>
      <c r="AY266" s="12"/>
      <c r="AZ266" s="12"/>
      <c r="BA266" s="47"/>
      <c r="BB266" s="47"/>
      <c r="BC266" s="25"/>
      <c r="BD266" s="25"/>
      <c r="BE266" s="25"/>
      <c r="BF266" s="25"/>
      <c r="BG266" s="12"/>
      <c r="BH266" s="12"/>
      <c r="BI266" s="12"/>
      <c r="BJ266" s="12"/>
      <c r="BK266" s="12"/>
      <c r="BL266" s="12"/>
      <c r="BM266" s="12"/>
      <c r="BP266" s="47"/>
      <c r="BQ266" s="25"/>
      <c r="BR266" s="25"/>
      <c r="BS266" s="25"/>
      <c r="BT266" s="25"/>
      <c r="BU266" s="25"/>
      <c r="BX266" s="47"/>
      <c r="BY266" s="25"/>
      <c r="BZ266" s="25"/>
      <c r="CA266" s="25"/>
      <c r="CD266" s="47"/>
      <c r="CE266" s="25"/>
      <c r="CF266" s="25"/>
      <c r="CI266" s="25"/>
    </row>
    <row r="267" spans="11:87">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W267" s="47"/>
      <c r="AX267" s="47"/>
      <c r="AY267" s="12"/>
      <c r="AZ267" s="12"/>
      <c r="BA267" s="47"/>
      <c r="BB267" s="47"/>
      <c r="BC267" s="25"/>
      <c r="BD267" s="25"/>
      <c r="BE267" s="25"/>
      <c r="BF267" s="25"/>
      <c r="BG267" s="12"/>
      <c r="BH267" s="12"/>
      <c r="BI267" s="12"/>
      <c r="BJ267" s="12"/>
      <c r="BK267" s="12"/>
      <c r="BL267" s="12"/>
      <c r="BM267" s="12"/>
      <c r="BP267" s="47"/>
      <c r="BQ267" s="25"/>
      <c r="BR267" s="25"/>
      <c r="BS267" s="25"/>
      <c r="BT267" s="25"/>
      <c r="BU267" s="25"/>
      <c r="BX267" s="47"/>
      <c r="BY267" s="25"/>
      <c r="BZ267" s="25"/>
      <c r="CA267" s="25"/>
      <c r="CD267" s="47"/>
      <c r="CE267" s="25"/>
      <c r="CF267" s="25"/>
      <c r="CI267" s="25"/>
    </row>
    <row r="268" spans="11:87">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W268" s="47"/>
      <c r="AX268" s="47"/>
      <c r="AY268" s="12"/>
      <c r="AZ268" s="12"/>
      <c r="BA268" s="47"/>
      <c r="BB268" s="47"/>
      <c r="BC268" s="25"/>
      <c r="BD268" s="25"/>
      <c r="BE268" s="25"/>
      <c r="BF268" s="25"/>
      <c r="BG268" s="12"/>
      <c r="BH268" s="12"/>
      <c r="BI268" s="12"/>
      <c r="BJ268" s="12"/>
      <c r="BK268" s="12"/>
      <c r="BL268" s="12"/>
      <c r="BM268" s="12"/>
      <c r="BP268" s="47"/>
      <c r="BQ268" s="25"/>
      <c r="BR268" s="25"/>
      <c r="BS268" s="25"/>
      <c r="BT268" s="25"/>
      <c r="BU268" s="25"/>
      <c r="BX268" s="47"/>
      <c r="BY268" s="25"/>
      <c r="BZ268" s="25"/>
      <c r="CA268" s="25"/>
      <c r="CD268" s="47"/>
      <c r="CE268" s="25"/>
      <c r="CF268" s="25"/>
      <c r="CI268" s="25"/>
    </row>
    <row r="269" spans="11:87">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W269" s="47"/>
      <c r="AX269" s="47"/>
      <c r="AY269" s="12"/>
      <c r="AZ269" s="12"/>
      <c r="BA269" s="47"/>
      <c r="BB269" s="47"/>
      <c r="BC269" s="25"/>
      <c r="BD269" s="25"/>
      <c r="BE269" s="25"/>
      <c r="BF269" s="25"/>
      <c r="BG269" s="12"/>
      <c r="BH269" s="12"/>
      <c r="BI269" s="12"/>
      <c r="BJ269" s="12"/>
      <c r="BK269" s="12"/>
      <c r="BL269" s="12"/>
      <c r="BM269" s="12"/>
      <c r="BP269" s="47"/>
      <c r="BQ269" s="25"/>
      <c r="BR269" s="25"/>
      <c r="BS269" s="25"/>
      <c r="BT269" s="25"/>
      <c r="BU269" s="25"/>
      <c r="BX269" s="47"/>
      <c r="BY269" s="25"/>
      <c r="BZ269" s="25"/>
      <c r="CA269" s="25"/>
      <c r="CD269" s="47"/>
      <c r="CE269" s="25"/>
      <c r="CF269" s="25"/>
      <c r="CI269" s="25"/>
    </row>
    <row r="270" spans="11:87">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W270" s="47"/>
      <c r="AX270" s="47"/>
      <c r="AY270" s="12"/>
      <c r="AZ270" s="12"/>
      <c r="BA270" s="47"/>
      <c r="BB270" s="47"/>
      <c r="BC270" s="25"/>
      <c r="BD270" s="25"/>
      <c r="BE270" s="25"/>
      <c r="BF270" s="25"/>
      <c r="BG270" s="12"/>
      <c r="BH270" s="12"/>
      <c r="BI270" s="12"/>
      <c r="BJ270" s="12"/>
      <c r="BK270" s="12"/>
      <c r="BL270" s="12"/>
      <c r="BM270" s="12"/>
      <c r="BP270" s="47"/>
      <c r="BQ270" s="25"/>
      <c r="BR270" s="25"/>
      <c r="BS270" s="25"/>
      <c r="BT270" s="25"/>
      <c r="BU270" s="25"/>
      <c r="BX270" s="47"/>
      <c r="BY270" s="25"/>
      <c r="BZ270" s="25"/>
      <c r="CA270" s="25"/>
      <c r="CD270" s="47"/>
      <c r="CE270" s="25"/>
      <c r="CF270" s="25"/>
      <c r="CI270" s="25"/>
    </row>
    <row r="271" spans="11:87">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W271" s="47"/>
      <c r="AX271" s="47"/>
      <c r="AY271" s="12"/>
      <c r="AZ271" s="12"/>
      <c r="BA271" s="47"/>
      <c r="BB271" s="47"/>
      <c r="BC271" s="25"/>
      <c r="BD271" s="25"/>
      <c r="BE271" s="25"/>
      <c r="BF271" s="25"/>
      <c r="BG271" s="12"/>
      <c r="BH271" s="12"/>
      <c r="BI271" s="12"/>
      <c r="BJ271" s="12"/>
      <c r="BK271" s="12"/>
      <c r="BL271" s="12"/>
      <c r="BM271" s="12"/>
      <c r="BP271" s="47"/>
      <c r="BQ271" s="25"/>
      <c r="BR271" s="25"/>
      <c r="BS271" s="25"/>
      <c r="BT271" s="25"/>
      <c r="BU271" s="25"/>
      <c r="BX271" s="47"/>
      <c r="BY271" s="25"/>
      <c r="BZ271" s="25"/>
      <c r="CA271" s="25"/>
      <c r="CD271" s="47"/>
      <c r="CE271" s="25"/>
      <c r="CF271" s="25"/>
      <c r="CI271" s="25"/>
    </row>
    <row r="272" spans="11:87">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W272" s="47"/>
      <c r="AX272" s="47"/>
      <c r="AY272" s="12"/>
      <c r="AZ272" s="12"/>
      <c r="BA272" s="47"/>
      <c r="BB272" s="47"/>
      <c r="BC272" s="25"/>
      <c r="BD272" s="25"/>
      <c r="BE272" s="25"/>
      <c r="BF272" s="25"/>
      <c r="BG272" s="12"/>
      <c r="BH272" s="12"/>
      <c r="BI272" s="12"/>
      <c r="BJ272" s="12"/>
      <c r="BK272" s="12"/>
      <c r="BL272" s="12"/>
      <c r="BM272" s="12"/>
      <c r="BP272" s="47"/>
      <c r="BQ272" s="25"/>
      <c r="BR272" s="25"/>
      <c r="BS272" s="25"/>
      <c r="BT272" s="25"/>
      <c r="BU272" s="25"/>
      <c r="BX272" s="47"/>
      <c r="BY272" s="25"/>
      <c r="BZ272" s="25"/>
      <c r="CA272" s="25"/>
      <c r="CD272" s="47"/>
      <c r="CE272" s="25"/>
      <c r="CF272" s="25"/>
      <c r="CI272" s="25"/>
    </row>
  </sheetData>
  <mergeCells count="4603">
    <mergeCell ref="AI224:AI226"/>
    <mergeCell ref="AJ224:AJ226"/>
    <mergeCell ref="AK224:AK226"/>
    <mergeCell ref="AJ220:AJ223"/>
    <mergeCell ref="AK220:AK223"/>
    <mergeCell ref="AL220:AL223"/>
    <mergeCell ref="AI220:AI223"/>
    <mergeCell ref="W234:W237"/>
    <mergeCell ref="L234:L237"/>
    <mergeCell ref="M234:M237"/>
    <mergeCell ref="N234:N237"/>
    <mergeCell ref="O234:O237"/>
    <mergeCell ref="P234:P237"/>
    <mergeCell ref="Q234:Q237"/>
    <mergeCell ref="AC227:AC230"/>
    <mergeCell ref="AC234:AC237"/>
    <mergeCell ref="R234:R237"/>
    <mergeCell ref="S234:S237"/>
    <mergeCell ref="T234:T237"/>
    <mergeCell ref="U234:U237"/>
    <mergeCell ref="V234:V237"/>
    <mergeCell ref="X234:X237"/>
    <mergeCell ref="AG234:AG237"/>
    <mergeCell ref="AH234:AH237"/>
    <mergeCell ref="Y231:Y233"/>
    <mergeCell ref="AA234:AA237"/>
    <mergeCell ref="AB234:AB237"/>
    <mergeCell ref="AD234:AD237"/>
    <mergeCell ref="Y234:Y237"/>
    <mergeCell ref="Z234:Z237"/>
    <mergeCell ref="AL227:AL230"/>
    <mergeCell ref="N231:N233"/>
    <mergeCell ref="AJ231:AJ233"/>
    <mergeCell ref="AK231:AK233"/>
    <mergeCell ref="AG227:AG230"/>
    <mergeCell ref="AH227:AH230"/>
    <mergeCell ref="V231:V233"/>
    <mergeCell ref="W231:W233"/>
    <mergeCell ref="X231:X233"/>
    <mergeCell ref="AL234:AL237"/>
    <mergeCell ref="AB231:AB233"/>
    <mergeCell ref="AC231:AC233"/>
    <mergeCell ref="AD231:AD233"/>
    <mergeCell ref="AL231:AL233"/>
    <mergeCell ref="AJ234:AJ237"/>
    <mergeCell ref="AK234:AK237"/>
    <mergeCell ref="AJ227:AJ230"/>
    <mergeCell ref="AK227:AK230"/>
    <mergeCell ref="AI234:AI237"/>
    <mergeCell ref="AE231:AE233"/>
    <mergeCell ref="AF231:AF233"/>
    <mergeCell ref="AG231:AG233"/>
    <mergeCell ref="AF227:AF230"/>
    <mergeCell ref="AE234:AE237"/>
    <mergeCell ref="AF234:AF237"/>
    <mergeCell ref="AI231:AI233"/>
    <mergeCell ref="AH231:AH233"/>
    <mergeCell ref="V227:V230"/>
    <mergeCell ref="AB227:AB230"/>
    <mergeCell ref="AD220:AD223"/>
    <mergeCell ref="AE220:AE223"/>
    <mergeCell ref="Q224:Q226"/>
    <mergeCell ref="V220:V223"/>
    <mergeCell ref="W227:W230"/>
    <mergeCell ref="W224:W226"/>
    <mergeCell ref="K234:K237"/>
    <mergeCell ref="L227:L230"/>
    <mergeCell ref="M227:M230"/>
    <mergeCell ref="N227:N230"/>
    <mergeCell ref="S227:S230"/>
    <mergeCell ref="S231:S233"/>
    <mergeCell ref="Q231:Q233"/>
    <mergeCell ref="R231:R233"/>
    <mergeCell ref="O227:O230"/>
    <mergeCell ref="P227:P230"/>
    <mergeCell ref="K231:K233"/>
    <mergeCell ref="Z231:Z233"/>
    <mergeCell ref="AA231:AA233"/>
    <mergeCell ref="Q227:Q230"/>
    <mergeCell ref="K227:K230"/>
    <mergeCell ref="T231:T233"/>
    <mergeCell ref="U231:U233"/>
    <mergeCell ref="Y227:Y230"/>
    <mergeCell ref="Z227:Z230"/>
    <mergeCell ref="AA227:AA230"/>
    <mergeCell ref="T227:T230"/>
    <mergeCell ref="U227:U230"/>
    <mergeCell ref="L231:L233"/>
    <mergeCell ref="M231:M233"/>
    <mergeCell ref="O231:O233"/>
    <mergeCell ref="P231:P233"/>
    <mergeCell ref="W220:W223"/>
    <mergeCell ref="S216:S219"/>
    <mergeCell ref="Q216:Q219"/>
    <mergeCell ref="S220:S223"/>
    <mergeCell ref="AE212:AE215"/>
    <mergeCell ref="V212:V215"/>
    <mergeCell ref="W212:W215"/>
    <mergeCell ref="X216:X219"/>
    <mergeCell ref="AA212:AA215"/>
    <mergeCell ref="AB212:AB215"/>
    <mergeCell ref="Z216:Z219"/>
    <mergeCell ref="AA216:AA219"/>
    <mergeCell ref="AA220:AA223"/>
    <mergeCell ref="AD216:AD219"/>
    <mergeCell ref="AE224:AE226"/>
    <mergeCell ref="S224:S226"/>
    <mergeCell ref="T224:T226"/>
    <mergeCell ref="U224:U226"/>
    <mergeCell ref="Z224:Z226"/>
    <mergeCell ref="Y216:Y219"/>
    <mergeCell ref="V224:V226"/>
    <mergeCell ref="AA224:AA226"/>
    <mergeCell ref="AD224:AD226"/>
    <mergeCell ref="AB224:AB226"/>
    <mergeCell ref="AC224:AC226"/>
    <mergeCell ref="R224:R226"/>
    <mergeCell ref="X224:X226"/>
    <mergeCell ref="Y224:Y226"/>
    <mergeCell ref="U216:U219"/>
    <mergeCell ref="V216:V219"/>
    <mergeCell ref="W216:W219"/>
    <mergeCell ref="AE216:AE219"/>
    <mergeCell ref="AB180:AB184"/>
    <mergeCell ref="AC180:AC184"/>
    <mergeCell ref="AD180:AD184"/>
    <mergeCell ref="AE180:AE184"/>
    <mergeCell ref="AF180:AF184"/>
    <mergeCell ref="AG180:AG184"/>
    <mergeCell ref="AH180:AH184"/>
    <mergeCell ref="AI180:AI184"/>
    <mergeCell ref="AJ180:AJ184"/>
    <mergeCell ref="AK180:AK184"/>
    <mergeCell ref="AL180:AL184"/>
    <mergeCell ref="K185:K188"/>
    <mergeCell ref="L185:L188"/>
    <mergeCell ref="M185:M188"/>
    <mergeCell ref="N185:N188"/>
    <mergeCell ref="O185:O188"/>
    <mergeCell ref="P185:P188"/>
    <mergeCell ref="Q185:Q188"/>
    <mergeCell ref="R185:R188"/>
    <mergeCell ref="S185:S188"/>
    <mergeCell ref="T185:T188"/>
    <mergeCell ref="U185:U188"/>
    <mergeCell ref="V185:V188"/>
    <mergeCell ref="W185:W188"/>
    <mergeCell ref="X185:X188"/>
    <mergeCell ref="AK185:AK188"/>
    <mergeCell ref="AJ185:AJ188"/>
    <mergeCell ref="Y185:Y188"/>
    <mergeCell ref="Z185:Z188"/>
    <mergeCell ref="AA185:AA188"/>
    <mergeCell ref="AB185:AB188"/>
    <mergeCell ref="AC185:AC188"/>
    <mergeCell ref="K180:K184"/>
    <mergeCell ref="L180:L184"/>
    <mergeCell ref="M180:M184"/>
    <mergeCell ref="N180:N184"/>
    <mergeCell ref="O180:O184"/>
    <mergeCell ref="P180:P184"/>
    <mergeCell ref="Q180:Q184"/>
    <mergeCell ref="R180:R184"/>
    <mergeCell ref="S180:S184"/>
    <mergeCell ref="T180:T184"/>
    <mergeCell ref="U180:U184"/>
    <mergeCell ref="V180:V184"/>
    <mergeCell ref="W180:W184"/>
    <mergeCell ref="X180:X184"/>
    <mergeCell ref="Y180:Y184"/>
    <mergeCell ref="Z180:Z184"/>
    <mergeCell ref="AA180:AA184"/>
    <mergeCell ref="AH167:AH175"/>
    <mergeCell ref="AI167:AI175"/>
    <mergeCell ref="X162:X165"/>
    <mergeCell ref="Y162:Y165"/>
    <mergeCell ref="Y176:Y179"/>
    <mergeCell ref="Z176:Z179"/>
    <mergeCell ref="AA176:AA179"/>
    <mergeCell ref="AB176:AB179"/>
    <mergeCell ref="AC176:AC179"/>
    <mergeCell ref="AD176:AD179"/>
    <mergeCell ref="AE176:AE179"/>
    <mergeCell ref="AF176:AF179"/>
    <mergeCell ref="AG176:AG179"/>
    <mergeCell ref="AH176:AH179"/>
    <mergeCell ref="AI176:AI179"/>
    <mergeCell ref="AJ176:AJ179"/>
    <mergeCell ref="AJ167:AJ175"/>
    <mergeCell ref="K167:K175"/>
    <mergeCell ref="L167:L175"/>
    <mergeCell ref="M167:M175"/>
    <mergeCell ref="N167:N175"/>
    <mergeCell ref="O167:O175"/>
    <mergeCell ref="P167:P175"/>
    <mergeCell ref="Q167:Q175"/>
    <mergeCell ref="R167:R175"/>
    <mergeCell ref="S167:S175"/>
    <mergeCell ref="T167:T175"/>
    <mergeCell ref="U167:U175"/>
    <mergeCell ref="V167:V175"/>
    <mergeCell ref="W167:W175"/>
    <mergeCell ref="X167:X175"/>
    <mergeCell ref="Y167:Y175"/>
    <mergeCell ref="Z167:Z175"/>
    <mergeCell ref="AA167:AA175"/>
    <mergeCell ref="U155:U157"/>
    <mergeCell ref="V155:V157"/>
    <mergeCell ref="AE162:AE165"/>
    <mergeCell ref="AF162:AF165"/>
    <mergeCell ref="AG162:AG165"/>
    <mergeCell ref="AH162:AH165"/>
    <mergeCell ref="AI162:AI165"/>
    <mergeCell ref="W155:W157"/>
    <mergeCell ref="X155:X157"/>
    <mergeCell ref="S155:S157"/>
    <mergeCell ref="Y155:Y157"/>
    <mergeCell ref="Z155:Z157"/>
    <mergeCell ref="AA155:AA157"/>
    <mergeCell ref="AB155:AB157"/>
    <mergeCell ref="AC155:AC157"/>
    <mergeCell ref="AD155:AD157"/>
    <mergeCell ref="AE155:AE157"/>
    <mergeCell ref="AF155:AF157"/>
    <mergeCell ref="AG155:AG157"/>
    <mergeCell ref="T162:T165"/>
    <mergeCell ref="V162:V165"/>
    <mergeCell ref="W162:W165"/>
    <mergeCell ref="Z149:Z151"/>
    <mergeCell ref="AD152:AD154"/>
    <mergeCell ref="AH155:AH157"/>
    <mergeCell ref="AI155:AI157"/>
    <mergeCell ref="AJ155:AJ157"/>
    <mergeCell ref="M158:M160"/>
    <mergeCell ref="N158:N160"/>
    <mergeCell ref="O158:O160"/>
    <mergeCell ref="P158:P160"/>
    <mergeCell ref="Q158:Q160"/>
    <mergeCell ref="R158:R160"/>
    <mergeCell ref="S158:S160"/>
    <mergeCell ref="T158:T160"/>
    <mergeCell ref="U158:U160"/>
    <mergeCell ref="V158:V160"/>
    <mergeCell ref="W158:W160"/>
    <mergeCell ref="X158:X160"/>
    <mergeCell ref="Y158:Y160"/>
    <mergeCell ref="Z158:Z160"/>
    <mergeCell ref="AA158:AA160"/>
    <mergeCell ref="AB158:AB160"/>
    <mergeCell ref="AC158:AC160"/>
    <mergeCell ref="AD158:AD160"/>
    <mergeCell ref="AE158:AE160"/>
    <mergeCell ref="AF158:AF160"/>
    <mergeCell ref="AG158:AG160"/>
    <mergeCell ref="AH158:AH160"/>
    <mergeCell ref="AI158:AI160"/>
    <mergeCell ref="AJ158:AJ160"/>
    <mergeCell ref="Q155:Q157"/>
    <mergeCell ref="R155:R157"/>
    <mergeCell ref="T155:T157"/>
    <mergeCell ref="S152:S154"/>
    <mergeCell ref="AI141:AI145"/>
    <mergeCell ref="AK141:AK145"/>
    <mergeCell ref="AC146:AC148"/>
    <mergeCell ref="AD146:AD148"/>
    <mergeCell ref="AE146:AE148"/>
    <mergeCell ref="AC141:AC145"/>
    <mergeCell ref="AD141:AD145"/>
    <mergeCell ref="AE141:AE145"/>
    <mergeCell ref="AG146:AG148"/>
    <mergeCell ref="AE149:AE151"/>
    <mergeCell ref="AF149:AF151"/>
    <mergeCell ref="AG149:AG151"/>
    <mergeCell ref="AA146:AA148"/>
    <mergeCell ref="P146:P148"/>
    <mergeCell ref="T146:T148"/>
    <mergeCell ref="Q146:Q148"/>
    <mergeCell ref="R146:R148"/>
    <mergeCell ref="S146:S148"/>
    <mergeCell ref="AJ141:AJ145"/>
    <mergeCell ref="AF146:AF148"/>
    <mergeCell ref="AJ149:AJ151"/>
    <mergeCell ref="AK149:AK151"/>
    <mergeCell ref="Z152:Z154"/>
    <mergeCell ref="AA152:AA154"/>
    <mergeCell ref="AB152:AB154"/>
    <mergeCell ref="AC152:AC154"/>
    <mergeCell ref="AH152:AH154"/>
    <mergeCell ref="AI152:AI154"/>
    <mergeCell ref="AG152:AG154"/>
    <mergeCell ref="AE152:AE154"/>
    <mergeCell ref="AF152:AF154"/>
    <mergeCell ref="Z141:Z145"/>
    <mergeCell ref="AF141:AF145"/>
    <mergeCell ref="AE134:AE140"/>
    <mergeCell ref="AF134:AF140"/>
    <mergeCell ref="V141:V145"/>
    <mergeCell ref="X141:X145"/>
    <mergeCell ref="AC134:AC140"/>
    <mergeCell ref="X132:X133"/>
    <mergeCell ref="AA132:AA133"/>
    <mergeCell ref="AB132:AB133"/>
    <mergeCell ref="W132:W133"/>
    <mergeCell ref="K152:K154"/>
    <mergeCell ref="L149:L151"/>
    <mergeCell ref="M149:M151"/>
    <mergeCell ref="N149:N151"/>
    <mergeCell ref="O149:O151"/>
    <mergeCell ref="AB146:AB148"/>
    <mergeCell ref="T152:T154"/>
    <mergeCell ref="U152:U154"/>
    <mergeCell ref="V152:V154"/>
    <mergeCell ref="W152:W154"/>
    <mergeCell ref="X152:X154"/>
    <mergeCell ref="Y152:Y154"/>
    <mergeCell ref="W149:W151"/>
    <mergeCell ref="X149:X151"/>
    <mergeCell ref="Y149:Y151"/>
    <mergeCell ref="U146:U148"/>
    <mergeCell ref="V146:V148"/>
    <mergeCell ref="W146:W148"/>
    <mergeCell ref="X146:X148"/>
    <mergeCell ref="Y146:Y148"/>
    <mergeCell ref="V149:V151"/>
    <mergeCell ref="K128:K131"/>
    <mergeCell ref="Q128:Q131"/>
    <mergeCell ref="R128:R131"/>
    <mergeCell ref="S128:S131"/>
    <mergeCell ref="T128:T131"/>
    <mergeCell ref="L128:L131"/>
    <mergeCell ref="M128:M131"/>
    <mergeCell ref="N128:N131"/>
    <mergeCell ref="O128:O131"/>
    <mergeCell ref="P128:P131"/>
    <mergeCell ref="AA128:AA131"/>
    <mergeCell ref="U128:U131"/>
    <mergeCell ref="V128:V131"/>
    <mergeCell ref="W128:W131"/>
    <mergeCell ref="X128:X131"/>
    <mergeCell ref="Y128:Y131"/>
    <mergeCell ref="Z128:Z131"/>
    <mergeCell ref="K120:K122"/>
    <mergeCell ref="K123:K126"/>
    <mergeCell ref="L120:L122"/>
    <mergeCell ref="M120:M122"/>
    <mergeCell ref="N120:N122"/>
    <mergeCell ref="O120:O122"/>
    <mergeCell ref="P120:P122"/>
    <mergeCell ref="Q120:Q122"/>
    <mergeCell ref="R120:R122"/>
    <mergeCell ref="S120:S122"/>
    <mergeCell ref="T120:T122"/>
    <mergeCell ref="U120:U122"/>
    <mergeCell ref="V120:V122"/>
    <mergeCell ref="W120:W122"/>
    <mergeCell ref="X120:X122"/>
    <mergeCell ref="Y120:Y122"/>
    <mergeCell ref="Z120:Z122"/>
    <mergeCell ref="L123:L126"/>
    <mergeCell ref="M123:M126"/>
    <mergeCell ref="N123:N126"/>
    <mergeCell ref="O123:O126"/>
    <mergeCell ref="P123:P126"/>
    <mergeCell ref="Q123:Q126"/>
    <mergeCell ref="R123:R126"/>
    <mergeCell ref="S123:S126"/>
    <mergeCell ref="T123:T126"/>
    <mergeCell ref="U123:U126"/>
    <mergeCell ref="V123:V126"/>
    <mergeCell ref="W123:W126"/>
    <mergeCell ref="X123:X126"/>
    <mergeCell ref="Y123:Y126"/>
    <mergeCell ref="Z123:Z126"/>
    <mergeCell ref="L118:L119"/>
    <mergeCell ref="M118:M119"/>
    <mergeCell ref="N118:N119"/>
    <mergeCell ref="O118:O119"/>
    <mergeCell ref="P118:P119"/>
    <mergeCell ref="Q118:Q119"/>
    <mergeCell ref="R118:R119"/>
    <mergeCell ref="S118:S119"/>
    <mergeCell ref="T118:T119"/>
    <mergeCell ref="U118:U119"/>
    <mergeCell ref="V118:V119"/>
    <mergeCell ref="W118:W119"/>
    <mergeCell ref="X118:X119"/>
    <mergeCell ref="Y118:Y119"/>
    <mergeCell ref="AB118:AB119"/>
    <mergeCell ref="AC118:AC119"/>
    <mergeCell ref="AD118:AD119"/>
    <mergeCell ref="AA118:AA119"/>
    <mergeCell ref="Z118:Z119"/>
    <mergeCell ref="L115:L117"/>
    <mergeCell ref="M115:M117"/>
    <mergeCell ref="N115:N117"/>
    <mergeCell ref="O115:O117"/>
    <mergeCell ref="P115:P117"/>
    <mergeCell ref="X115:X117"/>
    <mergeCell ref="U115:U117"/>
    <mergeCell ref="V115:V117"/>
    <mergeCell ref="Q115:Q117"/>
    <mergeCell ref="R115:R117"/>
    <mergeCell ref="S115:S117"/>
    <mergeCell ref="T115:T117"/>
    <mergeCell ref="AC115:AC117"/>
    <mergeCell ref="AD115:AD117"/>
    <mergeCell ref="AE115:AE117"/>
    <mergeCell ref="AF115:AF117"/>
    <mergeCell ref="AG115:AG117"/>
    <mergeCell ref="AA115:AA117"/>
    <mergeCell ref="W115:W117"/>
    <mergeCell ref="Y115:Y117"/>
    <mergeCell ref="Z115:Z117"/>
    <mergeCell ref="S111:S114"/>
    <mergeCell ref="T111:T114"/>
    <mergeCell ref="U111:U114"/>
    <mergeCell ref="V111:V114"/>
    <mergeCell ref="W111:W114"/>
    <mergeCell ref="X111:X114"/>
    <mergeCell ref="AC105:AC110"/>
    <mergeCell ref="AD105:AD110"/>
    <mergeCell ref="AE105:AE110"/>
    <mergeCell ref="AI105:AI110"/>
    <mergeCell ref="AJ105:AJ110"/>
    <mergeCell ref="AK105:AK110"/>
    <mergeCell ref="AF105:AF110"/>
    <mergeCell ref="AG105:AG110"/>
    <mergeCell ref="AH105:AH110"/>
    <mergeCell ref="L111:L114"/>
    <mergeCell ref="M111:M114"/>
    <mergeCell ref="N111:N114"/>
    <mergeCell ref="O111:O114"/>
    <mergeCell ref="P105:P110"/>
    <mergeCell ref="L105:L110"/>
    <mergeCell ref="AB111:AB114"/>
    <mergeCell ref="AC111:AC114"/>
    <mergeCell ref="AD111:AD114"/>
    <mergeCell ref="AJ96:AJ100"/>
    <mergeCell ref="AK96:AK100"/>
    <mergeCell ref="AI101:AI104"/>
    <mergeCell ref="AJ101:AJ104"/>
    <mergeCell ref="AK101:AK104"/>
    <mergeCell ref="AL101:AL104"/>
    <mergeCell ref="AC101:AC104"/>
    <mergeCell ref="AD101:AD104"/>
    <mergeCell ref="AE101:AE104"/>
    <mergeCell ref="AF101:AF104"/>
    <mergeCell ref="AG101:AG104"/>
    <mergeCell ref="AA105:AA110"/>
    <mergeCell ref="AB105:AB110"/>
    <mergeCell ref="Q105:Q110"/>
    <mergeCell ref="R105:R110"/>
    <mergeCell ref="S105:S110"/>
    <mergeCell ref="T105:T110"/>
    <mergeCell ref="U105:U110"/>
    <mergeCell ref="W105:W110"/>
    <mergeCell ref="AL105:AL110"/>
    <mergeCell ref="V101:V104"/>
    <mergeCell ref="W101:W104"/>
    <mergeCell ref="X101:X104"/>
    <mergeCell ref="Y101:Y104"/>
    <mergeCell ref="Z101:Z104"/>
    <mergeCell ref="AA101:AA104"/>
    <mergeCell ref="AB101:AB104"/>
    <mergeCell ref="U101:U104"/>
    <mergeCell ref="AJ92:AJ95"/>
    <mergeCell ref="AK92:AK95"/>
    <mergeCell ref="AL89:AL91"/>
    <mergeCell ref="AK89:AK91"/>
    <mergeCell ref="AJ89:AJ91"/>
    <mergeCell ref="P101:P104"/>
    <mergeCell ref="Q101:Q104"/>
    <mergeCell ref="R101:R104"/>
    <mergeCell ref="S101:S104"/>
    <mergeCell ref="V105:V110"/>
    <mergeCell ref="X105:X110"/>
    <mergeCell ref="Y105:Y110"/>
    <mergeCell ref="Z105:Z110"/>
    <mergeCell ref="AH101:AH104"/>
    <mergeCell ref="AL92:AL95"/>
    <mergeCell ref="L96:L100"/>
    <mergeCell ref="M96:M100"/>
    <mergeCell ref="N96:N100"/>
    <mergeCell ref="O96:O100"/>
    <mergeCell ref="P96:P100"/>
    <mergeCell ref="Q96:Q100"/>
    <mergeCell ref="R96:R100"/>
    <mergeCell ref="S96:S100"/>
    <mergeCell ref="T96:T100"/>
    <mergeCell ref="U96:U100"/>
    <mergeCell ref="V96:V100"/>
    <mergeCell ref="AG96:AG100"/>
    <mergeCell ref="AH96:AH100"/>
    <mergeCell ref="W96:W100"/>
    <mergeCell ref="X96:X100"/>
    <mergeCell ref="Y96:Y100"/>
    <mergeCell ref="Z96:Z100"/>
    <mergeCell ref="P77:P79"/>
    <mergeCell ref="Q77:Q79"/>
    <mergeCell ref="R77:R79"/>
    <mergeCell ref="S77:S79"/>
    <mergeCell ref="T77:T79"/>
    <mergeCell ref="U77:U79"/>
    <mergeCell ref="AB77:AB79"/>
    <mergeCell ref="AC77:AC79"/>
    <mergeCell ref="AD77:AD79"/>
    <mergeCell ref="AE77:AE79"/>
    <mergeCell ref="AF77:AF79"/>
    <mergeCell ref="AG77:AG79"/>
    <mergeCell ref="AH77:AH79"/>
    <mergeCell ref="AI77:AI79"/>
    <mergeCell ref="AL96:AL100"/>
    <mergeCell ref="AC96:AC100"/>
    <mergeCell ref="AD96:AD100"/>
    <mergeCell ref="AE96:AE100"/>
    <mergeCell ref="AF96:AF100"/>
    <mergeCell ref="AK77:AK79"/>
    <mergeCell ref="P92:P95"/>
    <mergeCell ref="Q92:Q95"/>
    <mergeCell ref="R92:R95"/>
    <mergeCell ref="S92:S95"/>
    <mergeCell ref="T92:T95"/>
    <mergeCell ref="V92:V95"/>
    <mergeCell ref="W92:W95"/>
    <mergeCell ref="X92:X95"/>
    <mergeCell ref="Y92:Y95"/>
    <mergeCell ref="Z92:Z95"/>
    <mergeCell ref="AA92:AA95"/>
    <mergeCell ref="AB92:AB95"/>
    <mergeCell ref="N74:N76"/>
    <mergeCell ref="O74:O76"/>
    <mergeCell ref="P74:P76"/>
    <mergeCell ref="Q74:Q76"/>
    <mergeCell ref="R74:R76"/>
    <mergeCell ref="S74:S76"/>
    <mergeCell ref="Z70:Z73"/>
    <mergeCell ref="S55:S57"/>
    <mergeCell ref="P55:P57"/>
    <mergeCell ref="L66:L69"/>
    <mergeCell ref="Z55:Z57"/>
    <mergeCell ref="V70:V73"/>
    <mergeCell ref="P66:P69"/>
    <mergeCell ref="Y58:Y61"/>
    <mergeCell ref="O70:O73"/>
    <mergeCell ref="W58:W61"/>
    <mergeCell ref="X58:X61"/>
    <mergeCell ref="L58:L61"/>
    <mergeCell ref="S58:S61"/>
    <mergeCell ref="L55:L57"/>
    <mergeCell ref="M58:M61"/>
    <mergeCell ref="P58:P61"/>
    <mergeCell ref="R58:R61"/>
    <mergeCell ref="O62:O65"/>
    <mergeCell ref="Q66:Q69"/>
    <mergeCell ref="R66:R69"/>
    <mergeCell ref="S66:S69"/>
    <mergeCell ref="T66:T69"/>
    <mergeCell ref="P62:P65"/>
    <mergeCell ref="N41:N42"/>
    <mergeCell ref="O41:O42"/>
    <mergeCell ref="G37:G40"/>
    <mergeCell ref="J41:J42"/>
    <mergeCell ref="K37:K40"/>
    <mergeCell ref="K41:K42"/>
    <mergeCell ref="L41:L42"/>
    <mergeCell ref="M41:M42"/>
    <mergeCell ref="AH41:AH42"/>
    <mergeCell ref="Q41:Q42"/>
    <mergeCell ref="R41:R42"/>
    <mergeCell ref="S41:S42"/>
    <mergeCell ref="T41:T42"/>
    <mergeCell ref="AC41:AC42"/>
    <mergeCell ref="AD41:AD42"/>
    <mergeCell ref="AE41:AE42"/>
    <mergeCell ref="AF41:AF42"/>
    <mergeCell ref="AG41:AG42"/>
    <mergeCell ref="Y41:Y42"/>
    <mergeCell ref="U41:U42"/>
    <mergeCell ref="V41:V42"/>
    <mergeCell ref="AA41:AA42"/>
    <mergeCell ref="Z41:Z42"/>
    <mergeCell ref="W41:W42"/>
    <mergeCell ref="X41:X42"/>
    <mergeCell ref="P41:P42"/>
    <mergeCell ref="Q34:Q36"/>
    <mergeCell ref="AC34:AC36"/>
    <mergeCell ref="W32:W33"/>
    <mergeCell ref="V32:V33"/>
    <mergeCell ref="AD34:AD36"/>
    <mergeCell ref="AE34:AE36"/>
    <mergeCell ref="AF34:AF36"/>
    <mergeCell ref="V34:V36"/>
    <mergeCell ref="W34:W36"/>
    <mergeCell ref="Z34:Z36"/>
    <mergeCell ref="AA34:AA36"/>
    <mergeCell ref="AG34:AG36"/>
    <mergeCell ref="X34:X36"/>
    <mergeCell ref="Y34:Y36"/>
    <mergeCell ref="U34:U36"/>
    <mergeCell ref="AF32:AF33"/>
    <mergeCell ref="R34:R36"/>
    <mergeCell ref="AG32:AG33"/>
    <mergeCell ref="K32:K33"/>
    <mergeCell ref="L32:L33"/>
    <mergeCell ref="M32:M33"/>
    <mergeCell ref="N32:N33"/>
    <mergeCell ref="O32:O33"/>
    <mergeCell ref="AB34:AB36"/>
    <mergeCell ref="AY43:AZ45"/>
    <mergeCell ref="AW27:AX31"/>
    <mergeCell ref="AE6:AH7"/>
    <mergeCell ref="AI6:AL7"/>
    <mergeCell ref="AF9:AF13"/>
    <mergeCell ref="AG9:AG13"/>
    <mergeCell ref="AH9:AH13"/>
    <mergeCell ref="AI9:AI13"/>
    <mergeCell ref="N9:N13"/>
    <mergeCell ref="O9:O13"/>
    <mergeCell ref="Z30:Z31"/>
    <mergeCell ref="Z20:Z22"/>
    <mergeCell ref="P25:P26"/>
    <mergeCell ref="Q25:Q26"/>
    <mergeCell ref="S25:S26"/>
    <mergeCell ref="Z25:Z26"/>
    <mergeCell ref="S9:S13"/>
    <mergeCell ref="T9:T13"/>
    <mergeCell ref="AA25:AA26"/>
    <mergeCell ref="AB25:AB26"/>
    <mergeCell ref="AA23:AA24"/>
    <mergeCell ref="AB23:AB24"/>
    <mergeCell ref="O34:O36"/>
    <mergeCell ref="S34:S36"/>
    <mergeCell ref="T34:T36"/>
    <mergeCell ref="P34:P36"/>
    <mergeCell ref="K27:K28"/>
    <mergeCell ref="U9:U13"/>
    <mergeCell ref="AC9:AC13"/>
    <mergeCell ref="W23:W24"/>
    <mergeCell ref="V9:V13"/>
    <mergeCell ref="AY9:AZ13"/>
    <mergeCell ref="AS14:AT26"/>
    <mergeCell ref="AU14:AV26"/>
    <mergeCell ref="AW14:AX26"/>
    <mergeCell ref="AY14:AZ26"/>
    <mergeCell ref="AW9:AX13"/>
    <mergeCell ref="AS9:AT13"/>
    <mergeCell ref="AM9:AM13"/>
    <mergeCell ref="AJ9:AJ13"/>
    <mergeCell ref="AK9:AK13"/>
    <mergeCell ref="AE9:AE13"/>
    <mergeCell ref="AC23:AC24"/>
    <mergeCell ref="X27:X28"/>
    <mergeCell ref="AD9:AD13"/>
    <mergeCell ref="AL20:AL22"/>
    <mergeCell ref="AH23:AH24"/>
    <mergeCell ref="AI23:AI24"/>
    <mergeCell ref="AI20:AI22"/>
    <mergeCell ref="AA14:AA19"/>
    <mergeCell ref="AB14:AB19"/>
    <mergeCell ref="AC14:AC19"/>
    <mergeCell ref="AA20:AA22"/>
    <mergeCell ref="AL14:AL19"/>
    <mergeCell ref="AM25:AM26"/>
    <mergeCell ref="AR9:AR13"/>
    <mergeCell ref="AS27:AT31"/>
    <mergeCell ref="AU27:AV31"/>
    <mergeCell ref="C166:C179"/>
    <mergeCell ref="D176:D179"/>
    <mergeCell ref="D41:D42"/>
    <mergeCell ref="C32:C42"/>
    <mergeCell ref="I34:I36"/>
    <mergeCell ref="T134:T140"/>
    <mergeCell ref="Q149:Q151"/>
    <mergeCell ref="R149:R151"/>
    <mergeCell ref="S149:S151"/>
    <mergeCell ref="G162:G175"/>
    <mergeCell ref="C158:C160"/>
    <mergeCell ref="AL9:AL13"/>
    <mergeCell ref="O23:O24"/>
    <mergeCell ref="P23:P24"/>
    <mergeCell ref="Q23:Q24"/>
    <mergeCell ref="AO6:AO8"/>
    <mergeCell ref="AM14:AM19"/>
    <mergeCell ref="AA6:AD7"/>
    <mergeCell ref="W9:W13"/>
    <mergeCell ref="X9:X13"/>
    <mergeCell ref="D34:D36"/>
    <mergeCell ref="C9:C13"/>
    <mergeCell ref="D9:D13"/>
    <mergeCell ref="AN9:AN13"/>
    <mergeCell ref="Y9:Y13"/>
    <mergeCell ref="W14:W19"/>
    <mergeCell ref="Z9:Z13"/>
    <mergeCell ref="AA9:AA13"/>
    <mergeCell ref="AB9:AB13"/>
    <mergeCell ref="K9:K13"/>
    <mergeCell ref="L9:L13"/>
    <mergeCell ref="P9:P13"/>
    <mergeCell ref="BQ199:BQ206"/>
    <mergeCell ref="BV199:BV206"/>
    <mergeCell ref="BV212:BV215"/>
    <mergeCell ref="BF220:BF223"/>
    <mergeCell ref="BG220:BG223"/>
    <mergeCell ref="BH220:BH223"/>
    <mergeCell ref="BG212:BG215"/>
    <mergeCell ref="BJ212:BJ215"/>
    <mergeCell ref="BF216:BF219"/>
    <mergeCell ref="BG216:BG219"/>
    <mergeCell ref="BF212:BF215"/>
    <mergeCell ref="BJ216:BJ219"/>
    <mergeCell ref="BR210:BR211"/>
    <mergeCell ref="BS216:BS219"/>
    <mergeCell ref="BT216:BT219"/>
    <mergeCell ref="BU207:BU208"/>
    <mergeCell ref="BL220:BL223"/>
    <mergeCell ref="BT207:BT208"/>
    <mergeCell ref="BN212:BN215"/>
    <mergeCell ref="BU212:BU215"/>
    <mergeCell ref="BU216:BU219"/>
    <mergeCell ref="BQ212:BQ215"/>
    <mergeCell ref="BQ210:BQ211"/>
    <mergeCell ref="BL216:BL219"/>
    <mergeCell ref="BM216:BM219"/>
    <mergeCell ref="BT210:BT211"/>
    <mergeCell ref="BO216:BO219"/>
    <mergeCell ref="BP216:BP219"/>
    <mergeCell ref="BI207:BI208"/>
    <mergeCell ref="BG207:BG208"/>
    <mergeCell ref="BP199:BP206"/>
    <mergeCell ref="BQ224:BQ226"/>
    <mergeCell ref="BS207:BS208"/>
    <mergeCell ref="BX212:BX215"/>
    <mergeCell ref="BT220:BT223"/>
    <mergeCell ref="BR216:BR219"/>
    <mergeCell ref="BS220:BS223"/>
    <mergeCell ref="BK212:BK215"/>
    <mergeCell ref="BQ216:BQ219"/>
    <mergeCell ref="BQ220:BQ223"/>
    <mergeCell ref="BO220:BO223"/>
    <mergeCell ref="BR212:BR215"/>
    <mergeCell ref="BS212:BS215"/>
    <mergeCell ref="BN216:BN219"/>
    <mergeCell ref="BN210:BN211"/>
    <mergeCell ref="BT212:BT215"/>
    <mergeCell ref="BP212:BP215"/>
    <mergeCell ref="BW212:BW215"/>
    <mergeCell ref="BS210:BS211"/>
    <mergeCell ref="BU210:BU211"/>
    <mergeCell ref="BL207:BL208"/>
    <mergeCell ref="BR207:BR208"/>
    <mergeCell ref="BL212:BL215"/>
    <mergeCell ref="BM220:BM223"/>
    <mergeCell ref="BM212:BM215"/>
    <mergeCell ref="BO212:BO215"/>
    <mergeCell ref="BU220:BU223"/>
    <mergeCell ref="BK210:BK211"/>
    <mergeCell ref="BL210:BL211"/>
    <mergeCell ref="BA190:BA192"/>
    <mergeCell ref="BJ210:BJ211"/>
    <mergeCell ref="BG210:BG211"/>
    <mergeCell ref="BH210:BH211"/>
    <mergeCell ref="BI210:BI211"/>
    <mergeCell ref="BF210:BF211"/>
    <mergeCell ref="BD196:BD197"/>
    <mergeCell ref="BS193:BS194"/>
    <mergeCell ref="BI193:BI194"/>
    <mergeCell ref="BJ193:BJ194"/>
    <mergeCell ref="BN196:BN197"/>
    <mergeCell ref="BN193:BN194"/>
    <mergeCell ref="BS196:BS197"/>
    <mergeCell ref="BO196:BO197"/>
    <mergeCell ref="BL196:BL197"/>
    <mergeCell ref="BK196:BK197"/>
    <mergeCell ref="BR196:BR197"/>
    <mergeCell ref="BQ207:BQ208"/>
    <mergeCell ref="BO210:BO211"/>
    <mergeCell ref="BP210:BP211"/>
    <mergeCell ref="BO199:BO206"/>
    <mergeCell ref="BA193:BA194"/>
    <mergeCell ref="BB207:BB208"/>
    <mergeCell ref="BB210:BB211"/>
    <mergeCell ref="BM210:BM211"/>
    <mergeCell ref="BJ196:BJ197"/>
    <mergeCell ref="BI190:BI192"/>
    <mergeCell ref="BJ190:BJ192"/>
    <mergeCell ref="BK190:BK192"/>
    <mergeCell ref="BE196:BE197"/>
    <mergeCell ref="BD199:BD206"/>
    <mergeCell ref="BC196:BC197"/>
    <mergeCell ref="BU193:BU194"/>
    <mergeCell ref="BT196:BT197"/>
    <mergeCell ref="BU196:BU197"/>
    <mergeCell ref="BS190:BS192"/>
    <mergeCell ref="BT190:BT192"/>
    <mergeCell ref="BU190:BU192"/>
    <mergeCell ref="BF196:BF197"/>
    <mergeCell ref="BF207:BF208"/>
    <mergeCell ref="BD207:BD208"/>
    <mergeCell ref="BE199:BE206"/>
    <mergeCell ref="BU185:BU188"/>
    <mergeCell ref="BR190:BR192"/>
    <mergeCell ref="BF190:BF192"/>
    <mergeCell ref="BI196:BI197"/>
    <mergeCell ref="BF199:BF206"/>
    <mergeCell ref="BP193:BP194"/>
    <mergeCell ref="BT193:BT194"/>
    <mergeCell ref="BS185:BS188"/>
    <mergeCell ref="BO193:BO194"/>
    <mergeCell ref="BO207:BO208"/>
    <mergeCell ref="BP207:BP208"/>
    <mergeCell ref="BQ193:BQ194"/>
    <mergeCell ref="BQ196:BQ197"/>
    <mergeCell ref="BR193:BR194"/>
    <mergeCell ref="BP196:BP197"/>
    <mergeCell ref="BL185:BL188"/>
    <mergeCell ref="BM190:BM192"/>
    <mergeCell ref="BM207:BM208"/>
    <mergeCell ref="BM196:BM197"/>
    <mergeCell ref="BK207:BK208"/>
    <mergeCell ref="BN190:BN192"/>
    <mergeCell ref="BK199:BK206"/>
    <mergeCell ref="E185:E188"/>
    <mergeCell ref="AS216:AS226"/>
    <mergeCell ref="AS176:AS179"/>
    <mergeCell ref="H234:H237"/>
    <mergeCell ref="I234:I237"/>
    <mergeCell ref="J234:J237"/>
    <mergeCell ref="E193:E195"/>
    <mergeCell ref="T193:T195"/>
    <mergeCell ref="J216:J219"/>
    <mergeCell ref="F216:F219"/>
    <mergeCell ref="G216:G219"/>
    <mergeCell ref="R193:R195"/>
    <mergeCell ref="T216:T219"/>
    <mergeCell ref="S193:S195"/>
    <mergeCell ref="K207:K209"/>
    <mergeCell ref="L207:L209"/>
    <mergeCell ref="M207:M209"/>
    <mergeCell ref="E180:E184"/>
    <mergeCell ref="I180:I184"/>
    <mergeCell ref="L176:L179"/>
    <mergeCell ref="M176:M179"/>
    <mergeCell ref="U190:U192"/>
    <mergeCell ref="V190:V192"/>
    <mergeCell ref="AN234:AN237"/>
    <mergeCell ref="AM196:AM198"/>
    <mergeCell ref="AN196:AN198"/>
    <mergeCell ref="AK216:AK219"/>
    <mergeCell ref="O176:O179"/>
    <mergeCell ref="F185:F188"/>
    <mergeCell ref="F180:F184"/>
    <mergeCell ref="J180:J184"/>
    <mergeCell ref="H220:H223"/>
    <mergeCell ref="J185:J188"/>
    <mergeCell ref="AM224:AM226"/>
    <mergeCell ref="S199:S206"/>
    <mergeCell ref="AC196:AC198"/>
    <mergeCell ref="AA207:AA209"/>
    <mergeCell ref="AF207:AF209"/>
    <mergeCell ref="AG207:AG209"/>
    <mergeCell ref="AB216:AB219"/>
    <mergeCell ref="AC216:AC219"/>
    <mergeCell ref="AF212:AF215"/>
    <mergeCell ref="Z207:Z209"/>
    <mergeCell ref="R216:R219"/>
    <mergeCell ref="N216:N219"/>
    <mergeCell ref="T220:T223"/>
    <mergeCell ref="U220:U223"/>
    <mergeCell ref="Y190:Y192"/>
    <mergeCell ref="Z190:Z192"/>
    <mergeCell ref="AA190:AA192"/>
    <mergeCell ref="AB190:AB192"/>
    <mergeCell ref="AC190:AC192"/>
    <mergeCell ref="AD190:AD192"/>
    <mergeCell ref="P190:P192"/>
    <mergeCell ref="Q190:Q192"/>
    <mergeCell ref="R190:R192"/>
    <mergeCell ref="S190:S192"/>
    <mergeCell ref="T190:T192"/>
    <mergeCell ref="AD185:AD188"/>
    <mergeCell ref="Z199:Z206"/>
    <mergeCell ref="AD196:AD198"/>
    <mergeCell ref="Z196:Z198"/>
    <mergeCell ref="AC199:AC206"/>
    <mergeCell ref="AB193:AB195"/>
    <mergeCell ref="Q162:Q165"/>
    <mergeCell ref="S162:S165"/>
    <mergeCell ref="Z162:Z165"/>
    <mergeCell ref="U162:U165"/>
    <mergeCell ref="AA162:AA165"/>
    <mergeCell ref="AB162:AB165"/>
    <mergeCell ref="AC162:AC165"/>
    <mergeCell ref="AD162:AD165"/>
    <mergeCell ref="Y199:Y206"/>
    <mergeCell ref="AH220:AH223"/>
    <mergeCell ref="AC220:AC223"/>
    <mergeCell ref="AC212:AC215"/>
    <mergeCell ref="Y207:Y209"/>
    <mergeCell ref="Y220:Y223"/>
    <mergeCell ref="Z220:Z223"/>
    <mergeCell ref="AH216:AH219"/>
    <mergeCell ref="X220:X223"/>
    <mergeCell ref="AB220:AB223"/>
    <mergeCell ref="AD212:AD215"/>
    <mergeCell ref="Z212:Z215"/>
    <mergeCell ref="AG216:AG219"/>
    <mergeCell ref="AB207:AB209"/>
    <mergeCell ref="AD207:AD209"/>
    <mergeCell ref="Y193:Y195"/>
    <mergeCell ref="AB167:AB175"/>
    <mergeCell ref="AC167:AC175"/>
    <mergeCell ref="AD167:AD175"/>
    <mergeCell ref="AE167:AE175"/>
    <mergeCell ref="AF167:AF175"/>
    <mergeCell ref="AG190:AG192"/>
    <mergeCell ref="AH190:AH192"/>
    <mergeCell ref="AG167:AG175"/>
    <mergeCell ref="O134:O140"/>
    <mergeCell ref="I155:I157"/>
    <mergeCell ref="G149:G151"/>
    <mergeCell ref="K155:K157"/>
    <mergeCell ref="P162:P165"/>
    <mergeCell ref="H158:H160"/>
    <mergeCell ref="I158:I160"/>
    <mergeCell ref="J158:J160"/>
    <mergeCell ref="K158:K160"/>
    <mergeCell ref="K162:K165"/>
    <mergeCell ref="J155:J157"/>
    <mergeCell ref="L158:L160"/>
    <mergeCell ref="K141:K145"/>
    <mergeCell ref="K146:K148"/>
    <mergeCell ref="R141:R145"/>
    <mergeCell ref="S141:S145"/>
    <mergeCell ref="T141:T145"/>
    <mergeCell ref="M141:M145"/>
    <mergeCell ref="Q141:Q145"/>
    <mergeCell ref="O141:O145"/>
    <mergeCell ref="P141:P145"/>
    <mergeCell ref="R162:R165"/>
    <mergeCell ref="L152:L154"/>
    <mergeCell ref="M152:M154"/>
    <mergeCell ref="N152:N154"/>
    <mergeCell ref="P152:P154"/>
    <mergeCell ref="Q152:Q154"/>
    <mergeCell ref="T149:T151"/>
    <mergeCell ref="J149:J151"/>
    <mergeCell ref="M162:M165"/>
    <mergeCell ref="N162:N165"/>
    <mergeCell ref="O162:O165"/>
    <mergeCell ref="R152:R154"/>
    <mergeCell ref="AT176:AT179"/>
    <mergeCell ref="P134:P140"/>
    <mergeCell ref="Q134:Q140"/>
    <mergeCell ref="R134:R140"/>
    <mergeCell ref="N141:N145"/>
    <mergeCell ref="J176:J179"/>
    <mergeCell ref="K176:K179"/>
    <mergeCell ref="H162:H175"/>
    <mergeCell ref="H176:H179"/>
    <mergeCell ref="I176:I179"/>
    <mergeCell ref="L141:L145"/>
    <mergeCell ref="H146:H148"/>
    <mergeCell ref="L162:L165"/>
    <mergeCell ref="P176:P179"/>
    <mergeCell ref="Q176:Q179"/>
    <mergeCell ref="R176:R179"/>
    <mergeCell ref="S176:S179"/>
    <mergeCell ref="K149:K151"/>
    <mergeCell ref="L146:L148"/>
    <mergeCell ref="M146:M148"/>
    <mergeCell ref="N146:N148"/>
    <mergeCell ref="O152:O154"/>
    <mergeCell ref="L155:L157"/>
    <mergeCell ref="M155:M157"/>
    <mergeCell ref="N155:N157"/>
    <mergeCell ref="O155:O157"/>
    <mergeCell ref="P155:P157"/>
    <mergeCell ref="K134:K140"/>
    <mergeCell ref="L134:L140"/>
    <mergeCell ref="N176:N179"/>
    <mergeCell ref="O146:O148"/>
    <mergeCell ref="AN134:AN136"/>
    <mergeCell ref="AH146:AH148"/>
    <mergeCell ref="AL146:AL148"/>
    <mergeCell ref="X134:X140"/>
    <mergeCell ref="BA176:BA179"/>
    <mergeCell ref="Y134:Y140"/>
    <mergeCell ref="Z134:Z140"/>
    <mergeCell ref="AA134:AA140"/>
    <mergeCell ref="AB134:AB140"/>
    <mergeCell ref="AZ149:AZ151"/>
    <mergeCell ref="AV158:AV160"/>
    <mergeCell ref="AS158:AS160"/>
    <mergeCell ref="AT158:AT160"/>
    <mergeCell ref="S134:S140"/>
    <mergeCell ref="T176:T179"/>
    <mergeCell ref="U176:U179"/>
    <mergeCell ref="V176:V179"/>
    <mergeCell ref="W176:W179"/>
    <mergeCell ref="X176:X179"/>
    <mergeCell ref="AH141:AH145"/>
    <mergeCell ref="AA149:AA151"/>
    <mergeCell ref="AB149:AB151"/>
    <mergeCell ref="AC149:AC151"/>
    <mergeCell ref="AD149:AD151"/>
    <mergeCell ref="Z146:Z148"/>
    <mergeCell ref="AU176:AU179"/>
    <mergeCell ref="U141:U145"/>
    <mergeCell ref="U149:U151"/>
    <mergeCell ref="AA141:AA145"/>
    <mergeCell ref="AB141:AB145"/>
    <mergeCell ref="AG141:AG145"/>
    <mergeCell ref="Y141:Y145"/>
    <mergeCell ref="AV176:AV179"/>
    <mergeCell ref="AU162:AU175"/>
    <mergeCell ref="AS162:AS175"/>
    <mergeCell ref="AW176:AW179"/>
    <mergeCell ref="AX176:AX179"/>
    <mergeCell ref="AY176:AY179"/>
    <mergeCell ref="AT162:AT175"/>
    <mergeCell ref="AK158:AK160"/>
    <mergeCell ref="AK155:AK157"/>
    <mergeCell ref="AL155:AL157"/>
    <mergeCell ref="AL167:AL175"/>
    <mergeCell ref="AL158:AL160"/>
    <mergeCell ref="AN162:AN163"/>
    <mergeCell ref="AY149:AY151"/>
    <mergeCell ref="AL152:AL154"/>
    <mergeCell ref="AS152:AS154"/>
    <mergeCell ref="AN158:AN160"/>
    <mergeCell ref="AV155:AV157"/>
    <mergeCell ref="AO176:AO179"/>
    <mergeCell ref="AN176:AN179"/>
    <mergeCell ref="AT155:AT157"/>
    <mergeCell ref="AU155:AU157"/>
    <mergeCell ref="AK176:AK179"/>
    <mergeCell ref="AL176:AL179"/>
    <mergeCell ref="AW152:AW154"/>
    <mergeCell ref="AK167:AK175"/>
    <mergeCell ref="AX162:AX175"/>
    <mergeCell ref="AL149:AL151"/>
    <mergeCell ref="AZ92:AZ95"/>
    <mergeCell ref="BB108:BB110"/>
    <mergeCell ref="AT152:AT154"/>
    <mergeCell ref="BB55:BB56"/>
    <mergeCell ref="BC55:BC56"/>
    <mergeCell ref="BA62:BA63"/>
    <mergeCell ref="BB105:BB107"/>
    <mergeCell ref="AZ58:AZ59"/>
    <mergeCell ref="AZ123:AZ126"/>
    <mergeCell ref="BA101:BA103"/>
    <mergeCell ref="AZ101:AZ103"/>
    <mergeCell ref="BB123:BB126"/>
    <mergeCell ref="BC92:BC95"/>
    <mergeCell ref="BA123:BA126"/>
    <mergeCell ref="BC115:BC117"/>
    <mergeCell ref="AV123:AV126"/>
    <mergeCell ref="AU158:AU160"/>
    <mergeCell ref="BC134:BC137"/>
    <mergeCell ref="AZ134:AZ137"/>
    <mergeCell ref="AW158:AW160"/>
    <mergeCell ref="AX158:AX160"/>
    <mergeCell ref="AZ115:AZ117"/>
    <mergeCell ref="AZ155:AZ157"/>
    <mergeCell ref="BA155:BA157"/>
    <mergeCell ref="BA146:BA154"/>
    <mergeCell ref="AZ152:AZ154"/>
    <mergeCell ref="BC158:BC160"/>
    <mergeCell ref="AX123:AX126"/>
    <mergeCell ref="AX149:AX151"/>
    <mergeCell ref="BA134:BA137"/>
    <mergeCell ref="BB86:BB87"/>
    <mergeCell ref="AX111:AX112"/>
    <mergeCell ref="BE105:BE107"/>
    <mergeCell ref="BF96:BF98"/>
    <mergeCell ref="BI118:BI119"/>
    <mergeCell ref="BI120:BI122"/>
    <mergeCell ref="BE134:BE137"/>
    <mergeCell ref="BE123:BE126"/>
    <mergeCell ref="BC118:BC119"/>
    <mergeCell ref="BB96:BB98"/>
    <mergeCell ref="BC96:BC98"/>
    <mergeCell ref="BB101:BB103"/>
    <mergeCell ref="BD111:BD114"/>
    <mergeCell ref="BB115:BB117"/>
    <mergeCell ref="BD115:BD117"/>
    <mergeCell ref="BC101:BC103"/>
    <mergeCell ref="BC105:BC107"/>
    <mergeCell ref="BC108:BC110"/>
    <mergeCell ref="BD101:BD103"/>
    <mergeCell ref="BC111:BC114"/>
    <mergeCell ref="BE132:BE133"/>
    <mergeCell ref="BF115:BF117"/>
    <mergeCell ref="BE118:BE119"/>
    <mergeCell ref="BG118:BG119"/>
    <mergeCell ref="BE115:BE117"/>
    <mergeCell ref="BE86:BE87"/>
    <mergeCell ref="BH92:BH95"/>
    <mergeCell ref="BI92:BI95"/>
    <mergeCell ref="BD134:BD137"/>
    <mergeCell ref="AY47:AY48"/>
    <mergeCell ref="AY55:AY56"/>
    <mergeCell ref="AW51:AW52"/>
    <mergeCell ref="AY62:AY63"/>
    <mergeCell ref="AW62:AW63"/>
    <mergeCell ref="AL58:AL61"/>
    <mergeCell ref="AM58:AM61"/>
    <mergeCell ref="AX55:AX56"/>
    <mergeCell ref="AT51:AT52"/>
    <mergeCell ref="AN58:AN61"/>
    <mergeCell ref="AN51:AN54"/>
    <mergeCell ref="AW55:AW56"/>
    <mergeCell ref="AT55:AT56"/>
    <mergeCell ref="AS51:AS52"/>
    <mergeCell ref="AZ47:AZ48"/>
    <mergeCell ref="AV47:AV50"/>
    <mergeCell ref="AZ51:AZ52"/>
    <mergeCell ref="AZ55:AZ56"/>
    <mergeCell ref="AL62:AL65"/>
    <mergeCell ref="AR55:AR57"/>
    <mergeCell ref="BA66:BA67"/>
    <mergeCell ref="BB74:BB75"/>
    <mergeCell ref="BF77:BF78"/>
    <mergeCell ref="BB62:BB63"/>
    <mergeCell ref="BB70:BB72"/>
    <mergeCell ref="BE74:BE75"/>
    <mergeCell ref="BF74:BF75"/>
    <mergeCell ref="BE82:BE85"/>
    <mergeCell ref="BB82:BB85"/>
    <mergeCell ref="AV77:AV78"/>
    <mergeCell ref="AW77:AW78"/>
    <mergeCell ref="AZ82:AZ85"/>
    <mergeCell ref="AU62:AU63"/>
    <mergeCell ref="AV62:AV63"/>
    <mergeCell ref="AU58:AU59"/>
    <mergeCell ref="AV66:AV67"/>
    <mergeCell ref="AW74:AW75"/>
    <mergeCell ref="AT58:AT59"/>
    <mergeCell ref="BD58:BD59"/>
    <mergeCell ref="BA82:BA85"/>
    <mergeCell ref="BC74:BC75"/>
    <mergeCell ref="BC66:BC67"/>
    <mergeCell ref="BC62:BC63"/>
    <mergeCell ref="BC58:BC59"/>
    <mergeCell ref="BB66:BB67"/>
    <mergeCell ref="BD70:BD72"/>
    <mergeCell ref="BB77:BB78"/>
    <mergeCell ref="BD74:BD75"/>
    <mergeCell ref="AY74:AY75"/>
    <mergeCell ref="AX74:AX75"/>
    <mergeCell ref="BU146:BU153"/>
    <mergeCell ref="BT141:BT144"/>
    <mergeCell ref="BS134:BS135"/>
    <mergeCell ref="BM77:BM78"/>
    <mergeCell ref="BM111:BM114"/>
    <mergeCell ref="BC89:BC91"/>
    <mergeCell ref="CC155:CC157"/>
    <mergeCell ref="BW155:BW157"/>
    <mergeCell ref="BY141:BY144"/>
    <mergeCell ref="BW141:BW144"/>
    <mergeCell ref="CB155:CB157"/>
    <mergeCell ref="BY146:BY153"/>
    <mergeCell ref="BQ155:BQ157"/>
    <mergeCell ref="BS146:BS153"/>
    <mergeCell ref="BK105:BK107"/>
    <mergeCell ref="BK101:BK103"/>
    <mergeCell ref="BM96:BM98"/>
    <mergeCell ref="BK96:BK98"/>
    <mergeCell ref="BM120:BM122"/>
    <mergeCell ref="BM132:BM133"/>
    <mergeCell ref="BO120:BO122"/>
    <mergeCell ref="BQ96:BQ97"/>
    <mergeCell ref="BP96:BP97"/>
    <mergeCell ref="BD92:BD95"/>
    <mergeCell ref="BD105:BD107"/>
    <mergeCell ref="BS141:BS144"/>
    <mergeCell ref="BY155:BY157"/>
    <mergeCell ref="BZ155:BZ157"/>
    <mergeCell ref="BD146:BD154"/>
    <mergeCell ref="BU111:BU114"/>
    <mergeCell ref="BP115:BP117"/>
    <mergeCell ref="BZ111:BZ114"/>
    <mergeCell ref="CB158:CB160"/>
    <mergeCell ref="BL77:BL78"/>
    <mergeCell ref="CC158:CC160"/>
    <mergeCell ref="CA162:CA175"/>
    <mergeCell ref="CA158:CA160"/>
    <mergeCell ref="BT162:BT175"/>
    <mergeCell ref="CC146:CC154"/>
    <mergeCell ref="CC162:CC175"/>
    <mergeCell ref="BE128:BE131"/>
    <mergeCell ref="BT146:BT153"/>
    <mergeCell ref="CB162:CB175"/>
    <mergeCell ref="BZ158:BZ160"/>
    <mergeCell ref="BM108:BM110"/>
    <mergeCell ref="BE111:BE114"/>
    <mergeCell ref="BS155:BS157"/>
    <mergeCell ref="BZ120:BZ122"/>
    <mergeCell ref="BV82:BV85"/>
    <mergeCell ref="BV86:BV87"/>
    <mergeCell ref="BW89:BW91"/>
    <mergeCell ref="BX89:BX91"/>
    <mergeCell ref="BV89:BV91"/>
    <mergeCell ref="BX86:BX87"/>
    <mergeCell ref="BW82:BW85"/>
    <mergeCell ref="BY89:BY91"/>
    <mergeCell ref="BZ162:BZ175"/>
    <mergeCell ref="BX158:BX160"/>
    <mergeCell ref="BV162:BV175"/>
    <mergeCell ref="BY115:BY117"/>
    <mergeCell ref="BV128:BV131"/>
    <mergeCell ref="CA141:CA144"/>
    <mergeCell ref="BN141:BN144"/>
    <mergeCell ref="BQ111:BQ114"/>
    <mergeCell ref="CB141:CB144"/>
    <mergeCell ref="BD158:BD160"/>
    <mergeCell ref="BY92:BY95"/>
    <mergeCell ref="BW92:BW95"/>
    <mergeCell ref="BB89:BB91"/>
    <mergeCell ref="BB92:BB95"/>
    <mergeCell ref="BC77:BC78"/>
    <mergeCell ref="BD86:BD87"/>
    <mergeCell ref="BC82:BC85"/>
    <mergeCell ref="BD82:BD85"/>
    <mergeCell ref="BD89:BD91"/>
    <mergeCell ref="BC86:BC87"/>
    <mergeCell ref="BW128:BW131"/>
    <mergeCell ref="CA146:CA153"/>
    <mergeCell ref="BV180:BV184"/>
    <mergeCell ref="CC180:CC184"/>
    <mergeCell ref="BX141:BX144"/>
    <mergeCell ref="BU134:BU135"/>
    <mergeCell ref="BV141:BV144"/>
    <mergeCell ref="BW134:BW135"/>
    <mergeCell ref="BZ180:BZ184"/>
    <mergeCell ref="CA180:CA184"/>
    <mergeCell ref="BV134:BV135"/>
    <mergeCell ref="CB134:CB135"/>
    <mergeCell ref="BY134:BY135"/>
    <mergeCell ref="BR158:BR159"/>
    <mergeCell ref="BT176:BT179"/>
    <mergeCell ref="BT158:BT159"/>
    <mergeCell ref="BX176:BX179"/>
    <mergeCell ref="BY176:BY179"/>
    <mergeCell ref="BV176:BV179"/>
    <mergeCell ref="BW176:BW179"/>
    <mergeCell ref="BT96:BT97"/>
    <mergeCell ref="CB92:CB95"/>
    <mergeCell ref="BZ101:BZ103"/>
    <mergeCell ref="CB101:CB103"/>
    <mergeCell ref="CC101:CC103"/>
    <mergeCell ref="BT101:BT103"/>
    <mergeCell ref="BY101:BY103"/>
    <mergeCell ref="BV96:BV97"/>
    <mergeCell ref="BW96:BW97"/>
    <mergeCell ref="CC92:CC95"/>
    <mergeCell ref="BX118:BX119"/>
    <mergeCell ref="CA105:CA107"/>
    <mergeCell ref="CA115:CA117"/>
    <mergeCell ref="BU105:BU107"/>
    <mergeCell ref="BT115:BT117"/>
    <mergeCell ref="BT123:BT126"/>
    <mergeCell ref="CA111:CA114"/>
    <mergeCell ref="BZ115:BZ117"/>
    <mergeCell ref="BY105:BY107"/>
    <mergeCell ref="BX105:BX107"/>
    <mergeCell ref="BZ105:BZ107"/>
    <mergeCell ref="BX111:BX114"/>
    <mergeCell ref="BX123:BX126"/>
    <mergeCell ref="BY111:BY114"/>
    <mergeCell ref="BU92:BU95"/>
    <mergeCell ref="BT92:BT95"/>
    <mergeCell ref="CC96:CC98"/>
    <mergeCell ref="BR180:BR184"/>
    <mergeCell ref="BY162:BY175"/>
    <mergeCell ref="BU180:BU184"/>
    <mergeCell ref="BT180:BT184"/>
    <mergeCell ref="BS158:BS159"/>
    <mergeCell ref="BR155:BR157"/>
    <mergeCell ref="BR185:BR188"/>
    <mergeCell ref="CB146:CB153"/>
    <mergeCell ref="BS180:BS184"/>
    <mergeCell ref="BT155:BT157"/>
    <mergeCell ref="BS162:BS175"/>
    <mergeCell ref="BX155:BX157"/>
    <mergeCell ref="BV185:BV188"/>
    <mergeCell ref="BW185:BW188"/>
    <mergeCell ref="BX146:BX153"/>
    <mergeCell ref="BV146:BV153"/>
    <mergeCell ref="CB180:CB184"/>
    <mergeCell ref="BX162:BX175"/>
    <mergeCell ref="BV158:BV160"/>
    <mergeCell ref="BT185:BT188"/>
    <mergeCell ref="BZ146:BZ153"/>
    <mergeCell ref="BX185:BX188"/>
    <mergeCell ref="BW162:BW175"/>
    <mergeCell ref="BY158:BY160"/>
    <mergeCell ref="BW180:BW184"/>
    <mergeCell ref="BY185:BY188"/>
    <mergeCell ref="BU158:BU160"/>
    <mergeCell ref="BR176:BR179"/>
    <mergeCell ref="BU176:BU179"/>
    <mergeCell ref="BU162:BU175"/>
    <mergeCell ref="BR162:BR175"/>
    <mergeCell ref="BW158:BW160"/>
    <mergeCell ref="BW146:BW153"/>
    <mergeCell ref="CB176:CB179"/>
    <mergeCell ref="BN158:BN159"/>
    <mergeCell ref="BN176:BN179"/>
    <mergeCell ref="BV105:BV107"/>
    <mergeCell ref="BT105:BT107"/>
    <mergeCell ref="BT89:BT91"/>
    <mergeCell ref="BU96:BU97"/>
    <mergeCell ref="BU141:BU144"/>
    <mergeCell ref="BV155:BV157"/>
    <mergeCell ref="BU155:BU157"/>
    <mergeCell ref="BX134:BX135"/>
    <mergeCell ref="BY123:BY126"/>
    <mergeCell ref="BW120:BW122"/>
    <mergeCell ref="BV118:BV119"/>
    <mergeCell ref="BV123:BV126"/>
    <mergeCell ref="BW111:BW114"/>
    <mergeCell ref="BX120:BX122"/>
    <mergeCell ref="BY118:BY119"/>
    <mergeCell ref="BV115:BV117"/>
    <mergeCell ref="BX115:BX117"/>
    <mergeCell ref="BV120:BV122"/>
    <mergeCell ref="BW118:BW119"/>
    <mergeCell ref="BQ146:BQ153"/>
    <mergeCell ref="BO162:BO175"/>
    <mergeCell ref="BP158:BP159"/>
    <mergeCell ref="BO134:BO135"/>
    <mergeCell ref="BO118:BO119"/>
    <mergeCell ref="BN118:BN119"/>
    <mergeCell ref="BU101:BU103"/>
    <mergeCell ref="BT134:BT135"/>
    <mergeCell ref="BZ134:BZ135"/>
    <mergeCell ref="BI70:BI72"/>
    <mergeCell ref="BI74:BI75"/>
    <mergeCell ref="BF86:BF87"/>
    <mergeCell ref="BH70:BH72"/>
    <mergeCell ref="BG82:BG85"/>
    <mergeCell ref="BH74:BH75"/>
    <mergeCell ref="BF82:BF85"/>
    <mergeCell ref="BH82:BH85"/>
    <mergeCell ref="BH77:BH78"/>
    <mergeCell ref="BH118:BH119"/>
    <mergeCell ref="BG89:BG91"/>
    <mergeCell ref="BQ134:BQ135"/>
    <mergeCell ref="BF108:BF110"/>
    <mergeCell ref="BF132:BF133"/>
    <mergeCell ref="BG132:BG133"/>
    <mergeCell ref="BG111:BG114"/>
    <mergeCell ref="BN96:BN97"/>
    <mergeCell ref="BM89:BM91"/>
    <mergeCell ref="BL82:BL85"/>
    <mergeCell ref="BF101:BF103"/>
    <mergeCell ref="BH115:BH117"/>
    <mergeCell ref="BJ134:BJ137"/>
    <mergeCell ref="BI115:BI117"/>
    <mergeCell ref="BL118:BL119"/>
    <mergeCell ref="BL132:BL133"/>
    <mergeCell ref="BJ123:BJ126"/>
    <mergeCell ref="BL115:BL117"/>
    <mergeCell ref="BL101:BL103"/>
    <mergeCell ref="BH101:BH103"/>
    <mergeCell ref="BI101:BI103"/>
    <mergeCell ref="BJ96:BJ98"/>
    <mergeCell ref="BQ120:BQ122"/>
    <mergeCell ref="BM51:BM52"/>
    <mergeCell ref="BP70:BP72"/>
    <mergeCell ref="BK70:BK72"/>
    <mergeCell ref="BL66:BL67"/>
    <mergeCell ref="BK51:BK52"/>
    <mergeCell ref="BK66:BK67"/>
    <mergeCell ref="BO70:BO72"/>
    <mergeCell ref="BX96:BX97"/>
    <mergeCell ref="BY96:BY97"/>
    <mergeCell ref="CB86:CB87"/>
    <mergeCell ref="BR92:BR95"/>
    <mergeCell ref="BL74:BL75"/>
    <mergeCell ref="BM92:BM95"/>
    <mergeCell ref="BN92:BN95"/>
    <mergeCell ref="BX92:BX95"/>
    <mergeCell ref="BZ96:BZ97"/>
    <mergeCell ref="CA96:CA97"/>
    <mergeCell ref="BK82:BK85"/>
    <mergeCell ref="BL55:BL56"/>
    <mergeCell ref="BL92:BL95"/>
    <mergeCell ref="BT51:BT52"/>
    <mergeCell ref="CA58:CA59"/>
    <mergeCell ref="CA55:CA56"/>
    <mergeCell ref="BQ55:BQ56"/>
    <mergeCell ref="BR55:BR56"/>
    <mergeCell ref="BQ62:BQ63"/>
    <mergeCell ref="CA77:CA78"/>
    <mergeCell ref="CA86:CA87"/>
    <mergeCell ref="BX77:BX78"/>
    <mergeCell ref="BX70:BX72"/>
    <mergeCell ref="BN55:BN56"/>
    <mergeCell ref="BS51:BS52"/>
    <mergeCell ref="BR51:BR52"/>
    <mergeCell ref="BZ47:BZ48"/>
    <mergeCell ref="BW77:BW78"/>
    <mergeCell ref="BN82:BN85"/>
    <mergeCell ref="BQ92:BQ95"/>
    <mergeCell ref="BR82:BR85"/>
    <mergeCell ref="BO62:BO63"/>
    <mergeCell ref="BN58:BN59"/>
    <mergeCell ref="BP58:BP59"/>
    <mergeCell ref="BN86:BN87"/>
    <mergeCell ref="BR96:BR97"/>
    <mergeCell ref="BQ86:BQ87"/>
    <mergeCell ref="BN66:BN67"/>
    <mergeCell ref="BN74:BN75"/>
    <mergeCell ref="BP66:BP67"/>
    <mergeCell ref="BQ66:BQ67"/>
    <mergeCell ref="BO82:BO85"/>
    <mergeCell ref="BO96:BO97"/>
    <mergeCell ref="BP89:BP91"/>
    <mergeCell ref="BO92:BO95"/>
    <mergeCell ref="BO77:BO78"/>
    <mergeCell ref="BR86:BR87"/>
    <mergeCell ref="BP86:BP87"/>
    <mergeCell ref="BQ77:BQ78"/>
    <mergeCell ref="BS70:BS72"/>
    <mergeCell ref="BS82:BS85"/>
    <mergeCell ref="BP77:BP78"/>
    <mergeCell ref="BQ82:BQ85"/>
    <mergeCell ref="BP74:BP75"/>
    <mergeCell ref="BT86:BT87"/>
    <mergeCell ref="BQ70:BQ72"/>
    <mergeCell ref="BP62:BP63"/>
    <mergeCell ref="BI62:BI63"/>
    <mergeCell ref="BJ70:BJ72"/>
    <mergeCell ref="BG70:BG72"/>
    <mergeCell ref="BJ74:BJ75"/>
    <mergeCell ref="BG74:BG75"/>
    <mergeCell ref="BO55:BO56"/>
    <mergeCell ref="BM55:BM56"/>
    <mergeCell ref="BQ74:BQ75"/>
    <mergeCell ref="BR77:BR78"/>
    <mergeCell ref="CC74:CC75"/>
    <mergeCell ref="CF66:CF67"/>
    <mergeCell ref="CC66:CC67"/>
    <mergeCell ref="CC62:CC63"/>
    <mergeCell ref="BI58:BI59"/>
    <mergeCell ref="CD82:CD85"/>
    <mergeCell ref="BP47:BP48"/>
    <mergeCell ref="BO47:BO48"/>
    <mergeCell ref="BN51:BN52"/>
    <mergeCell ref="BN47:BN48"/>
    <mergeCell ref="BJ55:BJ56"/>
    <mergeCell ref="CB82:CB85"/>
    <mergeCell ref="BU66:BU67"/>
    <mergeCell ref="BU51:BU52"/>
    <mergeCell ref="BO66:BO67"/>
    <mergeCell ref="CB74:CB75"/>
    <mergeCell ref="BS62:BS63"/>
    <mergeCell ref="BS66:BS67"/>
    <mergeCell ref="BS58:BS59"/>
    <mergeCell ref="BO58:BO59"/>
    <mergeCell ref="BP55:BP56"/>
    <mergeCell ref="BK74:BK75"/>
    <mergeCell ref="BK77:BK78"/>
    <mergeCell ref="BN70:BN72"/>
    <mergeCell ref="BL62:BL63"/>
    <mergeCell ref="BK62:BK63"/>
    <mergeCell ref="BK58:BK59"/>
    <mergeCell ref="BM62:BM63"/>
    <mergeCell ref="BM66:BM67"/>
    <mergeCell ref="BN62:BN63"/>
    <mergeCell ref="BM58:BM59"/>
    <mergeCell ref="BJ62:BJ63"/>
    <mergeCell ref="BY62:BY63"/>
    <mergeCell ref="BX58:BX59"/>
    <mergeCell ref="CH58:CH59"/>
    <mergeCell ref="CG58:CG59"/>
    <mergeCell ref="CD70:CD72"/>
    <mergeCell ref="CD66:CD67"/>
    <mergeCell ref="BL70:BL72"/>
    <mergeCell ref="BM70:BM72"/>
    <mergeCell ref="CB62:CB63"/>
    <mergeCell ref="CF58:CF59"/>
    <mergeCell ref="BP190:BP192"/>
    <mergeCell ref="BG190:BG192"/>
    <mergeCell ref="BH193:BH194"/>
    <mergeCell ref="BD190:BD192"/>
    <mergeCell ref="CB34:CB36"/>
    <mergeCell ref="CA32:CA33"/>
    <mergeCell ref="CG37:CG40"/>
    <mergeCell ref="CI47:CI48"/>
    <mergeCell ref="CC43:CC45"/>
    <mergeCell ref="CA34:CA36"/>
    <mergeCell ref="CA47:CA48"/>
    <mergeCell ref="CH55:CH56"/>
    <mergeCell ref="CD43:CD45"/>
    <mergeCell ref="CH43:CH45"/>
    <mergeCell ref="CG47:CG48"/>
    <mergeCell ref="CF55:CF56"/>
    <mergeCell ref="CB51:CB52"/>
    <mergeCell ref="CI55:CI56"/>
    <mergeCell ref="CD37:CD40"/>
    <mergeCell ref="CE37:CE40"/>
    <mergeCell ref="CF51:CF52"/>
    <mergeCell ref="CE51:CE52"/>
    <mergeCell ref="CE43:CE45"/>
    <mergeCell ref="CD55:CD56"/>
    <mergeCell ref="CC47:CC48"/>
    <mergeCell ref="CA51:CA52"/>
    <mergeCell ref="CB37:CB40"/>
    <mergeCell ref="CD32:CD33"/>
    <mergeCell ref="CE32:CE33"/>
    <mergeCell ref="CH32:CH33"/>
    <mergeCell ref="CI58:CI59"/>
    <mergeCell ref="CI62:CI63"/>
    <mergeCell ref="BJ180:BJ184"/>
    <mergeCell ref="BO180:BO184"/>
    <mergeCell ref="BO185:BO188"/>
    <mergeCell ref="BC193:BC194"/>
    <mergeCell ref="BD193:BD194"/>
    <mergeCell ref="BE193:BE194"/>
    <mergeCell ref="BK193:BK194"/>
    <mergeCell ref="BG193:BG194"/>
    <mergeCell ref="BK185:BK188"/>
    <mergeCell ref="BM185:BM188"/>
    <mergeCell ref="BG196:BG197"/>
    <mergeCell ref="BF193:BF194"/>
    <mergeCell ref="BF185:BF188"/>
    <mergeCell ref="BG185:BG188"/>
    <mergeCell ref="BJ185:BJ188"/>
    <mergeCell ref="BH196:BH197"/>
    <mergeCell ref="BH180:BH184"/>
    <mergeCell ref="BL193:BL194"/>
    <mergeCell ref="BM193:BM194"/>
    <mergeCell ref="BO190:BO192"/>
    <mergeCell ref="BD180:BD184"/>
    <mergeCell ref="BE190:BE192"/>
    <mergeCell ref="BA210:BA211"/>
    <mergeCell ref="AZ207:AZ208"/>
    <mergeCell ref="BH224:BH226"/>
    <mergeCell ref="BI224:BI226"/>
    <mergeCell ref="AY212:AY215"/>
    <mergeCell ref="AU216:AU219"/>
    <mergeCell ref="AV216:AV219"/>
    <mergeCell ref="AW216:AW219"/>
    <mergeCell ref="AX216:AX219"/>
    <mergeCell ref="BC220:BC223"/>
    <mergeCell ref="BB199:BB206"/>
    <mergeCell ref="BC216:BC219"/>
    <mergeCell ref="BD216:BD219"/>
    <mergeCell ref="BE216:BE219"/>
    <mergeCell ref="BC210:BC211"/>
    <mergeCell ref="BD210:BD211"/>
    <mergeCell ref="BD212:BD215"/>
    <mergeCell ref="BG224:BG226"/>
    <mergeCell ref="BG199:BG206"/>
    <mergeCell ref="BH199:BH206"/>
    <mergeCell ref="BI199:BI206"/>
    <mergeCell ref="BD220:BD223"/>
    <mergeCell ref="BE210:BE211"/>
    <mergeCell ref="BC212:BC215"/>
    <mergeCell ref="BC207:BC208"/>
    <mergeCell ref="BE212:BE215"/>
    <mergeCell ref="AW212:AW215"/>
    <mergeCell ref="AX212:AX215"/>
    <mergeCell ref="BC199:BC206"/>
    <mergeCell ref="BB216:BB219"/>
    <mergeCell ref="BB220:BB223"/>
    <mergeCell ref="BB224:BB226"/>
    <mergeCell ref="AL216:AL219"/>
    <mergeCell ref="AY216:AY219"/>
    <mergeCell ref="AT220:AT223"/>
    <mergeCell ref="AY224:AY226"/>
    <mergeCell ref="AU224:AU226"/>
    <mergeCell ref="AZ224:AZ226"/>
    <mergeCell ref="AV220:AV223"/>
    <mergeCell ref="AW220:AW223"/>
    <mergeCell ref="AX220:AX223"/>
    <mergeCell ref="AV224:AV226"/>
    <mergeCell ref="AW224:AW226"/>
    <mergeCell ref="AX224:AX226"/>
    <mergeCell ref="AZ220:AZ223"/>
    <mergeCell ref="AV196:AV197"/>
    <mergeCell ref="AW196:AW197"/>
    <mergeCell ref="AX199:AX206"/>
    <mergeCell ref="AU210:AU211"/>
    <mergeCell ref="AT212:AT215"/>
    <mergeCell ref="AV210:AV211"/>
    <mergeCell ref="AZ199:AZ206"/>
    <mergeCell ref="AY210:AY211"/>
    <mergeCell ref="AU199:AU206"/>
    <mergeCell ref="AV199:AV206"/>
    <mergeCell ref="AW199:AW206"/>
    <mergeCell ref="AN224:AN226"/>
    <mergeCell ref="AN220:AN223"/>
    <mergeCell ref="AN216:AN219"/>
    <mergeCell ref="AM216:AM219"/>
    <mergeCell ref="AL224:AL226"/>
    <mergeCell ref="AM220:AM223"/>
    <mergeCell ref="AZ210:AZ211"/>
    <mergeCell ref="AN193:AN195"/>
    <mergeCell ref="AM193:AM195"/>
    <mergeCell ref="AI196:AI198"/>
    <mergeCell ref="AC207:AC209"/>
    <mergeCell ref="AA196:AA198"/>
    <mergeCell ref="AD193:AD195"/>
    <mergeCell ref="AI199:AI206"/>
    <mergeCell ref="AJ199:AJ206"/>
    <mergeCell ref="AK199:AK206"/>
    <mergeCell ref="AH207:AH209"/>
    <mergeCell ref="AH196:AH198"/>
    <mergeCell ref="AB196:AB198"/>
    <mergeCell ref="AE207:AE209"/>
    <mergeCell ref="AE199:AE206"/>
    <mergeCell ref="AK207:AK209"/>
    <mergeCell ref="AG199:AG206"/>
    <mergeCell ref="AD199:AD206"/>
    <mergeCell ref="AE196:AE198"/>
    <mergeCell ref="AF196:AF198"/>
    <mergeCell ref="AG196:AG198"/>
    <mergeCell ref="AL196:AL198"/>
    <mergeCell ref="AE193:AE195"/>
    <mergeCell ref="AF199:AF206"/>
    <mergeCell ref="AG193:AG195"/>
    <mergeCell ref="AH193:AH195"/>
    <mergeCell ref="AH199:AH206"/>
    <mergeCell ref="E220:E223"/>
    <mergeCell ref="K220:K223"/>
    <mergeCell ref="J220:J223"/>
    <mergeCell ref="P216:P219"/>
    <mergeCell ref="G220:G223"/>
    <mergeCell ref="F220:F223"/>
    <mergeCell ref="L216:L219"/>
    <mergeCell ref="M216:M219"/>
    <mergeCell ref="K224:K226"/>
    <mergeCell ref="L220:L223"/>
    <mergeCell ref="M220:M223"/>
    <mergeCell ref="N220:N223"/>
    <mergeCell ref="O220:O223"/>
    <mergeCell ref="P220:P223"/>
    <mergeCell ref="O224:O226"/>
    <mergeCell ref="L224:L226"/>
    <mergeCell ref="M224:M226"/>
    <mergeCell ref="P224:P226"/>
    <mergeCell ref="O216:O219"/>
    <mergeCell ref="E224:E226"/>
    <mergeCell ref="F224:F226"/>
    <mergeCell ref="G224:G226"/>
    <mergeCell ref="H224:H226"/>
    <mergeCell ref="I224:I226"/>
    <mergeCell ref="J224:J226"/>
    <mergeCell ref="N224:N226"/>
    <mergeCell ref="Q220:Q223"/>
    <mergeCell ref="R220:R223"/>
    <mergeCell ref="Y212:Y215"/>
    <mergeCell ref="J212:J215"/>
    <mergeCell ref="AJ207:AJ209"/>
    <mergeCell ref="W207:W209"/>
    <mergeCell ref="AV190:AV192"/>
    <mergeCell ref="AL185:AL188"/>
    <mergeCell ref="AS190:AS195"/>
    <mergeCell ref="AS185:AS188"/>
    <mergeCell ref="AU190:AU192"/>
    <mergeCell ref="AV193:AV194"/>
    <mergeCell ref="G196:G198"/>
    <mergeCell ref="F196:F198"/>
    <mergeCell ref="D212:D215"/>
    <mergeCell ref="K216:K219"/>
    <mergeCell ref="X212:X215"/>
    <mergeCell ref="G212:G215"/>
    <mergeCell ref="H212:H215"/>
    <mergeCell ref="I212:I215"/>
    <mergeCell ref="R212:R215"/>
    <mergeCell ref="F212:F215"/>
    <mergeCell ref="E212:E215"/>
    <mergeCell ref="J196:J198"/>
    <mergeCell ref="M199:M206"/>
    <mergeCell ref="M196:M198"/>
    <mergeCell ref="K199:K206"/>
    <mergeCell ref="J199:J206"/>
    <mergeCell ref="G207:G209"/>
    <mergeCell ref="H207:H209"/>
    <mergeCell ref="E216:E219"/>
    <mergeCell ref="H216:H219"/>
    <mergeCell ref="I216:I219"/>
    <mergeCell ref="AT193:AT194"/>
    <mergeCell ref="U212:U215"/>
    <mergeCell ref="T212:T215"/>
    <mergeCell ref="M190:M192"/>
    <mergeCell ref="N190:N192"/>
    <mergeCell ref="AN190:AN192"/>
    <mergeCell ref="AM190:AM192"/>
    <mergeCell ref="D216:D219"/>
    <mergeCell ref="AI193:AI195"/>
    <mergeCell ref="AK196:AK198"/>
    <mergeCell ref="AJ193:AJ195"/>
    <mergeCell ref="AK193:AK195"/>
    <mergeCell ref="AL193:AL195"/>
    <mergeCell ref="AK190:AK192"/>
    <mergeCell ref="AM210:AM211"/>
    <mergeCell ref="AL212:AL215"/>
    <mergeCell ref="AK212:AK215"/>
    <mergeCell ref="AM212:AM215"/>
    <mergeCell ref="I190:I192"/>
    <mergeCell ref="I207:I209"/>
    <mergeCell ref="F207:F209"/>
    <mergeCell ref="G210:G211"/>
    <mergeCell ref="V196:V198"/>
    <mergeCell ref="H210:H211"/>
    <mergeCell ref="N199:N206"/>
    <mergeCell ref="H199:H206"/>
    <mergeCell ref="H196:H198"/>
    <mergeCell ref="I210:I211"/>
    <mergeCell ref="L199:L206"/>
    <mergeCell ref="F190:F192"/>
    <mergeCell ref="I193:I195"/>
    <mergeCell ref="J190:J192"/>
    <mergeCell ref="S212:S215"/>
    <mergeCell ref="AE185:AE188"/>
    <mergeCell ref="AF185:AF188"/>
    <mergeCell ref="AG185:AG188"/>
    <mergeCell ref="AH185:AH188"/>
    <mergeCell ref="AI185:AI188"/>
    <mergeCell ref="AI190:AI192"/>
    <mergeCell ref="AE190:AE192"/>
    <mergeCell ref="AL207:AL209"/>
    <mergeCell ref="AM199:AM206"/>
    <mergeCell ref="AF193:AF195"/>
    <mergeCell ref="AG212:AG215"/>
    <mergeCell ref="AH212:AH215"/>
    <mergeCell ref="AI212:AI215"/>
    <mergeCell ref="AJ212:AJ215"/>
    <mergeCell ref="AM185:AM188"/>
    <mergeCell ref="AF190:AF192"/>
    <mergeCell ref="K212:K215"/>
    <mergeCell ref="L212:L215"/>
    <mergeCell ref="O199:O206"/>
    <mergeCell ref="K196:K198"/>
    <mergeCell ref="AL190:AL192"/>
    <mergeCell ref="X207:X209"/>
    <mergeCell ref="AJ196:AJ198"/>
    <mergeCell ref="O207:O209"/>
    <mergeCell ref="U199:U206"/>
    <mergeCell ref="T199:T206"/>
    <mergeCell ref="Z193:Z195"/>
    <mergeCell ref="M212:M215"/>
    <mergeCell ref="N212:N215"/>
    <mergeCell ref="O212:O215"/>
    <mergeCell ref="P212:P215"/>
    <mergeCell ref="Q212:Q215"/>
    <mergeCell ref="AA199:AA206"/>
    <mergeCell ref="X199:X206"/>
    <mergeCell ref="D190:D192"/>
    <mergeCell ref="D196:D198"/>
    <mergeCell ref="D207:D209"/>
    <mergeCell ref="D199:D206"/>
    <mergeCell ref="D193:D195"/>
    <mergeCell ref="R199:R206"/>
    <mergeCell ref="P199:P206"/>
    <mergeCell ref="E207:E209"/>
    <mergeCell ref="E196:E198"/>
    <mergeCell ref="B189:D189"/>
    <mergeCell ref="C196:C211"/>
    <mergeCell ref="E210:E211"/>
    <mergeCell ref="J210:J211"/>
    <mergeCell ref="G199:G206"/>
    <mergeCell ref="O190:O192"/>
    <mergeCell ref="W193:W195"/>
    <mergeCell ref="N196:N198"/>
    <mergeCell ref="O196:O198"/>
    <mergeCell ref="BA105:BA107"/>
    <mergeCell ref="BA92:BA95"/>
    <mergeCell ref="AY58:AY59"/>
    <mergeCell ref="AY70:AY72"/>
    <mergeCell ref="V193:V195"/>
    <mergeCell ref="AN207:AN209"/>
    <mergeCell ref="V199:V206"/>
    <mergeCell ref="W196:W198"/>
    <mergeCell ref="X196:X198"/>
    <mergeCell ref="P193:P195"/>
    <mergeCell ref="Q193:Q195"/>
    <mergeCell ref="Q199:Q206"/>
    <mergeCell ref="G180:G184"/>
    <mergeCell ref="G190:G192"/>
    <mergeCell ref="AN199:AN206"/>
    <mergeCell ref="AL199:AL206"/>
    <mergeCell ref="AM207:AM209"/>
    <mergeCell ref="AI207:AI209"/>
    <mergeCell ref="AJ190:AJ192"/>
    <mergeCell ref="X193:X195"/>
    <mergeCell ref="AC193:AC195"/>
    <mergeCell ref="AA193:AA195"/>
    <mergeCell ref="L190:L192"/>
    <mergeCell ref="G176:G179"/>
    <mergeCell ref="H185:H188"/>
    <mergeCell ref="G185:G188"/>
    <mergeCell ref="AV162:AV175"/>
    <mergeCell ref="AN180:AN183"/>
    <mergeCell ref="AM176:AM179"/>
    <mergeCell ref="AZ180:AZ184"/>
    <mergeCell ref="AY193:AY194"/>
    <mergeCell ref="AY185:AY188"/>
    <mergeCell ref="C180:C188"/>
    <mergeCell ref="AX180:AX184"/>
    <mergeCell ref="AM34:AM36"/>
    <mergeCell ref="AT180:AT184"/>
    <mergeCell ref="AT185:AT188"/>
    <mergeCell ref="AU185:AU188"/>
    <mergeCell ref="AV185:AV188"/>
    <mergeCell ref="AI34:AI36"/>
    <mergeCell ref="AF43:AF45"/>
    <mergeCell ref="AH43:AH45"/>
    <mergeCell ref="AI43:AI45"/>
    <mergeCell ref="AJ41:AJ42"/>
    <mergeCell ref="AY32:AZ42"/>
    <mergeCell ref="AH32:AH33"/>
    <mergeCell ref="AI32:AI33"/>
    <mergeCell ref="AM43:AM45"/>
    <mergeCell ref="AJ43:AJ45"/>
    <mergeCell ref="AK43:AK45"/>
    <mergeCell ref="AL43:AL45"/>
    <mergeCell ref="AJ34:AJ36"/>
    <mergeCell ref="Q89:Q91"/>
    <mergeCell ref="Q43:Q45"/>
    <mergeCell ref="AN164:AN165"/>
    <mergeCell ref="AN187:AN188"/>
    <mergeCell ref="AN185:AN186"/>
    <mergeCell ref="AW46:AX46"/>
    <mergeCell ref="AS47:AS50"/>
    <mergeCell ref="AT47:AT50"/>
    <mergeCell ref="AU47:AU50"/>
    <mergeCell ref="AY46:AZ46"/>
    <mergeCell ref="AW47:AW48"/>
    <mergeCell ref="AX47:AX48"/>
    <mergeCell ref="AS180:AS184"/>
    <mergeCell ref="BC120:BC122"/>
    <mergeCell ref="BC123:BC126"/>
    <mergeCell ref="AY111:AY112"/>
    <mergeCell ref="D210:D211"/>
    <mergeCell ref="H193:H195"/>
    <mergeCell ref="I196:I198"/>
    <mergeCell ref="J162:J175"/>
    <mergeCell ref="J193:J195"/>
    <mergeCell ref="AY128:AY131"/>
    <mergeCell ref="L193:L195"/>
    <mergeCell ref="I162:I175"/>
    <mergeCell ref="W190:W192"/>
    <mergeCell ref="M193:M195"/>
    <mergeCell ref="E190:E192"/>
    <mergeCell ref="AT196:AT197"/>
    <mergeCell ref="BB190:BB192"/>
    <mergeCell ref="AW190:AW192"/>
    <mergeCell ref="BC190:BC192"/>
    <mergeCell ref="AX196:AX197"/>
    <mergeCell ref="AU196:AU197"/>
    <mergeCell ref="AZ193:AZ194"/>
    <mergeCell ref="AY196:AY197"/>
    <mergeCell ref="AZ196:AZ197"/>
    <mergeCell ref="AU193:AU194"/>
    <mergeCell ref="AX190:AX192"/>
    <mergeCell ref="AY190:AY192"/>
    <mergeCell ref="AZ190:AZ192"/>
    <mergeCell ref="BB193:BB194"/>
    <mergeCell ref="AW180:AW184"/>
    <mergeCell ref="AY180:AY184"/>
    <mergeCell ref="AW193:AW194"/>
    <mergeCell ref="BB185:BB188"/>
    <mergeCell ref="AW185:AW188"/>
    <mergeCell ref="BA108:BA110"/>
    <mergeCell ref="BB120:BB122"/>
    <mergeCell ref="BG108:BG110"/>
    <mergeCell ref="BI180:BI184"/>
    <mergeCell ref="AX108:AX110"/>
    <mergeCell ref="BC176:BC179"/>
    <mergeCell ref="BB176:BB179"/>
    <mergeCell ref="BD176:BD179"/>
    <mergeCell ref="AZ176:AZ179"/>
    <mergeCell ref="BE176:BE179"/>
    <mergeCell ref="BE146:BE154"/>
    <mergeCell ref="AY141:AY145"/>
    <mergeCell ref="AY134:AY137"/>
    <mergeCell ref="AX134:AX137"/>
    <mergeCell ref="AY152:AY154"/>
    <mergeCell ref="BI141:BI145"/>
    <mergeCell ref="BI128:BI131"/>
    <mergeCell ref="BI158:BI160"/>
    <mergeCell ref="BH176:BH179"/>
    <mergeCell ref="BD108:BD110"/>
    <mergeCell ref="AX141:AX145"/>
    <mergeCell ref="BD155:BD157"/>
    <mergeCell ref="BF176:BF179"/>
    <mergeCell ref="BG176:BG179"/>
    <mergeCell ref="BI176:BI179"/>
    <mergeCell ref="AX185:AX188"/>
    <mergeCell ref="BA185:BA188"/>
    <mergeCell ref="BD118:BD119"/>
    <mergeCell ref="AW162:AW175"/>
    <mergeCell ref="BA180:BA184"/>
    <mergeCell ref="AS108:AS110"/>
    <mergeCell ref="AU111:AU112"/>
    <mergeCell ref="AW111:AW112"/>
    <mergeCell ref="AU77:AU78"/>
    <mergeCell ref="AS96:AS97"/>
    <mergeCell ref="AU94:AU95"/>
    <mergeCell ref="AW96:AW97"/>
    <mergeCell ref="AU108:AU110"/>
    <mergeCell ref="AU96:AU97"/>
    <mergeCell ref="AS92:AS93"/>
    <mergeCell ref="BC185:BC188"/>
    <mergeCell ref="BD185:BD188"/>
    <mergeCell ref="BH185:BH188"/>
    <mergeCell ref="BG180:BG184"/>
    <mergeCell ref="BE180:BE184"/>
    <mergeCell ref="BF146:BF154"/>
    <mergeCell ref="BF155:BF157"/>
    <mergeCell ref="BF180:BF184"/>
    <mergeCell ref="BF158:BF160"/>
    <mergeCell ref="BH158:BH160"/>
    <mergeCell ref="AU180:AU184"/>
    <mergeCell ref="AV180:AV184"/>
    <mergeCell ref="BA120:BA122"/>
    <mergeCell ref="BH105:BH107"/>
    <mergeCell ref="BH123:BH126"/>
    <mergeCell ref="AT111:AT112"/>
    <mergeCell ref="AZ108:AZ110"/>
    <mergeCell ref="AT108:AT110"/>
    <mergeCell ref="BF111:BF114"/>
    <mergeCell ref="AY108:AY110"/>
    <mergeCell ref="AZ111:AZ114"/>
    <mergeCell ref="AZ185:AZ188"/>
    <mergeCell ref="S32:S33"/>
    <mergeCell ref="X32:X33"/>
    <mergeCell ref="Z32:Z33"/>
    <mergeCell ref="T32:T33"/>
    <mergeCell ref="U32:U33"/>
    <mergeCell ref="Y32:Y33"/>
    <mergeCell ref="BB27:BB30"/>
    <mergeCell ref="AC32:AC33"/>
    <mergeCell ref="AD32:AD33"/>
    <mergeCell ref="AI27:AI28"/>
    <mergeCell ref="AH27:AH28"/>
    <mergeCell ref="AD30:AD31"/>
    <mergeCell ref="AG30:AG31"/>
    <mergeCell ref="AE27:AE28"/>
    <mergeCell ref="AE30:AE31"/>
    <mergeCell ref="AC30:AC31"/>
    <mergeCell ref="BA23:BA24"/>
    <mergeCell ref="AW32:AX42"/>
    <mergeCell ref="AU32:AV42"/>
    <mergeCell ref="AK41:AK42"/>
    <mergeCell ref="BA55:BA56"/>
    <mergeCell ref="BA47:BA48"/>
    <mergeCell ref="BA43:BA45"/>
    <mergeCell ref="BA77:BA78"/>
    <mergeCell ref="BB23:BB24"/>
    <mergeCell ref="BA25:BA26"/>
    <mergeCell ref="BA14:BA19"/>
    <mergeCell ref="BG14:BG19"/>
    <mergeCell ref="AX51:AX52"/>
    <mergeCell ref="AY51:AY52"/>
    <mergeCell ref="BB14:BB19"/>
    <mergeCell ref="BB25:BB26"/>
    <mergeCell ref="BG23:BG24"/>
    <mergeCell ref="BD23:BD24"/>
    <mergeCell ref="BE23:BE24"/>
    <mergeCell ref="BA51:BA52"/>
    <mergeCell ref="AF30:AF31"/>
    <mergeCell ref="BA37:BA40"/>
    <mergeCell ref="AH34:AH36"/>
    <mergeCell ref="AL41:AL42"/>
    <mergeCell ref="AS46:AT46"/>
    <mergeCell ref="BA58:BA59"/>
    <mergeCell ref="BE66:BE67"/>
    <mergeCell ref="BF58:BF59"/>
    <mergeCell ref="BE62:BE63"/>
    <mergeCell ref="BF62:BF63"/>
    <mergeCell ref="BF70:BF72"/>
    <mergeCell ref="BF51:BF52"/>
    <mergeCell ref="BB51:BB52"/>
    <mergeCell ref="AW43:AX45"/>
    <mergeCell ref="BA74:BA75"/>
    <mergeCell ref="AM66:AM69"/>
    <mergeCell ref="AM86:AM88"/>
    <mergeCell ref="AM89:AM91"/>
    <mergeCell ref="AN82:AN85"/>
    <mergeCell ref="AI86:AI88"/>
    <mergeCell ref="AU66:AU67"/>
    <mergeCell ref="AT74:AT75"/>
    <mergeCell ref="AL86:AL88"/>
    <mergeCell ref="AT66:AT67"/>
    <mergeCell ref="AT70:AT72"/>
    <mergeCell ref="AU74:AU75"/>
    <mergeCell ref="AP89:AP91"/>
    <mergeCell ref="AN74:AN76"/>
    <mergeCell ref="AP77:AP79"/>
    <mergeCell ref="AN66:AN69"/>
    <mergeCell ref="AN89:AN90"/>
    <mergeCell ref="AQ89:AQ91"/>
    <mergeCell ref="AZ77:AZ78"/>
    <mergeCell ref="AZ86:AZ87"/>
    <mergeCell ref="BA70:BA72"/>
    <mergeCell ref="BA86:BA87"/>
    <mergeCell ref="BA6:BM7"/>
    <mergeCell ref="C6:C8"/>
    <mergeCell ref="AP6:AR7"/>
    <mergeCell ref="BG9:BG12"/>
    <mergeCell ref="Q9:Q13"/>
    <mergeCell ref="M9:M13"/>
    <mergeCell ref="R9:R13"/>
    <mergeCell ref="AI14:AI19"/>
    <mergeCell ref="AE14:AE19"/>
    <mergeCell ref="BF20:BF22"/>
    <mergeCell ref="BA20:BA22"/>
    <mergeCell ref="BB9:BB12"/>
    <mergeCell ref="K6:N7"/>
    <mergeCell ref="BF14:BF19"/>
    <mergeCell ref="AL32:AL33"/>
    <mergeCell ref="AK30:AK31"/>
    <mergeCell ref="AN37:AN40"/>
    <mergeCell ref="AM32:AM33"/>
    <mergeCell ref="AK25:AK26"/>
    <mergeCell ref="AL25:AL26"/>
    <mergeCell ref="AN27:AN28"/>
    <mergeCell ref="AK34:AK36"/>
    <mergeCell ref="AL34:AL36"/>
    <mergeCell ref="AK23:AK24"/>
    <mergeCell ref="AK20:AK22"/>
    <mergeCell ref="AJ25:AJ26"/>
    <mergeCell ref="AJ32:AJ33"/>
    <mergeCell ref="AK32:AK33"/>
    <mergeCell ref="AJ27:AJ28"/>
    <mergeCell ref="AK27:AK28"/>
    <mergeCell ref="AL27:AL28"/>
    <mergeCell ref="AM37:AM40"/>
    <mergeCell ref="BC9:BC12"/>
    <mergeCell ref="BE9:BE12"/>
    <mergeCell ref="BC14:BC19"/>
    <mergeCell ref="BD14:BD19"/>
    <mergeCell ref="BE14:BE19"/>
    <mergeCell ref="BA9:BA12"/>
    <mergeCell ref="BD9:BD12"/>
    <mergeCell ref="BC20:BC22"/>
    <mergeCell ref="BD20:BD22"/>
    <mergeCell ref="BE20:BE22"/>
    <mergeCell ref="F23:F24"/>
    <mergeCell ref="AH14:AH19"/>
    <mergeCell ref="AM27:AM28"/>
    <mergeCell ref="AG27:AG28"/>
    <mergeCell ref="Y14:Y19"/>
    <mergeCell ref="Y20:Y22"/>
    <mergeCell ref="A1:BO1"/>
    <mergeCell ref="A2:BO2"/>
    <mergeCell ref="A3:BO3"/>
    <mergeCell ref="AY6:AZ7"/>
    <mergeCell ref="AS6:AX6"/>
    <mergeCell ref="A6:B7"/>
    <mergeCell ref="AM6:AM8"/>
    <mergeCell ref="AW7:AX7"/>
    <mergeCell ref="AN6:AN8"/>
    <mergeCell ref="AU7:AV7"/>
    <mergeCell ref="D6:J7"/>
    <mergeCell ref="BN6:BN8"/>
    <mergeCell ref="AS7:AT7"/>
    <mergeCell ref="O6:R7"/>
    <mergeCell ref="S6:V7"/>
    <mergeCell ref="W6:Z7"/>
    <mergeCell ref="H155:H157"/>
    <mergeCell ref="H43:H45"/>
    <mergeCell ref="E152:E154"/>
    <mergeCell ref="L34:L36"/>
    <mergeCell ref="M34:M36"/>
    <mergeCell ref="E30:E31"/>
    <mergeCell ref="F30:F31"/>
    <mergeCell ref="R25:R26"/>
    <mergeCell ref="N34:N36"/>
    <mergeCell ref="I89:I91"/>
    <mergeCell ref="T86:T88"/>
    <mergeCell ref="U86:U88"/>
    <mergeCell ref="I152:I154"/>
    <mergeCell ref="BF9:BF12"/>
    <mergeCell ref="G14:G19"/>
    <mergeCell ref="I27:I28"/>
    <mergeCell ref="J27:J28"/>
    <mergeCell ref="F27:F28"/>
    <mergeCell ref="I25:I26"/>
    <mergeCell ref="F25:F26"/>
    <mergeCell ref="I20:I22"/>
    <mergeCell ref="K30:K31"/>
    <mergeCell ref="S20:S22"/>
    <mergeCell ref="V20:V22"/>
    <mergeCell ref="T20:T22"/>
    <mergeCell ref="U25:U26"/>
    <mergeCell ref="M23:M24"/>
    <mergeCell ref="N23:N24"/>
    <mergeCell ref="O25:O26"/>
    <mergeCell ref="L30:L31"/>
    <mergeCell ref="L27:L28"/>
    <mergeCell ref="G66:G69"/>
    <mergeCell ref="E66:E69"/>
    <mergeCell ref="F37:F40"/>
    <mergeCell ref="H47:H50"/>
    <mergeCell ref="I47:I50"/>
    <mergeCell ref="E47:E50"/>
    <mergeCell ref="D47:D50"/>
    <mergeCell ref="H41:H42"/>
    <mergeCell ref="I41:I42"/>
    <mergeCell ref="H37:H40"/>
    <mergeCell ref="J66:J69"/>
    <mergeCell ref="I62:I65"/>
    <mergeCell ref="J43:J45"/>
    <mergeCell ref="H66:H69"/>
    <mergeCell ref="I66:I69"/>
    <mergeCell ref="H58:H61"/>
    <mergeCell ref="I51:I54"/>
    <mergeCell ref="J51:J54"/>
    <mergeCell ref="J55:J57"/>
    <mergeCell ref="E37:E40"/>
    <mergeCell ref="J37:J40"/>
    <mergeCell ref="I37:I40"/>
    <mergeCell ref="D37:D40"/>
    <mergeCell ref="K101:K104"/>
    <mergeCell ref="K105:K110"/>
    <mergeCell ref="L101:L104"/>
    <mergeCell ref="M101:M104"/>
    <mergeCell ref="N101:N104"/>
    <mergeCell ref="O101:O104"/>
    <mergeCell ref="N92:N95"/>
    <mergeCell ref="O92:O95"/>
    <mergeCell ref="AC92:AC95"/>
    <mergeCell ref="AD92:AD95"/>
    <mergeCell ref="AE92:AE95"/>
    <mergeCell ref="AF92:AF95"/>
    <mergeCell ref="AG92:AG95"/>
    <mergeCell ref="AH92:AH95"/>
    <mergeCell ref="AI92:AI95"/>
    <mergeCell ref="AA96:AA100"/>
    <mergeCell ref="AB96:AB100"/>
    <mergeCell ref="AI96:AI100"/>
    <mergeCell ref="D167:D175"/>
    <mergeCell ref="D158:D160"/>
    <mergeCell ref="E158:E160"/>
    <mergeCell ref="F158:F160"/>
    <mergeCell ref="E115:E117"/>
    <mergeCell ref="G111:G114"/>
    <mergeCell ref="H111:H114"/>
    <mergeCell ref="J152:J154"/>
    <mergeCell ref="D120:D122"/>
    <mergeCell ref="C149:C157"/>
    <mergeCell ref="D149:D151"/>
    <mergeCell ref="E120:E122"/>
    <mergeCell ref="D82:D85"/>
    <mergeCell ref="AC89:AC91"/>
    <mergeCell ref="AS155:AS157"/>
    <mergeCell ref="G146:G148"/>
    <mergeCell ref="D141:D145"/>
    <mergeCell ref="AH128:AH131"/>
    <mergeCell ref="AI128:AI131"/>
    <mergeCell ref="D92:D95"/>
    <mergeCell ref="AD134:AD140"/>
    <mergeCell ref="AM105:AM107"/>
    <mergeCell ref="D152:D154"/>
    <mergeCell ref="E149:E151"/>
    <mergeCell ref="F152:F154"/>
    <mergeCell ref="AM82:AM85"/>
    <mergeCell ref="H82:H85"/>
    <mergeCell ref="O89:O91"/>
    <mergeCell ref="P89:P91"/>
    <mergeCell ref="F82:F85"/>
    <mergeCell ref="AK123:AK126"/>
    <mergeCell ref="C132:C140"/>
    <mergeCell ref="D111:D114"/>
    <mergeCell ref="E118:E119"/>
    <mergeCell ref="B161:D161"/>
    <mergeCell ref="E108:E110"/>
    <mergeCell ref="B128:B160"/>
    <mergeCell ref="D86:D88"/>
    <mergeCell ref="F123:F126"/>
    <mergeCell ref="D123:D126"/>
    <mergeCell ref="D101:D104"/>
    <mergeCell ref="E101:E104"/>
    <mergeCell ref="C120:C126"/>
    <mergeCell ref="C82:C100"/>
    <mergeCell ref="D118:D119"/>
    <mergeCell ref="E111:E114"/>
    <mergeCell ref="F111:F114"/>
    <mergeCell ref="D162:D165"/>
    <mergeCell ref="C162:C165"/>
    <mergeCell ref="C141:C148"/>
    <mergeCell ref="E92:E95"/>
    <mergeCell ref="D96:D100"/>
    <mergeCell ref="F115:F117"/>
    <mergeCell ref="F92:F95"/>
    <mergeCell ref="E89:E91"/>
    <mergeCell ref="F89:F91"/>
    <mergeCell ref="D89:D91"/>
    <mergeCell ref="E96:E100"/>
    <mergeCell ref="F101:F104"/>
    <mergeCell ref="E155:E157"/>
    <mergeCell ref="E134:E140"/>
    <mergeCell ref="E141:E145"/>
    <mergeCell ref="F149:F151"/>
    <mergeCell ref="E105:E107"/>
    <mergeCell ref="AM180:AM184"/>
    <mergeCell ref="H120:H122"/>
    <mergeCell ref="I146:I148"/>
    <mergeCell ref="J146:J148"/>
    <mergeCell ref="X190:X192"/>
    <mergeCell ref="G141:G145"/>
    <mergeCell ref="H118:H119"/>
    <mergeCell ref="J118:J119"/>
    <mergeCell ref="G123:G126"/>
    <mergeCell ref="H128:H131"/>
    <mergeCell ref="I128:I131"/>
    <mergeCell ref="J141:J145"/>
    <mergeCell ref="J132:J133"/>
    <mergeCell ref="J134:J140"/>
    <mergeCell ref="I132:I133"/>
    <mergeCell ref="G158:G160"/>
    <mergeCell ref="J120:J122"/>
    <mergeCell ref="I120:I122"/>
    <mergeCell ref="G132:G133"/>
    <mergeCell ref="AI134:AI140"/>
    <mergeCell ref="AM146:AM148"/>
    <mergeCell ref="AJ146:AJ148"/>
    <mergeCell ref="AM141:AM145"/>
    <mergeCell ref="AJ162:AJ165"/>
    <mergeCell ref="AK162:AK165"/>
    <mergeCell ref="AL162:AL165"/>
    <mergeCell ref="AJ152:AJ154"/>
    <mergeCell ref="AK152:AK154"/>
    <mergeCell ref="AK146:AK148"/>
    <mergeCell ref="I141:I145"/>
    <mergeCell ref="AM152:AM154"/>
    <mergeCell ref="AJ123:AJ126"/>
    <mergeCell ref="C212:C215"/>
    <mergeCell ref="D146:D148"/>
    <mergeCell ref="H123:H126"/>
    <mergeCell ref="E176:E179"/>
    <mergeCell ref="E162:E175"/>
    <mergeCell ref="J111:J114"/>
    <mergeCell ref="I123:I126"/>
    <mergeCell ref="F146:F148"/>
    <mergeCell ref="G128:G131"/>
    <mergeCell ref="F132:F133"/>
    <mergeCell ref="I185:I188"/>
    <mergeCell ref="H180:H184"/>
    <mergeCell ref="D132:D133"/>
    <mergeCell ref="F128:F131"/>
    <mergeCell ref="F134:F140"/>
    <mergeCell ref="E123:E126"/>
    <mergeCell ref="D115:D117"/>
    <mergeCell ref="E132:E133"/>
    <mergeCell ref="F155:F157"/>
    <mergeCell ref="B127:D127"/>
    <mergeCell ref="B162:B188"/>
    <mergeCell ref="I118:I119"/>
    <mergeCell ref="B82:B126"/>
    <mergeCell ref="E82:E85"/>
    <mergeCell ref="F120:F122"/>
    <mergeCell ref="F105:F107"/>
    <mergeCell ref="C101:C110"/>
    <mergeCell ref="F176:F179"/>
    <mergeCell ref="F162:F175"/>
    <mergeCell ref="E128:E131"/>
    <mergeCell ref="D128:D131"/>
    <mergeCell ref="D105:D110"/>
    <mergeCell ref="H105:H107"/>
    <mergeCell ref="G105:G107"/>
    <mergeCell ref="I96:I100"/>
    <mergeCell ref="I111:I114"/>
    <mergeCell ref="I115:I117"/>
    <mergeCell ref="G108:G110"/>
    <mergeCell ref="G115:G117"/>
    <mergeCell ref="H96:H100"/>
    <mergeCell ref="G101:G104"/>
    <mergeCell ref="H101:H104"/>
    <mergeCell ref="G82:G85"/>
    <mergeCell ref="J82:J85"/>
    <mergeCell ref="H86:H88"/>
    <mergeCell ref="I82:I85"/>
    <mergeCell ref="H89:H91"/>
    <mergeCell ref="J86:J88"/>
    <mergeCell ref="W86:W88"/>
    <mergeCell ref="I101:I104"/>
    <mergeCell ref="J89:J91"/>
    <mergeCell ref="I92:I95"/>
    <mergeCell ref="N89:N91"/>
    <mergeCell ref="U92:U95"/>
    <mergeCell ref="J101:J104"/>
    <mergeCell ref="J96:J100"/>
    <mergeCell ref="K92:K95"/>
    <mergeCell ref="K96:K100"/>
    <mergeCell ref="M92:M95"/>
    <mergeCell ref="M105:M110"/>
    <mergeCell ref="N105:N110"/>
    <mergeCell ref="O105:O110"/>
    <mergeCell ref="T101:T104"/>
    <mergeCell ref="P86:P88"/>
    <mergeCell ref="AE89:AE91"/>
    <mergeCell ref="S70:S73"/>
    <mergeCell ref="AH70:AH73"/>
    <mergeCell ref="AJ74:AJ76"/>
    <mergeCell ref="AK74:AK76"/>
    <mergeCell ref="AL74:AL76"/>
    <mergeCell ref="AJ77:AJ79"/>
    <mergeCell ref="AJ70:AJ73"/>
    <mergeCell ref="AL77:AL79"/>
    <mergeCell ref="AG86:AG88"/>
    <mergeCell ref="U89:U91"/>
    <mergeCell ref="Z74:Z76"/>
    <mergeCell ref="Y74:Y76"/>
    <mergeCell ref="V89:V91"/>
    <mergeCell ref="AB89:AB91"/>
    <mergeCell ref="Z89:Z91"/>
    <mergeCell ref="X70:X73"/>
    <mergeCell ref="Y70:Y73"/>
    <mergeCell ref="AB74:AB76"/>
    <mergeCell ref="T74:T76"/>
    <mergeCell ref="U74:U76"/>
    <mergeCell ref="V74:V76"/>
    <mergeCell ref="W74:W76"/>
    <mergeCell ref="X74:X76"/>
    <mergeCell ref="AL66:AL69"/>
    <mergeCell ref="AA70:AA73"/>
    <mergeCell ref="AB70:AB73"/>
    <mergeCell ref="AC70:AC73"/>
    <mergeCell ref="AD70:AD73"/>
    <mergeCell ref="AE66:AE69"/>
    <mergeCell ref="AJ66:AJ69"/>
    <mergeCell ref="AK66:AK69"/>
    <mergeCell ref="AL70:AL73"/>
    <mergeCell ref="AE70:AE73"/>
    <mergeCell ref="AD74:AD76"/>
    <mergeCell ref="AE74:AE76"/>
    <mergeCell ref="AG74:AG76"/>
    <mergeCell ref="AH74:AH76"/>
    <mergeCell ref="Q70:Q73"/>
    <mergeCell ref="AI74:AI76"/>
    <mergeCell ref="AA74:AA76"/>
    <mergeCell ref="AF74:AF76"/>
    <mergeCell ref="AA55:AA57"/>
    <mergeCell ref="Z58:Z61"/>
    <mergeCell ref="AF55:AF57"/>
    <mergeCell ref="AG55:AG57"/>
    <mergeCell ref="U58:U61"/>
    <mergeCell ref="AD55:AD57"/>
    <mergeCell ref="AF66:AF69"/>
    <mergeCell ref="AH55:AH57"/>
    <mergeCell ref="AI55:AI57"/>
    <mergeCell ref="R86:R88"/>
    <mergeCell ref="S86:S88"/>
    <mergeCell ref="S89:S91"/>
    <mergeCell ref="T89:T91"/>
    <mergeCell ref="AB66:AB69"/>
    <mergeCell ref="W70:W73"/>
    <mergeCell ref="V77:V79"/>
    <mergeCell ref="W77:W79"/>
    <mergeCell ref="X77:X79"/>
    <mergeCell ref="Y86:Y88"/>
    <mergeCell ref="Y77:Y79"/>
    <mergeCell ref="Z77:Z79"/>
    <mergeCell ref="AA77:AA79"/>
    <mergeCell ref="V86:V88"/>
    <mergeCell ref="R70:R73"/>
    <mergeCell ref="U70:U73"/>
    <mergeCell ref="Z86:Z88"/>
    <mergeCell ref="AA89:AA91"/>
    <mergeCell ref="X89:X91"/>
    <mergeCell ref="Y89:Y91"/>
    <mergeCell ref="R89:R91"/>
    <mergeCell ref="W89:W91"/>
    <mergeCell ref="X86:X88"/>
    <mergeCell ref="AK62:AK65"/>
    <mergeCell ref="AF62:AF65"/>
    <mergeCell ref="AB62:AB65"/>
    <mergeCell ref="AC62:AC65"/>
    <mergeCell ref="AC66:AC69"/>
    <mergeCell ref="AJ62:AJ65"/>
    <mergeCell ref="AG62:AG65"/>
    <mergeCell ref="AH62:AH65"/>
    <mergeCell ref="AI62:AI65"/>
    <mergeCell ref="T58:T61"/>
    <mergeCell ref="AG66:AG69"/>
    <mergeCell ref="AD62:AD65"/>
    <mergeCell ref="AE62:AE65"/>
    <mergeCell ref="W66:W69"/>
    <mergeCell ref="U62:U65"/>
    <mergeCell ref="V62:V65"/>
    <mergeCell ref="AI58:AI61"/>
    <mergeCell ref="AH58:AH61"/>
    <mergeCell ref="Z62:Z65"/>
    <mergeCell ref="X66:X69"/>
    <mergeCell ref="U66:U69"/>
    <mergeCell ref="V66:V69"/>
    <mergeCell ref="AD66:AD69"/>
    <mergeCell ref="Y66:Y69"/>
    <mergeCell ref="Z66:Z69"/>
    <mergeCell ref="AA66:AA69"/>
    <mergeCell ref="AI66:AI69"/>
    <mergeCell ref="AD51:AD54"/>
    <mergeCell ref="S51:S54"/>
    <mergeCell ref="V51:V54"/>
    <mergeCell ref="W51:W54"/>
    <mergeCell ref="S47:S50"/>
    <mergeCell ref="T47:T50"/>
    <mergeCell ref="X47:X50"/>
    <mergeCell ref="Z43:Z45"/>
    <mergeCell ref="Y47:Y50"/>
    <mergeCell ref="T43:T45"/>
    <mergeCell ref="U43:U45"/>
    <mergeCell ref="V43:V45"/>
    <mergeCell ref="U47:U50"/>
    <mergeCell ref="X51:X54"/>
    <mergeCell ref="W47:W50"/>
    <mergeCell ref="O47:O50"/>
    <mergeCell ref="P43:P45"/>
    <mergeCell ref="W43:W45"/>
    <mergeCell ref="Q47:Q50"/>
    <mergeCell ref="E41:E42"/>
    <mergeCell ref="AU9:AV13"/>
    <mergeCell ref="AU43:AV45"/>
    <mergeCell ref="AP9:AP13"/>
    <mergeCell ref="AS32:AT42"/>
    <mergeCell ref="Y51:Y54"/>
    <mergeCell ref="AK51:AK54"/>
    <mergeCell ref="AI51:AI54"/>
    <mergeCell ref="AE51:AE54"/>
    <mergeCell ref="AF51:AF54"/>
    <mergeCell ref="Z51:Z54"/>
    <mergeCell ref="AJ51:AJ54"/>
    <mergeCell ref="AH51:AH54"/>
    <mergeCell ref="AB51:AB54"/>
    <mergeCell ref="AC51:AC54"/>
    <mergeCell ref="AM51:AM54"/>
    <mergeCell ref="AH47:AH50"/>
    <mergeCell ref="AF47:AF50"/>
    <mergeCell ref="AG51:AG54"/>
    <mergeCell ref="AE47:AE50"/>
    <mergeCell ref="AG47:AG50"/>
    <mergeCell ref="AM47:AM50"/>
    <mergeCell ref="AL51:AL54"/>
    <mergeCell ref="AJ47:AJ50"/>
    <mergeCell ref="AC47:AC50"/>
    <mergeCell ref="AD47:AD50"/>
    <mergeCell ref="AB47:AB50"/>
    <mergeCell ref="AI47:AI50"/>
    <mergeCell ref="AI41:AI42"/>
    <mergeCell ref="AB32:AB33"/>
    <mergeCell ref="AD14:AD19"/>
    <mergeCell ref="AN14:AN19"/>
    <mergeCell ref="AP47:AP50"/>
    <mergeCell ref="AQ47:AQ50"/>
    <mergeCell ref="AR47:AR50"/>
    <mergeCell ref="AN34:AN36"/>
    <mergeCell ref="AN25:AN26"/>
    <mergeCell ref="AN43:AN45"/>
    <mergeCell ref="AN47:AN50"/>
    <mergeCell ref="AN20:AN22"/>
    <mergeCell ref="AN23:AN24"/>
    <mergeCell ref="AB41:AB42"/>
    <mergeCell ref="AK47:AK50"/>
    <mergeCell ref="AL47:AL50"/>
    <mergeCell ref="AD43:AD45"/>
    <mergeCell ref="AA47:AA50"/>
    <mergeCell ref="Z47:Z50"/>
    <mergeCell ref="AG43:AG45"/>
    <mergeCell ref="AE43:AE45"/>
    <mergeCell ref="AM20:AM22"/>
    <mergeCell ref="AD20:AD22"/>
    <mergeCell ref="AE20:AE22"/>
    <mergeCell ref="AA43:AA45"/>
    <mergeCell ref="AB43:AB45"/>
    <mergeCell ref="AC43:AC45"/>
    <mergeCell ref="AL30:AL31"/>
    <mergeCell ref="AI30:AI31"/>
    <mergeCell ref="AN32:AN33"/>
    <mergeCell ref="AE32:AE33"/>
    <mergeCell ref="AA32:AA33"/>
    <mergeCell ref="Z14:Z19"/>
    <mergeCell ref="N20:N22"/>
    <mergeCell ref="Q14:Q19"/>
    <mergeCell ref="S14:S19"/>
    <mergeCell ref="T14:T19"/>
    <mergeCell ref="B9:B45"/>
    <mergeCell ref="D14:D19"/>
    <mergeCell ref="E14:E19"/>
    <mergeCell ref="AJ14:AJ19"/>
    <mergeCell ref="AK14:AK19"/>
    <mergeCell ref="X20:X22"/>
    <mergeCell ref="F41:F42"/>
    <mergeCell ref="G41:G42"/>
    <mergeCell ref="U23:U24"/>
    <mergeCell ref="J32:J33"/>
    <mergeCell ref="H32:H33"/>
    <mergeCell ref="I32:I33"/>
    <mergeCell ref="J23:J24"/>
    <mergeCell ref="S23:S24"/>
    <mergeCell ref="U30:U31"/>
    <mergeCell ref="F32:F33"/>
    <mergeCell ref="G32:G33"/>
    <mergeCell ref="J25:J26"/>
    <mergeCell ref="AJ23:AJ24"/>
    <mergeCell ref="AJ20:AJ22"/>
    <mergeCell ref="X43:X45"/>
    <mergeCell ref="Y43:Y45"/>
    <mergeCell ref="X14:X19"/>
    <mergeCell ref="AA30:AA31"/>
    <mergeCell ref="AF14:AF19"/>
    <mergeCell ref="AG14:AG19"/>
    <mergeCell ref="C27:C31"/>
    <mergeCell ref="I14:I19"/>
    <mergeCell ref="L23:L24"/>
    <mergeCell ref="E25:E26"/>
    <mergeCell ref="H25:H26"/>
    <mergeCell ref="V14:V19"/>
    <mergeCell ref="R14:R19"/>
    <mergeCell ref="K23:K24"/>
    <mergeCell ref="N14:N19"/>
    <mergeCell ref="G25:G26"/>
    <mergeCell ref="D23:D24"/>
    <mergeCell ref="D25:D26"/>
    <mergeCell ref="H20:H22"/>
    <mergeCell ref="M20:M22"/>
    <mergeCell ref="O14:O19"/>
    <mergeCell ref="J20:J22"/>
    <mergeCell ref="K20:K22"/>
    <mergeCell ref="L20:L22"/>
    <mergeCell ref="F20:F22"/>
    <mergeCell ref="G20:G22"/>
    <mergeCell ref="I23:I24"/>
    <mergeCell ref="R47:R50"/>
    <mergeCell ref="O51:O54"/>
    <mergeCell ref="P51:P54"/>
    <mergeCell ref="Q51:Q54"/>
    <mergeCell ref="R51:R54"/>
    <mergeCell ref="T51:T54"/>
    <mergeCell ref="U51:U54"/>
    <mergeCell ref="Q55:Q57"/>
    <mergeCell ref="T55:T57"/>
    <mergeCell ref="U55:U57"/>
    <mergeCell ref="V55:V57"/>
    <mergeCell ref="C43:C45"/>
    <mergeCell ref="D43:D45"/>
    <mergeCell ref="O43:O45"/>
    <mergeCell ref="M51:M54"/>
    <mergeCell ref="D20:D22"/>
    <mergeCell ref="O20:O22"/>
    <mergeCell ref="C47:C50"/>
    <mergeCell ref="S43:S45"/>
    <mergeCell ref="N51:N54"/>
    <mergeCell ref="P47:P50"/>
    <mergeCell ref="F47:F50"/>
    <mergeCell ref="E34:E36"/>
    <mergeCell ref="G47:G50"/>
    <mergeCell ref="G43:G45"/>
    <mergeCell ref="D32:D33"/>
    <mergeCell ref="E43:E45"/>
    <mergeCell ref="F43:F45"/>
    <mergeCell ref="J47:J50"/>
    <mergeCell ref="H34:H36"/>
    <mergeCell ref="Q32:Q33"/>
    <mergeCell ref="E74:E76"/>
    <mergeCell ref="E51:E54"/>
    <mergeCell ref="E55:E57"/>
    <mergeCell ref="D74:D76"/>
    <mergeCell ref="D77:D79"/>
    <mergeCell ref="G62:G65"/>
    <mergeCell ref="F58:F61"/>
    <mergeCell ref="E58:E61"/>
    <mergeCell ref="F62:F65"/>
    <mergeCell ref="D55:D57"/>
    <mergeCell ref="C51:C54"/>
    <mergeCell ref="C55:C57"/>
    <mergeCell ref="C58:C61"/>
    <mergeCell ref="D62:D65"/>
    <mergeCell ref="E77:E79"/>
    <mergeCell ref="D66:D69"/>
    <mergeCell ref="C62:C69"/>
    <mergeCell ref="E70:E73"/>
    <mergeCell ref="D58:D61"/>
    <mergeCell ref="E62:E65"/>
    <mergeCell ref="C70:C79"/>
    <mergeCell ref="F74:F76"/>
    <mergeCell ref="G74:G76"/>
    <mergeCell ref="F77:F79"/>
    <mergeCell ref="G77:G79"/>
    <mergeCell ref="F70:F73"/>
    <mergeCell ref="G70:G73"/>
    <mergeCell ref="D70:D73"/>
    <mergeCell ref="G55:G57"/>
    <mergeCell ref="G58:G61"/>
    <mergeCell ref="D51:D54"/>
    <mergeCell ref="F66:F69"/>
    <mergeCell ref="D27:D28"/>
    <mergeCell ref="D30:D31"/>
    <mergeCell ref="K25:K26"/>
    <mergeCell ref="O30:O31"/>
    <mergeCell ref="U27:U28"/>
    <mergeCell ref="B46:D46"/>
    <mergeCell ref="W25:W26"/>
    <mergeCell ref="E20:E22"/>
    <mergeCell ref="AN30:AN31"/>
    <mergeCell ref="G27:G28"/>
    <mergeCell ref="H27:H28"/>
    <mergeCell ref="F34:F36"/>
    <mergeCell ref="AE23:AE24"/>
    <mergeCell ref="N27:N28"/>
    <mergeCell ref="O27:O28"/>
    <mergeCell ref="AB30:AB31"/>
    <mergeCell ref="M30:M31"/>
    <mergeCell ref="N30:N31"/>
    <mergeCell ref="R32:R33"/>
    <mergeCell ref="R43:R45"/>
    <mergeCell ref="C14:C26"/>
    <mergeCell ref="J14:J19"/>
    <mergeCell ref="Q20:Q22"/>
    <mergeCell ref="R20:R22"/>
    <mergeCell ref="U14:U19"/>
    <mergeCell ref="P14:P19"/>
    <mergeCell ref="E23:E24"/>
    <mergeCell ref="K14:K19"/>
    <mergeCell ref="L14:L19"/>
    <mergeCell ref="M14:M19"/>
    <mergeCell ref="F14:F19"/>
    <mergeCell ref="H14:H19"/>
    <mergeCell ref="U20:U22"/>
    <mergeCell ref="AF20:AF22"/>
    <mergeCell ref="X25:X26"/>
    <mergeCell ref="Y25:Y26"/>
    <mergeCell ref="AF23:AF24"/>
    <mergeCell ref="AM23:AM24"/>
    <mergeCell ref="AG23:AG24"/>
    <mergeCell ref="AH30:AH31"/>
    <mergeCell ref="BE27:BE30"/>
    <mergeCell ref="W55:W57"/>
    <mergeCell ref="Y55:Y57"/>
    <mergeCell ref="R55:R57"/>
    <mergeCell ref="S62:S65"/>
    <mergeCell ref="T62:T65"/>
    <mergeCell ref="Q58:Q61"/>
    <mergeCell ref="X62:X65"/>
    <mergeCell ref="Y62:Y65"/>
    <mergeCell ref="AS43:AT45"/>
    <mergeCell ref="V47:V50"/>
    <mergeCell ref="V58:V61"/>
    <mergeCell ref="AH20:AH22"/>
    <mergeCell ref="AG20:AG22"/>
    <mergeCell ref="AD23:AD24"/>
    <mergeCell ref="W20:W22"/>
    <mergeCell ref="AG25:AG26"/>
    <mergeCell ref="AA51:AA54"/>
    <mergeCell ref="AB55:AB57"/>
    <mergeCell ref="AC55:AC57"/>
    <mergeCell ref="AE55:AE57"/>
    <mergeCell ref="AA58:AA61"/>
    <mergeCell ref="X55:X57"/>
    <mergeCell ref="AU46:AV46"/>
    <mergeCell ref="T23:T24"/>
    <mergeCell ref="X30:X31"/>
    <mergeCell ref="Y30:Y31"/>
    <mergeCell ref="V30:V31"/>
    <mergeCell ref="W27:W28"/>
    <mergeCell ref="S30:S31"/>
    <mergeCell ref="Q30:Q31"/>
    <mergeCell ref="T27:T28"/>
    <mergeCell ref="N25:N26"/>
    <mergeCell ref="Z23:Z24"/>
    <mergeCell ref="R23:R24"/>
    <mergeCell ref="V25:V26"/>
    <mergeCell ref="AM30:AM31"/>
    <mergeCell ref="Z27:Z28"/>
    <mergeCell ref="AF27:AF28"/>
    <mergeCell ref="R30:R31"/>
    <mergeCell ref="P27:P28"/>
    <mergeCell ref="AL23:AL24"/>
    <mergeCell ref="T30:T31"/>
    <mergeCell ref="Y27:Y28"/>
    <mergeCell ref="AD25:AD26"/>
    <mergeCell ref="AD27:AD28"/>
    <mergeCell ref="AH25:AH26"/>
    <mergeCell ref="AI25:AI26"/>
    <mergeCell ref="AF25:AF26"/>
    <mergeCell ref="AC25:AC26"/>
    <mergeCell ref="AE25:AE26"/>
    <mergeCell ref="T25:T26"/>
    <mergeCell ref="V27:V28"/>
    <mergeCell ref="V23:V24"/>
    <mergeCell ref="W30:W31"/>
    <mergeCell ref="AB20:AB22"/>
    <mergeCell ref="AC20:AC22"/>
    <mergeCell ref="X23:X24"/>
    <mergeCell ref="Y23:Y24"/>
    <mergeCell ref="BM34:BM36"/>
    <mergeCell ref="BE32:BE33"/>
    <mergeCell ref="BF25:BF26"/>
    <mergeCell ref="BG27:BG30"/>
    <mergeCell ref="BI25:BI26"/>
    <mergeCell ref="BH25:BH26"/>
    <mergeCell ref="BD25:BD26"/>
    <mergeCell ref="BF32:BF33"/>
    <mergeCell ref="BF27:BF30"/>
    <mergeCell ref="BE25:BE26"/>
    <mergeCell ref="BL25:BL26"/>
    <mergeCell ref="BG25:BG26"/>
    <mergeCell ref="BF23:BF24"/>
    <mergeCell ref="BB20:BB22"/>
    <mergeCell ref="BC23:BC24"/>
    <mergeCell ref="AY27:AZ31"/>
    <mergeCell ref="BG20:BG22"/>
    <mergeCell ref="BA27:BA30"/>
    <mergeCell ref="BC25:BC26"/>
    <mergeCell ref="BA32:BA33"/>
    <mergeCell ref="BA34:BA36"/>
    <mergeCell ref="BL9:BL12"/>
    <mergeCell ref="BL23:BL24"/>
    <mergeCell ref="BG32:BG33"/>
    <mergeCell ref="BI20:BI22"/>
    <mergeCell ref="BJ25:BJ26"/>
    <mergeCell ref="BI9:BI12"/>
    <mergeCell ref="BK14:BK19"/>
    <mergeCell ref="BH9:BH12"/>
    <mergeCell ref="BM37:BM40"/>
    <mergeCell ref="BE58:BE59"/>
    <mergeCell ref="BM32:BM33"/>
    <mergeCell ref="BK34:BK36"/>
    <mergeCell ref="BI43:BI45"/>
    <mergeCell ref="BJ43:BJ45"/>
    <mergeCell ref="BH27:BH30"/>
    <mergeCell ref="BL27:BL30"/>
    <mergeCell ref="BJ32:BJ33"/>
    <mergeCell ref="BK32:BK33"/>
    <mergeCell ref="BK43:BK45"/>
    <mergeCell ref="BH43:BH45"/>
    <mergeCell ref="BH34:BH36"/>
    <mergeCell ref="BI34:BI36"/>
    <mergeCell ref="BH32:BH33"/>
    <mergeCell ref="BI32:BI33"/>
    <mergeCell ref="BL51:BL52"/>
    <mergeCell ref="BL34:BL36"/>
    <mergeCell ref="BJ34:BJ36"/>
    <mergeCell ref="BJ47:BJ48"/>
    <mergeCell ref="BG34:BG36"/>
    <mergeCell ref="BL20:BL22"/>
    <mergeCell ref="BI23:BI24"/>
    <mergeCell ref="BF34:BF36"/>
    <mergeCell ref="BL37:BL40"/>
    <mergeCell ref="BG58:BG59"/>
    <mergeCell ref="BK37:BK40"/>
    <mergeCell ref="BJ37:BJ40"/>
    <mergeCell ref="BG43:BG45"/>
    <mergeCell ref="BI55:BI56"/>
    <mergeCell ref="BI51:BI52"/>
    <mergeCell ref="BJ51:BJ52"/>
    <mergeCell ref="BG37:BG40"/>
    <mergeCell ref="BG47:BG48"/>
    <mergeCell ref="BH51:BH52"/>
    <mergeCell ref="BH47:BH48"/>
    <mergeCell ref="BE34:BE36"/>
    <mergeCell ref="BE43:BE45"/>
    <mergeCell ref="BD27:BD30"/>
    <mergeCell ref="BL47:BL48"/>
    <mergeCell ref="BD55:BD56"/>
    <mergeCell ref="BI47:BI48"/>
    <mergeCell ref="BI27:BI30"/>
    <mergeCell ref="BH55:BH56"/>
    <mergeCell ref="BK55:BK56"/>
    <mergeCell ref="BH58:BH59"/>
    <mergeCell ref="BI37:BI40"/>
    <mergeCell ref="BJ58:BJ59"/>
    <mergeCell ref="BL58:BL59"/>
    <mergeCell ref="BH14:BH19"/>
    <mergeCell ref="BN9:BN12"/>
    <mergeCell ref="BN14:BN19"/>
    <mergeCell ref="BN20:BN22"/>
    <mergeCell ref="BJ9:BJ12"/>
    <mergeCell ref="BH20:BH22"/>
    <mergeCell ref="BK9:BK12"/>
    <mergeCell ref="BK20:BK22"/>
    <mergeCell ref="BL32:BL33"/>
    <mergeCell ref="BM20:BM22"/>
    <mergeCell ref="BM9:BM12"/>
    <mergeCell ref="BO7:BO8"/>
    <mergeCell ref="BO9:BO12"/>
    <mergeCell ref="BO14:BO19"/>
    <mergeCell ref="BO20:BO22"/>
    <mergeCell ref="BM23:BM24"/>
    <mergeCell ref="BJ27:BJ30"/>
    <mergeCell ref="BK25:BK26"/>
    <mergeCell ref="BM14:BM19"/>
    <mergeCell ref="BN32:BN33"/>
    <mergeCell ref="BN25:BN26"/>
    <mergeCell ref="BJ14:BJ19"/>
    <mergeCell ref="BK27:BK30"/>
    <mergeCell ref="BK23:BK24"/>
    <mergeCell ref="BN23:BN24"/>
    <mergeCell ref="BM25:BM26"/>
    <mergeCell ref="BH23:BH24"/>
    <mergeCell ref="BL14:BL19"/>
    <mergeCell ref="BI14:BI19"/>
    <mergeCell ref="BO32:BO33"/>
    <mergeCell ref="BJ20:BJ22"/>
    <mergeCell ref="BJ23:BJ24"/>
    <mergeCell ref="BO34:BO36"/>
    <mergeCell ref="BO37:BO40"/>
    <mergeCell ref="BN34:BN36"/>
    <mergeCell ref="BD32:BD33"/>
    <mergeCell ref="BJ66:BJ67"/>
    <mergeCell ref="BF43:BF45"/>
    <mergeCell ref="BO23:BO24"/>
    <mergeCell ref="BO25:BO26"/>
    <mergeCell ref="BN27:BN30"/>
    <mergeCell ref="BO27:BO30"/>
    <mergeCell ref="BM27:BM30"/>
    <mergeCell ref="BB58:BB59"/>
    <mergeCell ref="BG51:BG52"/>
    <mergeCell ref="BC34:BC36"/>
    <mergeCell ref="BD37:BD40"/>
    <mergeCell ref="BC51:BC52"/>
    <mergeCell ref="BN37:BN40"/>
    <mergeCell ref="BC32:BC33"/>
    <mergeCell ref="BC27:BC30"/>
    <mergeCell ref="BM43:BM45"/>
    <mergeCell ref="BK47:BK48"/>
    <mergeCell ref="BL43:BL45"/>
    <mergeCell ref="BN43:BN45"/>
    <mergeCell ref="BO43:BO45"/>
    <mergeCell ref="BF47:BF48"/>
    <mergeCell ref="BF55:BF56"/>
    <mergeCell ref="BG62:BG63"/>
    <mergeCell ref="BO51:BO52"/>
    <mergeCell ref="BE55:BE56"/>
    <mergeCell ref="BM47:BM48"/>
    <mergeCell ref="BB32:BB33"/>
    <mergeCell ref="BF66:BF67"/>
    <mergeCell ref="BC43:BC45"/>
    <mergeCell ref="BD34:BD36"/>
    <mergeCell ref="BF37:BF40"/>
    <mergeCell ref="BB37:BB40"/>
    <mergeCell ref="BE37:BE40"/>
    <mergeCell ref="BJ77:BJ78"/>
    <mergeCell ref="BH86:BH87"/>
    <mergeCell ref="BD77:BD78"/>
    <mergeCell ref="BG77:BG78"/>
    <mergeCell ref="BG66:BG67"/>
    <mergeCell ref="BE70:BE72"/>
    <mergeCell ref="BI86:BI87"/>
    <mergeCell ref="BI82:BI85"/>
    <mergeCell ref="BI66:BI67"/>
    <mergeCell ref="BJ82:BJ85"/>
    <mergeCell ref="BE51:BE52"/>
    <mergeCell ref="BD51:BD52"/>
    <mergeCell ref="BE47:BE48"/>
    <mergeCell ref="BB47:BB48"/>
    <mergeCell ref="BB34:BB36"/>
    <mergeCell ref="BB43:BB45"/>
    <mergeCell ref="BC47:BC48"/>
    <mergeCell ref="BC37:BC40"/>
    <mergeCell ref="BD47:BD48"/>
    <mergeCell ref="BD43:BD45"/>
    <mergeCell ref="BC70:BC72"/>
    <mergeCell ref="BG55:BG56"/>
    <mergeCell ref="BJ86:BJ87"/>
    <mergeCell ref="BH37:BH40"/>
    <mergeCell ref="BE77:BE78"/>
    <mergeCell ref="BH66:BH67"/>
    <mergeCell ref="BH62:BH63"/>
    <mergeCell ref="BP43:BP45"/>
    <mergeCell ref="BR27:BR30"/>
    <mergeCell ref="BT9:BT12"/>
    <mergeCell ref="BS32:BS33"/>
    <mergeCell ref="BS27:BS30"/>
    <mergeCell ref="BR20:BR22"/>
    <mergeCell ref="BS25:BS26"/>
    <mergeCell ref="BQ34:BQ36"/>
    <mergeCell ref="BQ23:BQ24"/>
    <mergeCell ref="BR23:BR24"/>
    <mergeCell ref="BP23:BP24"/>
    <mergeCell ref="BT23:BT24"/>
    <mergeCell ref="BP27:BP30"/>
    <mergeCell ref="BP25:BP26"/>
    <mergeCell ref="BT25:BT26"/>
    <mergeCell ref="BS86:BS87"/>
    <mergeCell ref="BR74:BR75"/>
    <mergeCell ref="BP34:BP36"/>
    <mergeCell ref="BS77:BS78"/>
    <mergeCell ref="BR14:BR19"/>
    <mergeCell ref="BS14:BS19"/>
    <mergeCell ref="BQ25:BQ26"/>
    <mergeCell ref="BR25:BR26"/>
    <mergeCell ref="BS20:BS22"/>
    <mergeCell ref="BQ43:BQ45"/>
    <mergeCell ref="BP41:BP42"/>
    <mergeCell ref="BP32:BP33"/>
    <mergeCell ref="BQ32:BQ33"/>
    <mergeCell ref="BP14:BP19"/>
    <mergeCell ref="BT14:BT19"/>
    <mergeCell ref="BQ47:BQ48"/>
    <mergeCell ref="BQ51:BQ52"/>
    <mergeCell ref="BR32:BR33"/>
    <mergeCell ref="BT20:BT22"/>
    <mergeCell ref="BP20:BP22"/>
    <mergeCell ref="BP37:BP40"/>
    <mergeCell ref="BT37:BT40"/>
    <mergeCell ref="BS34:BS36"/>
    <mergeCell ref="BR34:BR36"/>
    <mergeCell ref="BQ27:BQ30"/>
    <mergeCell ref="BU9:BU12"/>
    <mergeCell ref="BU27:BU30"/>
    <mergeCell ref="BS23:BS24"/>
    <mergeCell ref="BQ9:BQ12"/>
    <mergeCell ref="BR9:BR12"/>
    <mergeCell ref="BQ20:BQ22"/>
    <mergeCell ref="BT27:BT30"/>
    <mergeCell ref="BP9:BP13"/>
    <mergeCell ref="BS9:BS12"/>
    <mergeCell ref="BQ14:BQ19"/>
    <mergeCell ref="BU14:BU19"/>
    <mergeCell ref="BT34:BT36"/>
    <mergeCell ref="BU23:BU24"/>
    <mergeCell ref="BU34:BU36"/>
    <mergeCell ref="BU25:BU26"/>
    <mergeCell ref="BS37:BS40"/>
    <mergeCell ref="BQ37:BQ40"/>
    <mergeCell ref="BR37:BR40"/>
    <mergeCell ref="BU37:BU40"/>
    <mergeCell ref="BV66:BV67"/>
    <mergeCell ref="BV34:BV36"/>
    <mergeCell ref="BX43:BX45"/>
    <mergeCell ref="BX32:BX33"/>
    <mergeCell ref="BY32:BY33"/>
    <mergeCell ref="BW43:BW45"/>
    <mergeCell ref="BW23:BW24"/>
    <mergeCell ref="BV25:BV26"/>
    <mergeCell ref="BW25:BW26"/>
    <mergeCell ref="BX27:BX30"/>
    <mergeCell ref="BZ37:BZ40"/>
    <mergeCell ref="BX37:BX40"/>
    <mergeCell ref="BV101:BV103"/>
    <mergeCell ref="BW101:BW103"/>
    <mergeCell ref="BV37:BV40"/>
    <mergeCell ref="BW37:BW40"/>
    <mergeCell ref="BV55:BV56"/>
    <mergeCell ref="BW55:BW56"/>
    <mergeCell ref="BW51:BW52"/>
    <mergeCell ref="BW58:BW59"/>
    <mergeCell ref="BV47:BV48"/>
    <mergeCell ref="BV51:BV52"/>
    <mergeCell ref="BZ86:BZ87"/>
    <mergeCell ref="BW86:BW87"/>
    <mergeCell ref="BW66:BW67"/>
    <mergeCell ref="BW70:BW72"/>
    <mergeCell ref="BW74:BW75"/>
    <mergeCell ref="BX66:BX67"/>
    <mergeCell ref="BW7:BW8"/>
    <mergeCell ref="BV9:BV12"/>
    <mergeCell ref="BW9:BW12"/>
    <mergeCell ref="BV14:BV19"/>
    <mergeCell ref="BW14:BW19"/>
    <mergeCell ref="BV20:BV22"/>
    <mergeCell ref="BW20:BW22"/>
    <mergeCell ref="BV6:BV8"/>
    <mergeCell ref="BX101:BX103"/>
    <mergeCell ref="BZ89:BZ91"/>
    <mergeCell ref="BX14:BX19"/>
    <mergeCell ref="BW27:BW30"/>
    <mergeCell ref="BW32:BW33"/>
    <mergeCell ref="BV43:BV45"/>
    <mergeCell ref="BV27:BV30"/>
    <mergeCell ref="BT58:BT59"/>
    <mergeCell ref="BV58:BV59"/>
    <mergeCell ref="BV32:BV33"/>
    <mergeCell ref="BW47:BW48"/>
    <mergeCell ref="BX47:BX48"/>
    <mergeCell ref="BY55:BY56"/>
    <mergeCell ref="BY58:BY59"/>
    <mergeCell ref="BZ70:BZ72"/>
    <mergeCell ref="BY70:BY72"/>
    <mergeCell ref="BW62:BW63"/>
    <mergeCell ref="BZ58:BZ59"/>
    <mergeCell ref="BZ66:BZ67"/>
    <mergeCell ref="BX62:BX63"/>
    <mergeCell ref="BY82:BY85"/>
    <mergeCell ref="BZ82:BZ85"/>
    <mergeCell ref="BY77:BY78"/>
    <mergeCell ref="BZ77:BZ78"/>
    <mergeCell ref="CC7:CC8"/>
    <mergeCell ref="BX9:BX12"/>
    <mergeCell ref="BY9:BY12"/>
    <mergeCell ref="BZ9:BZ12"/>
    <mergeCell ref="CA9:CA12"/>
    <mergeCell ref="CC9:CC12"/>
    <mergeCell ref="CB6:CB8"/>
    <mergeCell ref="CB9:CB12"/>
    <mergeCell ref="CC14:CC19"/>
    <mergeCell ref="BY14:BY19"/>
    <mergeCell ref="BZ14:BZ19"/>
    <mergeCell ref="CA14:CA19"/>
    <mergeCell ref="CB14:CB19"/>
    <mergeCell ref="BZ32:BZ33"/>
    <mergeCell ref="CB23:CB24"/>
    <mergeCell ref="BY23:BY24"/>
    <mergeCell ref="BZ23:BZ24"/>
    <mergeCell ref="BY20:BY22"/>
    <mergeCell ref="CB25:CB26"/>
    <mergeCell ref="BX23:BX24"/>
    <mergeCell ref="CA20:CA22"/>
    <mergeCell ref="CB20:CB22"/>
    <mergeCell ref="BZ20:BZ22"/>
    <mergeCell ref="CA25:CA26"/>
    <mergeCell ref="CA27:CA30"/>
    <mergeCell ref="BX20:BX22"/>
    <mergeCell ref="A239:D239"/>
    <mergeCell ref="A9:A238"/>
    <mergeCell ref="AQ120:AQ122"/>
    <mergeCell ref="B47:B80"/>
    <mergeCell ref="AZ146:AZ148"/>
    <mergeCell ref="G152:G154"/>
    <mergeCell ref="H152:H154"/>
    <mergeCell ref="B81:D81"/>
    <mergeCell ref="AZ132:AZ133"/>
    <mergeCell ref="I149:I151"/>
    <mergeCell ref="BU55:BU56"/>
    <mergeCell ref="BV70:BV72"/>
    <mergeCell ref="BZ62:BZ63"/>
    <mergeCell ref="CA74:CA75"/>
    <mergeCell ref="CB185:CB188"/>
    <mergeCell ref="CA120:CA122"/>
    <mergeCell ref="BV62:BV63"/>
    <mergeCell ref="BV77:BV78"/>
    <mergeCell ref="BV74:BV75"/>
    <mergeCell ref="CA155:CA157"/>
    <mergeCell ref="BT199:BT206"/>
    <mergeCell ref="G155:G157"/>
    <mergeCell ref="BR47:BR48"/>
    <mergeCell ref="BO86:BO87"/>
    <mergeCell ref="BO74:BO75"/>
    <mergeCell ref="BN89:BN91"/>
    <mergeCell ref="BM86:BM87"/>
    <mergeCell ref="BP134:BP135"/>
    <mergeCell ref="BQ115:BQ117"/>
    <mergeCell ref="BQ123:BQ126"/>
    <mergeCell ref="BR58:BR59"/>
    <mergeCell ref="BS74:BS75"/>
    <mergeCell ref="BB180:BB184"/>
    <mergeCell ref="BP123:BP126"/>
    <mergeCell ref="BO141:BO144"/>
    <mergeCell ref="BK134:BK137"/>
    <mergeCell ref="BM146:BM154"/>
    <mergeCell ref="BN146:BN153"/>
    <mergeCell ref="BM141:BM145"/>
    <mergeCell ref="BD123:BD126"/>
    <mergeCell ref="BH190:BH192"/>
    <mergeCell ref="BB196:BB197"/>
    <mergeCell ref="BQ185:BQ188"/>
    <mergeCell ref="BL180:BL184"/>
    <mergeCell ref="BQ180:BQ184"/>
    <mergeCell ref="BM180:BM184"/>
    <mergeCell ref="BK180:BK184"/>
    <mergeCell ref="BQ190:BQ192"/>
    <mergeCell ref="BQ176:BQ179"/>
    <mergeCell ref="BQ158:BQ159"/>
    <mergeCell ref="BK158:BK160"/>
    <mergeCell ref="BP141:BP144"/>
    <mergeCell ref="BP155:BP157"/>
    <mergeCell ref="BJ146:BJ154"/>
    <mergeCell ref="BK155:BK157"/>
    <mergeCell ref="BB162:BB175"/>
    <mergeCell ref="BE185:BE188"/>
    <mergeCell ref="BI185:BI188"/>
    <mergeCell ref="BP180:BP184"/>
    <mergeCell ref="BC180:BC184"/>
    <mergeCell ref="BP185:BP188"/>
    <mergeCell ref="BL190:BL192"/>
    <mergeCell ref="BN180:BN184"/>
    <mergeCell ref="BN185:BN188"/>
    <mergeCell ref="CC185:CC188"/>
    <mergeCell ref="BZ185:BZ188"/>
    <mergeCell ref="CA185:CA188"/>
    <mergeCell ref="BT118:BT119"/>
    <mergeCell ref="BU118:BU119"/>
    <mergeCell ref="BY180:BY184"/>
    <mergeCell ref="BZ176:BZ179"/>
    <mergeCell ref="BX180:BX184"/>
    <mergeCell ref="CA176:CA179"/>
    <mergeCell ref="CB120:CB122"/>
    <mergeCell ref="CC176:CC179"/>
    <mergeCell ref="BW123:BW126"/>
    <mergeCell ref="BR70:BR72"/>
    <mergeCell ref="BS55:BS56"/>
    <mergeCell ref="BT74:BT75"/>
    <mergeCell ref="BT55:BT56"/>
    <mergeCell ref="BR62:BR63"/>
    <mergeCell ref="BT70:BT72"/>
    <mergeCell ref="BR66:BR67"/>
    <mergeCell ref="CA62:CA63"/>
    <mergeCell ref="CA70:CA72"/>
    <mergeCell ref="BX74:BX75"/>
    <mergeCell ref="BY74:BY75"/>
    <mergeCell ref="BY66:BY67"/>
    <mergeCell ref="CC70:CC72"/>
    <mergeCell ref="BR146:BR153"/>
    <mergeCell ref="BR118:BR119"/>
    <mergeCell ref="CA118:CA119"/>
    <mergeCell ref="CB118:CB119"/>
    <mergeCell ref="BS115:BS117"/>
    <mergeCell ref="BR141:BR144"/>
    <mergeCell ref="CC128:CC131"/>
    <mergeCell ref="AZ141:AZ145"/>
    <mergeCell ref="H132:H133"/>
    <mergeCell ref="G134:G140"/>
    <mergeCell ref="J123:J126"/>
    <mergeCell ref="AL123:AL126"/>
    <mergeCell ref="AI146:AI148"/>
    <mergeCell ref="BI134:BI137"/>
    <mergeCell ref="AS149:AS151"/>
    <mergeCell ref="AT149:AT151"/>
    <mergeCell ref="AQ123:AQ126"/>
    <mergeCell ref="BJ141:BJ145"/>
    <mergeCell ref="BH146:BH154"/>
    <mergeCell ref="AT146:AT148"/>
    <mergeCell ref="AT134:AT137"/>
    <mergeCell ref="AU146:AU148"/>
    <mergeCell ref="AV141:AV145"/>
    <mergeCell ref="AY146:AY148"/>
    <mergeCell ref="AT132:AT133"/>
    <mergeCell ref="AS141:AS145"/>
    <mergeCell ref="AN146:AN148"/>
    <mergeCell ref="AG134:AG140"/>
    <mergeCell ref="AH134:AH140"/>
    <mergeCell ref="AI123:AI126"/>
    <mergeCell ref="AH149:AH151"/>
    <mergeCell ref="AI149:AI151"/>
    <mergeCell ref="V134:V140"/>
    <mergeCell ref="W134:W140"/>
    <mergeCell ref="W141:W145"/>
    <mergeCell ref="U134:U140"/>
    <mergeCell ref="AL141:AL145"/>
    <mergeCell ref="P149:P151"/>
    <mergeCell ref="AL134:AL140"/>
    <mergeCell ref="B238:D238"/>
    <mergeCell ref="AP66:AP69"/>
    <mergeCell ref="AQ66:AQ69"/>
    <mergeCell ref="AT90:AT91"/>
    <mergeCell ref="AW120:AW121"/>
    <mergeCell ref="AP120:AP122"/>
    <mergeCell ref="BK146:BK154"/>
    <mergeCell ref="BC146:BC154"/>
    <mergeCell ref="BI146:BI154"/>
    <mergeCell ref="BB141:BB145"/>
    <mergeCell ref="BK141:BK145"/>
    <mergeCell ref="BA141:BA145"/>
    <mergeCell ref="BH141:BH145"/>
    <mergeCell ref="BG146:BG154"/>
    <mergeCell ref="BF141:BF145"/>
    <mergeCell ref="AR120:AR122"/>
    <mergeCell ref="AU132:AU133"/>
    <mergeCell ref="C111:C119"/>
    <mergeCell ref="C128:C131"/>
    <mergeCell ref="D134:D140"/>
    <mergeCell ref="E146:E148"/>
    <mergeCell ref="AH123:AH126"/>
    <mergeCell ref="AC132:AC133"/>
    <mergeCell ref="H141:H145"/>
    <mergeCell ref="F141:F145"/>
    <mergeCell ref="AM149:AM151"/>
    <mergeCell ref="AY162:AY175"/>
    <mergeCell ref="AY155:AY157"/>
    <mergeCell ref="AX155:AX157"/>
    <mergeCell ref="BK115:BK117"/>
    <mergeCell ref="BJ118:BJ119"/>
    <mergeCell ref="AZ118:AZ119"/>
    <mergeCell ref="M134:M140"/>
    <mergeCell ref="N134:N140"/>
    <mergeCell ref="D155:D157"/>
    <mergeCell ref="N132:N133"/>
    <mergeCell ref="R111:R114"/>
    <mergeCell ref="BT43:BT45"/>
    <mergeCell ref="BU43:BU45"/>
    <mergeCell ref="BR43:BR45"/>
    <mergeCell ref="BQ58:BQ59"/>
    <mergeCell ref="BP51:BP52"/>
    <mergeCell ref="BU74:BU75"/>
    <mergeCell ref="AV146:AV148"/>
    <mergeCell ref="BG155:BG157"/>
    <mergeCell ref="BH155:BH157"/>
    <mergeCell ref="J128:J131"/>
    <mergeCell ref="H134:H140"/>
    <mergeCell ref="I134:I140"/>
    <mergeCell ref="BH111:BH114"/>
    <mergeCell ref="AT141:AT145"/>
    <mergeCell ref="BS47:BS48"/>
    <mergeCell ref="BP82:BP85"/>
    <mergeCell ref="BT82:BT85"/>
    <mergeCell ref="BU82:BU85"/>
    <mergeCell ref="BT77:BT78"/>
    <mergeCell ref="BS120:BS122"/>
    <mergeCell ref="BU123:BU126"/>
    <mergeCell ref="AT123:AT126"/>
    <mergeCell ref="BG141:BG145"/>
    <mergeCell ref="BD141:BD145"/>
    <mergeCell ref="BS43:BS45"/>
    <mergeCell ref="H149:H151"/>
    <mergeCell ref="AP123:AP126"/>
    <mergeCell ref="BT62:BT63"/>
    <mergeCell ref="BU62:BU63"/>
    <mergeCell ref="BT66:BT67"/>
    <mergeCell ref="BU58:BU59"/>
    <mergeCell ref="BU70:BU72"/>
    <mergeCell ref="BU86:BU87"/>
    <mergeCell ref="BU77:BU78"/>
    <mergeCell ref="CE20:CE22"/>
    <mergeCell ref="CE27:CE30"/>
    <mergeCell ref="CC32:CC33"/>
    <mergeCell ref="BX25:BX26"/>
    <mergeCell ref="BZ55:BZ56"/>
    <mergeCell ref="BY37:BY40"/>
    <mergeCell ref="BZ27:BZ30"/>
    <mergeCell ref="CC25:CC26"/>
    <mergeCell ref="CC27:CC30"/>
    <mergeCell ref="CB55:CB56"/>
    <mergeCell ref="BX55:BX56"/>
    <mergeCell ref="CB32:CB33"/>
    <mergeCell ref="CA66:CA67"/>
    <mergeCell ref="CC20:CC22"/>
    <mergeCell ref="CB27:CB30"/>
    <mergeCell ref="BX51:BX52"/>
    <mergeCell ref="BY51:BY52"/>
    <mergeCell ref="BY25:BY26"/>
    <mergeCell ref="BZ34:BZ36"/>
    <mergeCell ref="BX34:BX36"/>
    <mergeCell ref="CC51:CC52"/>
    <mergeCell ref="CE23:CE24"/>
    <mergeCell ref="CE58:CE59"/>
    <mergeCell ref="BW34:BW36"/>
    <mergeCell ref="BY34:BY36"/>
    <mergeCell ref="CE34:CE36"/>
    <mergeCell ref="CD27:CD30"/>
    <mergeCell ref="CF27:CF30"/>
    <mergeCell ref="CF34:CF36"/>
    <mergeCell ref="CD9:CD12"/>
    <mergeCell ref="CE47:CE48"/>
    <mergeCell ref="CD34:CD36"/>
    <mergeCell ref="CF32:CF33"/>
    <mergeCell ref="CG32:CG33"/>
    <mergeCell ref="CF9:CF12"/>
    <mergeCell ref="CE9:CE12"/>
    <mergeCell ref="CC34:CC36"/>
    <mergeCell ref="CC37:CC40"/>
    <mergeCell ref="CD14:CD19"/>
    <mergeCell ref="CC23:CC24"/>
    <mergeCell ref="BT47:BT48"/>
    <mergeCell ref="BU47:BU48"/>
    <mergeCell ref="BV23:BV24"/>
    <mergeCell ref="BU32:BU33"/>
    <mergeCell ref="BT32:BT33"/>
    <mergeCell ref="BU20:BU22"/>
    <mergeCell ref="CJ155:CJ157"/>
    <mergeCell ref="CI96:CI98"/>
    <mergeCell ref="CJ96:CJ98"/>
    <mergeCell ref="CI101:CI103"/>
    <mergeCell ref="CH96:CH98"/>
    <mergeCell ref="CI92:CI95"/>
    <mergeCell ref="CG105:CG107"/>
    <mergeCell ref="CF77:CF78"/>
    <mergeCell ref="CD62:CD63"/>
    <mergeCell ref="CE62:CE63"/>
    <mergeCell ref="CF62:CF63"/>
    <mergeCell ref="CG70:CG72"/>
    <mergeCell ref="CG96:CG98"/>
    <mergeCell ref="CG82:CG85"/>
    <mergeCell ref="CE86:CE87"/>
    <mergeCell ref="CE82:CE85"/>
    <mergeCell ref="CI141:CI145"/>
    <mergeCell ref="CF118:CF119"/>
    <mergeCell ref="CF128:CF131"/>
    <mergeCell ref="CF120:CF122"/>
    <mergeCell ref="CE128:CE131"/>
    <mergeCell ref="CH74:CH75"/>
    <mergeCell ref="CD120:CD122"/>
    <mergeCell ref="CF115:CF117"/>
    <mergeCell ref="CF105:CF107"/>
    <mergeCell ref="CE105:CE107"/>
    <mergeCell ref="CE118:CE119"/>
    <mergeCell ref="CD118:CD119"/>
    <mergeCell ref="CF70:CF72"/>
    <mergeCell ref="CG74:CG75"/>
    <mergeCell ref="CI105:CI107"/>
    <mergeCell ref="CJ70:CJ72"/>
    <mergeCell ref="CE55:CE56"/>
    <mergeCell ref="CG77:CG78"/>
    <mergeCell ref="CF43:CF45"/>
    <mergeCell ref="CG101:CG103"/>
    <mergeCell ref="CE96:CE98"/>
    <mergeCell ref="CG89:CG91"/>
    <mergeCell ref="CE92:CE95"/>
    <mergeCell ref="CE101:CE103"/>
    <mergeCell ref="CG51:CG52"/>
    <mergeCell ref="CG92:CG95"/>
    <mergeCell ref="CF47:CF48"/>
    <mergeCell ref="CH101:CH103"/>
    <mergeCell ref="CE66:CE67"/>
    <mergeCell ref="CE89:CE91"/>
    <mergeCell ref="CF101:CF103"/>
    <mergeCell ref="CF86:CF87"/>
    <mergeCell ref="CF96:CF98"/>
    <mergeCell ref="CF89:CF91"/>
    <mergeCell ref="CD162:CD175"/>
    <mergeCell ref="CF158:CF160"/>
    <mergeCell ref="CG193:CG194"/>
    <mergeCell ref="CE146:CE154"/>
    <mergeCell ref="CD155:CD157"/>
    <mergeCell ref="CD180:CD184"/>
    <mergeCell ref="CD193:CD194"/>
    <mergeCell ref="CE193:CE194"/>
    <mergeCell ref="CF193:CF194"/>
    <mergeCell ref="CE190:CE192"/>
    <mergeCell ref="CD176:CD179"/>
    <mergeCell ref="CG155:CG157"/>
    <mergeCell ref="CD158:CD160"/>
    <mergeCell ref="CD185:CD188"/>
    <mergeCell ref="CD190:CD192"/>
    <mergeCell ref="CG158:CG160"/>
    <mergeCell ref="CF162:CF175"/>
    <mergeCell ref="CG146:CG154"/>
    <mergeCell ref="CG162:CG175"/>
    <mergeCell ref="CG185:CG188"/>
    <mergeCell ref="CF190:CF192"/>
    <mergeCell ref="CG190:CG192"/>
    <mergeCell ref="CE162:CE175"/>
    <mergeCell ref="CF146:CF154"/>
    <mergeCell ref="CE158:CE160"/>
    <mergeCell ref="CF155:CF157"/>
    <mergeCell ref="BM155:BM157"/>
    <mergeCell ref="BQ162:BQ175"/>
    <mergeCell ref="BO158:BO159"/>
    <mergeCell ref="BF162:BF175"/>
    <mergeCell ref="BG158:BG160"/>
    <mergeCell ref="BI162:BI175"/>
    <mergeCell ref="BJ158:BJ160"/>
    <mergeCell ref="BI155:BI157"/>
    <mergeCell ref="BL162:BL175"/>
    <mergeCell ref="AZ162:AZ175"/>
    <mergeCell ref="BO146:BO153"/>
    <mergeCell ref="BE162:BE175"/>
    <mergeCell ref="BG162:BG175"/>
    <mergeCell ref="BK162:BK175"/>
    <mergeCell ref="BB146:BB154"/>
    <mergeCell ref="BP162:BP175"/>
    <mergeCell ref="BB155:BB157"/>
    <mergeCell ref="BL155:BL157"/>
    <mergeCell ref="BP146:BP153"/>
    <mergeCell ref="BB158:BB160"/>
    <mergeCell ref="BJ155:BJ157"/>
    <mergeCell ref="BE155:BE157"/>
    <mergeCell ref="BC155:BC157"/>
    <mergeCell ref="BO155:BO157"/>
    <mergeCell ref="BL158:BL160"/>
    <mergeCell ref="BA158:BA160"/>
    <mergeCell ref="BC162:BC175"/>
    <mergeCell ref="BD162:BD175"/>
    <mergeCell ref="BA162:BA175"/>
    <mergeCell ref="BL146:BL154"/>
    <mergeCell ref="AZ158:AZ160"/>
    <mergeCell ref="AU134:AU137"/>
    <mergeCell ref="AV134:AV137"/>
    <mergeCell ref="AW134:AW137"/>
    <mergeCell ref="BC132:BC133"/>
    <mergeCell ref="BD132:BD133"/>
    <mergeCell ref="BA132:BA133"/>
    <mergeCell ref="AU128:AU131"/>
    <mergeCell ref="BN134:BN135"/>
    <mergeCell ref="BM134:BM137"/>
    <mergeCell ref="BI123:BI126"/>
    <mergeCell ref="BJ120:BJ122"/>
    <mergeCell ref="BH120:BH122"/>
    <mergeCell ref="AU120:AU121"/>
    <mergeCell ref="AU152:AU154"/>
    <mergeCell ref="AV149:AV151"/>
    <mergeCell ref="BG120:BG122"/>
    <mergeCell ref="BL141:BL145"/>
    <mergeCell ref="BN123:BN126"/>
    <mergeCell ref="BK128:BK131"/>
    <mergeCell ref="AZ120:AZ122"/>
    <mergeCell ref="BB134:BB137"/>
    <mergeCell ref="BC141:BC145"/>
    <mergeCell ref="BK123:BK126"/>
    <mergeCell ref="BK132:BK133"/>
    <mergeCell ref="BE141:BE145"/>
    <mergeCell ref="AW141:AW145"/>
    <mergeCell ref="AU141:AU145"/>
    <mergeCell ref="BA128:BA131"/>
    <mergeCell ref="BD120:BD122"/>
    <mergeCell ref="BE120:BE122"/>
    <mergeCell ref="BF120:BF122"/>
    <mergeCell ref="AX128:AX131"/>
    <mergeCell ref="CE111:CE114"/>
    <mergeCell ref="BO111:BO114"/>
    <mergeCell ref="BB128:BB131"/>
    <mergeCell ref="BD128:BD131"/>
    <mergeCell ref="BC128:BC131"/>
    <mergeCell ref="BI111:BI114"/>
    <mergeCell ref="BN111:BN114"/>
    <mergeCell ref="BL128:BL131"/>
    <mergeCell ref="BJ128:BJ131"/>
    <mergeCell ref="BL134:BL137"/>
    <mergeCell ref="CE123:CE126"/>
    <mergeCell ref="BS123:BS126"/>
    <mergeCell ref="BR134:BR135"/>
    <mergeCell ref="BY128:BY131"/>
    <mergeCell ref="BX128:BX131"/>
    <mergeCell ref="BG115:BG117"/>
    <mergeCell ref="BF118:BF119"/>
    <mergeCell ref="BB111:BB114"/>
    <mergeCell ref="BS118:BS119"/>
    <mergeCell ref="BW115:BW117"/>
    <mergeCell ref="CC115:CC117"/>
    <mergeCell ref="CC118:CC119"/>
    <mergeCell ref="CC123:CC126"/>
    <mergeCell ref="CC111:CC114"/>
    <mergeCell ref="AS120:AS121"/>
    <mergeCell ref="BJ115:BJ117"/>
    <mergeCell ref="BK118:BK119"/>
    <mergeCell ref="BM118:BM119"/>
    <mergeCell ref="BN115:BN117"/>
    <mergeCell ref="BB118:BB119"/>
    <mergeCell ref="BA115:BA117"/>
    <mergeCell ref="BN120:BN122"/>
    <mergeCell ref="BY120:BY122"/>
    <mergeCell ref="BZ118:BZ119"/>
    <mergeCell ref="CE115:CE117"/>
    <mergeCell ref="CC120:CC122"/>
    <mergeCell ref="BU89:BU91"/>
    <mergeCell ref="BR101:BR103"/>
    <mergeCell ref="BQ89:BQ91"/>
    <mergeCell ref="CC105:CC107"/>
    <mergeCell ref="CA92:CA95"/>
    <mergeCell ref="CA89:CA91"/>
    <mergeCell ref="BQ118:BQ119"/>
    <mergeCell ref="BJ111:BJ114"/>
    <mergeCell ref="BL89:BL91"/>
    <mergeCell ref="BK89:BK91"/>
    <mergeCell ref="BJ108:BJ110"/>
    <mergeCell ref="BL105:BL107"/>
    <mergeCell ref="BL111:BL114"/>
    <mergeCell ref="BK111:BK114"/>
    <mergeCell ref="BK108:BK110"/>
    <mergeCell ref="BA96:BA98"/>
    <mergeCell ref="AV111:AV112"/>
    <mergeCell ref="BA111:BA114"/>
    <mergeCell ref="BM105:BM107"/>
    <mergeCell ref="BW105:BW107"/>
    <mergeCell ref="CD7:CF7"/>
    <mergeCell ref="CH27:CH30"/>
    <mergeCell ref="CD25:CD26"/>
    <mergeCell ref="CE25:CE26"/>
    <mergeCell ref="CF25:CF26"/>
    <mergeCell ref="CJ7:CJ8"/>
    <mergeCell ref="CJ9:CJ12"/>
    <mergeCell ref="CF20:CF22"/>
    <mergeCell ref="CE14:CE19"/>
    <mergeCell ref="CG34:CG36"/>
    <mergeCell ref="CF14:CF19"/>
    <mergeCell ref="CD20:CD22"/>
    <mergeCell ref="CH25:CH26"/>
    <mergeCell ref="CG27:CG30"/>
    <mergeCell ref="CG6:CG8"/>
    <mergeCell ref="CH7:CH8"/>
    <mergeCell ref="AY96:AY97"/>
    <mergeCell ref="CI25:CI26"/>
    <mergeCell ref="CI27:CI30"/>
    <mergeCell ref="CI32:CI33"/>
    <mergeCell ref="CA43:CA45"/>
    <mergeCell ref="CA37:CA40"/>
    <mergeCell ref="CI34:CI36"/>
    <mergeCell ref="CI37:CI40"/>
    <mergeCell ref="BZ51:BZ52"/>
    <mergeCell ref="CB58:CB59"/>
    <mergeCell ref="CB43:CB45"/>
    <mergeCell ref="BY43:BY45"/>
    <mergeCell ref="BY27:BY30"/>
    <mergeCell ref="BZ25:BZ26"/>
    <mergeCell ref="BP6:BU7"/>
    <mergeCell ref="BX7:CA7"/>
    <mergeCell ref="CI7:CI8"/>
    <mergeCell ref="CI9:CI12"/>
    <mergeCell ref="CJ14:CJ19"/>
    <mergeCell ref="CK27:CK30"/>
    <mergeCell ref="CK43:CK45"/>
    <mergeCell ref="CK14:CK19"/>
    <mergeCell ref="CI43:CI45"/>
    <mergeCell ref="CI14:CI19"/>
    <mergeCell ref="CK9:CK12"/>
    <mergeCell ref="CK32:CK33"/>
    <mergeCell ref="CK34:CK36"/>
    <mergeCell ref="CK37:CK40"/>
    <mergeCell ref="CJ51:CJ52"/>
    <mergeCell ref="CH70:CH72"/>
    <mergeCell ref="CJ58:CJ59"/>
    <mergeCell ref="CJ55:CJ56"/>
    <mergeCell ref="CI86:CI87"/>
    <mergeCell ref="CH62:CH63"/>
    <mergeCell ref="CI51:CI52"/>
    <mergeCell ref="CH77:CH78"/>
    <mergeCell ref="CH86:CH87"/>
    <mergeCell ref="CI82:CI85"/>
    <mergeCell ref="CJ86:CJ87"/>
    <mergeCell ref="CH14:CH19"/>
    <mergeCell ref="CK51:CK52"/>
    <mergeCell ref="CK20:CK22"/>
    <mergeCell ref="CK25:CK26"/>
    <mergeCell ref="CI20:CI22"/>
    <mergeCell ref="CI23:CI24"/>
    <mergeCell ref="CJ62:CJ63"/>
    <mergeCell ref="CH37:CH40"/>
    <mergeCell ref="CI66:CI67"/>
    <mergeCell ref="CK134:CK137"/>
    <mergeCell ref="CH105:CH107"/>
    <mergeCell ref="CK66:CK67"/>
    <mergeCell ref="CK111:CK114"/>
    <mergeCell ref="CK115:CK117"/>
    <mergeCell ref="CK70:CK72"/>
    <mergeCell ref="CK128:CK131"/>
    <mergeCell ref="CH134:CH137"/>
    <mergeCell ref="CH118:CH119"/>
    <mergeCell ref="CK96:CK98"/>
    <mergeCell ref="CJ128:CJ131"/>
    <mergeCell ref="CJ105:CJ107"/>
    <mergeCell ref="CH120:CH122"/>
    <mergeCell ref="CI128:CI131"/>
    <mergeCell ref="CH111:CH114"/>
    <mergeCell ref="CJ115:CJ117"/>
    <mergeCell ref="CH128:CH131"/>
    <mergeCell ref="CI115:CI117"/>
    <mergeCell ref="CK118:CK119"/>
    <mergeCell ref="CH66:CH67"/>
    <mergeCell ref="CH92:CH95"/>
    <mergeCell ref="CH89:CH91"/>
    <mergeCell ref="CJ111:CJ114"/>
    <mergeCell ref="CI111:CI114"/>
    <mergeCell ref="CK77:CK78"/>
    <mergeCell ref="CK74:CK75"/>
    <mergeCell ref="CH82:CH85"/>
    <mergeCell ref="CH115:CH117"/>
    <mergeCell ref="CF92:CF95"/>
    <mergeCell ref="CI70:CI72"/>
    <mergeCell ref="CI74:CI75"/>
    <mergeCell ref="CK47:CK48"/>
    <mergeCell ref="CJ23:CJ24"/>
    <mergeCell ref="CJ25:CJ26"/>
    <mergeCell ref="CJ27:CJ30"/>
    <mergeCell ref="CJ32:CJ33"/>
    <mergeCell ref="CJ34:CJ36"/>
    <mergeCell ref="CJ37:CJ40"/>
    <mergeCell ref="CJ47:CJ48"/>
    <mergeCell ref="CJ43:CJ45"/>
    <mergeCell ref="CK23:CK24"/>
    <mergeCell ref="CI118:CI119"/>
    <mergeCell ref="CI89:CI91"/>
    <mergeCell ref="CG115:CG117"/>
    <mergeCell ref="CJ92:CJ95"/>
    <mergeCell ref="CJ101:CJ103"/>
    <mergeCell ref="CF82:CF85"/>
    <mergeCell ref="CG86:CG87"/>
    <mergeCell ref="CG66:CG67"/>
    <mergeCell ref="CG111:CG114"/>
    <mergeCell ref="CF111:CF114"/>
    <mergeCell ref="CG62:CG63"/>
    <mergeCell ref="CH51:CH52"/>
    <mergeCell ref="CG43:CG45"/>
    <mergeCell ref="CH47:CH48"/>
    <mergeCell ref="CG55:CG56"/>
    <mergeCell ref="CF23:CF24"/>
    <mergeCell ref="CG23:CG24"/>
    <mergeCell ref="CJ141:CJ145"/>
    <mergeCell ref="CK146:CK154"/>
    <mergeCell ref="CC132:CC133"/>
    <mergeCell ref="BE158:BE160"/>
    <mergeCell ref="BH162:BH175"/>
    <mergeCell ref="CJ20:CJ22"/>
    <mergeCell ref="CG25:CG26"/>
    <mergeCell ref="CG20:CG22"/>
    <mergeCell ref="CG9:CG12"/>
    <mergeCell ref="CH20:CH22"/>
    <mergeCell ref="CH23:CH24"/>
    <mergeCell ref="CG14:CG19"/>
    <mergeCell ref="CH9:CH12"/>
    <mergeCell ref="CH34:CH36"/>
    <mergeCell ref="CF37:CF40"/>
    <mergeCell ref="CH132:CH133"/>
    <mergeCell ref="CK120:CK122"/>
    <mergeCell ref="CK123:CK126"/>
    <mergeCell ref="CE120:CE122"/>
    <mergeCell ref="CI120:CI122"/>
    <mergeCell ref="CI132:CI133"/>
    <mergeCell ref="CG120:CG122"/>
    <mergeCell ref="CK55:CK56"/>
    <mergeCell ref="CK58:CK59"/>
    <mergeCell ref="CK62:CK63"/>
    <mergeCell ref="CE70:CE72"/>
    <mergeCell ref="CE74:CE75"/>
    <mergeCell ref="CK82:CK85"/>
    <mergeCell ref="CJ82:CJ85"/>
    <mergeCell ref="CE77:CE78"/>
    <mergeCell ref="CF74:CF75"/>
    <mergeCell ref="CI77:CI78"/>
    <mergeCell ref="BJ176:BJ179"/>
    <mergeCell ref="BK176:BK179"/>
    <mergeCell ref="BZ123:BZ126"/>
    <mergeCell ref="BS176:BS179"/>
    <mergeCell ref="CA123:CA126"/>
    <mergeCell ref="BZ141:BZ144"/>
    <mergeCell ref="BO123:BO126"/>
    <mergeCell ref="BH128:BH131"/>
    <mergeCell ref="BF134:BF137"/>
    <mergeCell ref="BG134:BG137"/>
    <mergeCell ref="BH134:BH137"/>
    <mergeCell ref="BG123:BG126"/>
    <mergeCell ref="BJ132:BJ133"/>
    <mergeCell ref="BM162:BM175"/>
    <mergeCell ref="BL176:BL179"/>
    <mergeCell ref="BG128:BG131"/>
    <mergeCell ref="BF128:BF131"/>
    <mergeCell ref="BF123:BF126"/>
    <mergeCell ref="BH132:BH133"/>
    <mergeCell ref="BI132:BI133"/>
    <mergeCell ref="BM123:BM126"/>
    <mergeCell ref="CA134:CA135"/>
    <mergeCell ref="BZ128:BZ131"/>
    <mergeCell ref="BM176:BM179"/>
    <mergeCell ref="BP176:BP179"/>
    <mergeCell ref="BO176:BO179"/>
    <mergeCell ref="BM128:BM131"/>
    <mergeCell ref="BQ141:BQ144"/>
    <mergeCell ref="BJ162:BJ175"/>
    <mergeCell ref="BM158:BM160"/>
    <mergeCell ref="BN155:BN157"/>
    <mergeCell ref="BN162:BN175"/>
    <mergeCell ref="CJ210:CJ211"/>
    <mergeCell ref="CG207:CG208"/>
    <mergeCell ref="CJ66:CJ67"/>
    <mergeCell ref="CJ74:CJ75"/>
    <mergeCell ref="CJ77:CJ78"/>
    <mergeCell ref="BR89:BR91"/>
    <mergeCell ref="CB77:CB78"/>
    <mergeCell ref="CB105:CB107"/>
    <mergeCell ref="CD115:CD117"/>
    <mergeCell ref="CB115:CB117"/>
    <mergeCell ref="CK86:CK87"/>
    <mergeCell ref="CJ89:CJ91"/>
    <mergeCell ref="CK89:CK91"/>
    <mergeCell ref="CK92:CK95"/>
    <mergeCell ref="CJ146:CJ154"/>
    <mergeCell ref="CK101:CK103"/>
    <mergeCell ref="CK105:CK107"/>
    <mergeCell ref="CD132:CD133"/>
    <mergeCell ref="CK132:CK133"/>
    <mergeCell ref="CI123:CI126"/>
    <mergeCell ref="CJ185:CJ188"/>
    <mergeCell ref="CF176:CF179"/>
    <mergeCell ref="BT120:BT122"/>
    <mergeCell ref="CA128:CA131"/>
    <mergeCell ref="BR123:BR126"/>
    <mergeCell ref="BU120:BU122"/>
    <mergeCell ref="CB89:CB91"/>
    <mergeCell ref="CD111:CD114"/>
    <mergeCell ref="CG118:CG119"/>
    <mergeCell ref="CG134:CG137"/>
    <mergeCell ref="CG128:CG131"/>
    <mergeCell ref="CH155:CH157"/>
    <mergeCell ref="AQ62:AQ65"/>
    <mergeCell ref="AQ77:AQ79"/>
    <mergeCell ref="BF92:BF95"/>
    <mergeCell ref="AY77:AY78"/>
    <mergeCell ref="AT77:AT78"/>
    <mergeCell ref="BM101:BM103"/>
    <mergeCell ref="AW66:AW67"/>
    <mergeCell ref="BK86:BK87"/>
    <mergeCell ref="BM74:BM75"/>
    <mergeCell ref="BJ89:BJ91"/>
    <mergeCell ref="BG101:BG103"/>
    <mergeCell ref="BG92:BG95"/>
    <mergeCell ref="BG86:BG87"/>
    <mergeCell ref="BJ92:BJ95"/>
    <mergeCell ref="BL96:BL98"/>
    <mergeCell ref="BE101:BE103"/>
    <mergeCell ref="BI108:BI110"/>
    <mergeCell ref="BI89:BI91"/>
    <mergeCell ref="BI96:BI98"/>
    <mergeCell ref="BE96:BE98"/>
    <mergeCell ref="BH89:BH91"/>
    <mergeCell ref="BE89:BE91"/>
    <mergeCell ref="AZ105:AZ107"/>
    <mergeCell ref="AS94:AS95"/>
    <mergeCell ref="AZ96:AZ98"/>
    <mergeCell ref="AW94:AW95"/>
    <mergeCell ref="AY101:AY102"/>
    <mergeCell ref="BD62:BD63"/>
    <mergeCell ref="BD66:BD67"/>
    <mergeCell ref="AQ96:AQ100"/>
    <mergeCell ref="AW108:AW110"/>
    <mergeCell ref="BM82:BM85"/>
    <mergeCell ref="BL86:BL87"/>
    <mergeCell ref="AR77:AR79"/>
    <mergeCell ref="BS96:BS97"/>
    <mergeCell ref="BS92:BS95"/>
    <mergeCell ref="AQ86:AQ88"/>
    <mergeCell ref="AR86:AR88"/>
    <mergeCell ref="BK92:BK95"/>
    <mergeCell ref="BQ105:BQ107"/>
    <mergeCell ref="BO105:BO107"/>
    <mergeCell ref="BN105:BN107"/>
    <mergeCell ref="BP105:BP107"/>
    <mergeCell ref="BR105:BR107"/>
    <mergeCell ref="BN77:BN78"/>
    <mergeCell ref="BO89:BO91"/>
    <mergeCell ref="BP92:BP95"/>
    <mergeCell ref="BS89:BS91"/>
    <mergeCell ref="BQ101:BQ103"/>
    <mergeCell ref="BE92:BE95"/>
    <mergeCell ref="BF89:BF91"/>
    <mergeCell ref="BG96:BG98"/>
    <mergeCell ref="BJ105:BJ107"/>
    <mergeCell ref="BF105:BF107"/>
    <mergeCell ref="BA89:BA91"/>
    <mergeCell ref="AQ82:AQ85"/>
    <mergeCell ref="AR89:AR91"/>
    <mergeCell ref="AZ89:AZ91"/>
    <mergeCell ref="AQ105:AQ110"/>
    <mergeCell ref="AR105:AR110"/>
    <mergeCell ref="AV108:AV110"/>
    <mergeCell ref="BH96:BH98"/>
    <mergeCell ref="BO101:BO103"/>
    <mergeCell ref="BI77:BI78"/>
    <mergeCell ref="AU70:AU72"/>
    <mergeCell ref="AW70:AW72"/>
    <mergeCell ref="AX70:AX72"/>
    <mergeCell ref="AX66:AX67"/>
    <mergeCell ref="AW101:AW102"/>
    <mergeCell ref="AS58:AS59"/>
    <mergeCell ref="AW58:AW59"/>
    <mergeCell ref="AX62:AX63"/>
    <mergeCell ref="AX77:AX78"/>
    <mergeCell ref="AV58:AV59"/>
    <mergeCell ref="AS62:AS63"/>
    <mergeCell ref="AU92:AU93"/>
    <mergeCell ref="AS77:AS78"/>
    <mergeCell ref="AS70:AS72"/>
    <mergeCell ref="AR92:AR95"/>
    <mergeCell ref="AR62:AR65"/>
    <mergeCell ref="AY92:AY93"/>
    <mergeCell ref="AY94:AY95"/>
    <mergeCell ref="AR66:AR69"/>
    <mergeCell ref="AR70:AR73"/>
    <mergeCell ref="AR101:AR104"/>
    <mergeCell ref="AY66:AY67"/>
    <mergeCell ref="AR82:AR85"/>
    <mergeCell ref="AS101:AS102"/>
    <mergeCell ref="AW92:AW93"/>
    <mergeCell ref="AU101:AU102"/>
    <mergeCell ref="AX101:AX102"/>
    <mergeCell ref="AR96:AR100"/>
    <mergeCell ref="AZ74:AZ75"/>
    <mergeCell ref="AX90:AX91"/>
    <mergeCell ref="AZ62:AZ63"/>
    <mergeCell ref="AZ66:AZ67"/>
    <mergeCell ref="AZ70:AZ72"/>
    <mergeCell ref="AX58:AX59"/>
    <mergeCell ref="AS55:AS56"/>
    <mergeCell ref="AR111:AR114"/>
    <mergeCell ref="AP105:AP110"/>
    <mergeCell ref="AP92:AP95"/>
    <mergeCell ref="AQ92:AQ95"/>
    <mergeCell ref="AP111:AP114"/>
    <mergeCell ref="AQ111:AQ114"/>
    <mergeCell ref="AP96:AP100"/>
    <mergeCell ref="AP101:AP104"/>
    <mergeCell ref="AQ101:AQ104"/>
    <mergeCell ref="AV51:AV52"/>
    <mergeCell ref="AT101:AT102"/>
    <mergeCell ref="AV101:AV102"/>
    <mergeCell ref="AV70:AV72"/>
    <mergeCell ref="AU55:AU56"/>
    <mergeCell ref="AV55:AV56"/>
    <mergeCell ref="AU51:AU52"/>
    <mergeCell ref="AV74:AV75"/>
    <mergeCell ref="AV90:AV91"/>
    <mergeCell ref="AT62:AT63"/>
    <mergeCell ref="AS66:AS67"/>
    <mergeCell ref="AS74:AS75"/>
    <mergeCell ref="AP86:AP88"/>
    <mergeCell ref="AP70:AP73"/>
    <mergeCell ref="AP62:AP65"/>
    <mergeCell ref="AP82:AP85"/>
    <mergeCell ref="BS105:BS107"/>
    <mergeCell ref="BV92:BV95"/>
    <mergeCell ref="BP120:BP122"/>
    <mergeCell ref="CB123:CB126"/>
    <mergeCell ref="CB128:CB131"/>
    <mergeCell ref="BG105:BG107"/>
    <mergeCell ref="BE108:BE110"/>
    <mergeCell ref="BH108:BH110"/>
    <mergeCell ref="BD96:BD98"/>
    <mergeCell ref="BS101:BS103"/>
    <mergeCell ref="BZ92:BZ95"/>
    <mergeCell ref="BP101:BP103"/>
    <mergeCell ref="BU115:BU117"/>
    <mergeCell ref="BL108:BL110"/>
    <mergeCell ref="BN101:BN103"/>
    <mergeCell ref="BP118:BP119"/>
    <mergeCell ref="BM115:BM117"/>
    <mergeCell ref="CB96:CB98"/>
    <mergeCell ref="CB111:CB114"/>
    <mergeCell ref="BV111:BV114"/>
    <mergeCell ref="BS111:BS114"/>
    <mergeCell ref="BP111:BP114"/>
    <mergeCell ref="BT111:BT114"/>
    <mergeCell ref="BR111:BR114"/>
    <mergeCell ref="BO115:BO117"/>
    <mergeCell ref="BR115:BR117"/>
    <mergeCell ref="BK120:BK122"/>
    <mergeCell ref="BL120:BL122"/>
    <mergeCell ref="BR120:BR122"/>
    <mergeCell ref="BL123:BL126"/>
    <mergeCell ref="BJ101:BJ103"/>
    <mergeCell ref="BI105:BI107"/>
    <mergeCell ref="CD101:CD103"/>
    <mergeCell ref="CD58:CD59"/>
    <mergeCell ref="CA101:CA103"/>
    <mergeCell ref="BY47:BY48"/>
    <mergeCell ref="BX82:BX85"/>
    <mergeCell ref="CD74:CD75"/>
    <mergeCell ref="CD105:CD107"/>
    <mergeCell ref="CC77:CC78"/>
    <mergeCell ref="CD77:CD78"/>
    <mergeCell ref="CC82:CC85"/>
    <mergeCell ref="CC58:CC59"/>
    <mergeCell ref="CB66:CB67"/>
    <mergeCell ref="CB47:CB48"/>
    <mergeCell ref="CD51:CD52"/>
    <mergeCell ref="CD47:CD48"/>
    <mergeCell ref="CC55:CC56"/>
    <mergeCell ref="CA23:CA24"/>
    <mergeCell ref="CA82:CA85"/>
    <mergeCell ref="CC86:CC87"/>
    <mergeCell ref="CD92:CD95"/>
    <mergeCell ref="CD89:CD91"/>
    <mergeCell ref="CD96:CD98"/>
    <mergeCell ref="CD86:CD87"/>
    <mergeCell ref="CC89:CC91"/>
    <mergeCell ref="CB70:CB72"/>
    <mergeCell ref="CD23:CD24"/>
    <mergeCell ref="BZ43:BZ45"/>
    <mergeCell ref="BZ74:BZ75"/>
    <mergeCell ref="BY86:BY87"/>
    <mergeCell ref="CH146:CH154"/>
    <mergeCell ref="CH158:CH160"/>
    <mergeCell ref="CC141:CC145"/>
    <mergeCell ref="CD123:CD126"/>
    <mergeCell ref="CG123:CG126"/>
    <mergeCell ref="CH123:CH126"/>
    <mergeCell ref="CC134:CC137"/>
    <mergeCell ref="CE134:CE137"/>
    <mergeCell ref="CD146:CD154"/>
    <mergeCell ref="CF134:CF137"/>
    <mergeCell ref="CD141:CD145"/>
    <mergeCell ref="CI155:CI157"/>
    <mergeCell ref="CI146:CI148"/>
    <mergeCell ref="CI152:CI154"/>
    <mergeCell ref="CE155:CE157"/>
    <mergeCell ref="CG141:CG145"/>
    <mergeCell ref="CF141:CF145"/>
    <mergeCell ref="CD134:CD137"/>
    <mergeCell ref="CI158:CI160"/>
    <mergeCell ref="CE132:CE133"/>
    <mergeCell ref="CF132:CF133"/>
    <mergeCell ref="CD128:CD131"/>
    <mergeCell ref="CE141:CE145"/>
    <mergeCell ref="CG132:CG133"/>
    <mergeCell ref="CF123:CF126"/>
    <mergeCell ref="CJ199:CJ206"/>
    <mergeCell ref="CK207:CK208"/>
    <mergeCell ref="CH185:CH188"/>
    <mergeCell ref="CI162:CI175"/>
    <mergeCell ref="CH162:CH175"/>
    <mergeCell ref="CE180:CE184"/>
    <mergeCell ref="CF180:CF184"/>
    <mergeCell ref="CG180:CG184"/>
    <mergeCell ref="CE185:CE188"/>
    <mergeCell ref="CI180:CI184"/>
    <mergeCell ref="CE176:CE179"/>
    <mergeCell ref="CG176:CG179"/>
    <mergeCell ref="CK162:CK175"/>
    <mergeCell ref="CJ176:CJ179"/>
    <mergeCell ref="CH180:CH184"/>
    <mergeCell ref="CI176:CI179"/>
    <mergeCell ref="CK190:CK192"/>
    <mergeCell ref="CH193:CH194"/>
    <mergeCell ref="CJ193:CJ194"/>
    <mergeCell ref="CK193:CK194"/>
    <mergeCell ref="CI193:CI194"/>
    <mergeCell ref="CJ180:CJ184"/>
    <mergeCell ref="CF185:CF188"/>
    <mergeCell ref="CI185:CI188"/>
    <mergeCell ref="CF196:CF198"/>
    <mergeCell ref="CH190:CH192"/>
    <mergeCell ref="CH176:CH179"/>
    <mergeCell ref="CH196:CH198"/>
    <mergeCell ref="CG199:CG206"/>
    <mergeCell ref="CF207:CF208"/>
    <mergeCell ref="CK141:CK145"/>
    <mergeCell ref="CJ118:CJ119"/>
    <mergeCell ref="CJ120:CJ122"/>
    <mergeCell ref="CJ123:CJ126"/>
    <mergeCell ref="CH141:CH145"/>
    <mergeCell ref="CK155:CK157"/>
    <mergeCell ref="CK158:CK160"/>
    <mergeCell ref="CH210:CH211"/>
    <mergeCell ref="CJ216:CJ219"/>
    <mergeCell ref="CK216:CK219"/>
    <mergeCell ref="CJ212:CJ215"/>
    <mergeCell ref="CK212:CK215"/>
    <mergeCell ref="CK199:CK206"/>
    <mergeCell ref="CK176:CK179"/>
    <mergeCell ref="CK180:CK184"/>
    <mergeCell ref="CK185:CK188"/>
    <mergeCell ref="CK210:CK211"/>
    <mergeCell ref="CJ158:CJ160"/>
    <mergeCell ref="CI210:CI211"/>
    <mergeCell ref="CH212:CH215"/>
    <mergeCell ref="CJ132:CJ133"/>
    <mergeCell ref="CI134:CI137"/>
    <mergeCell ref="CJ134:CJ137"/>
    <mergeCell ref="CJ162:CJ175"/>
    <mergeCell ref="CJ190:CJ192"/>
    <mergeCell ref="CI190:CI192"/>
    <mergeCell ref="CJ196:CJ198"/>
    <mergeCell ref="CI196:CI198"/>
    <mergeCell ref="CK196:CK198"/>
    <mergeCell ref="CH207:CH208"/>
    <mergeCell ref="CI207:CI208"/>
    <mergeCell ref="CJ207:CJ208"/>
    <mergeCell ref="CG210:CG211"/>
    <mergeCell ref="CI216:CI219"/>
    <mergeCell ref="CC196:CC198"/>
    <mergeCell ref="CD196:CD198"/>
    <mergeCell ref="CI212:CI215"/>
    <mergeCell ref="CI199:CI206"/>
    <mergeCell ref="CH199:CH206"/>
    <mergeCell ref="CC212:CC215"/>
    <mergeCell ref="CD199:CD206"/>
    <mergeCell ref="CD210:CD211"/>
    <mergeCell ref="CE199:CE206"/>
    <mergeCell ref="CF199:CF206"/>
    <mergeCell ref="BX227:BX229"/>
    <mergeCell ref="BY227:BY229"/>
    <mergeCell ref="BZ227:BZ229"/>
    <mergeCell ref="CA227:CA229"/>
    <mergeCell ref="CB227:CB229"/>
    <mergeCell ref="CD224:CD226"/>
    <mergeCell ref="CD216:CD219"/>
    <mergeCell ref="CD220:CD223"/>
    <mergeCell ref="CG212:CG215"/>
    <mergeCell ref="CG216:CG219"/>
    <mergeCell ref="CE224:CE226"/>
    <mergeCell ref="CF224:CF226"/>
    <mergeCell ref="CF212:CF215"/>
    <mergeCell ref="CD212:CD215"/>
    <mergeCell ref="CE212:CE215"/>
    <mergeCell ref="CA212:CA215"/>
    <mergeCell ref="CB212:CB215"/>
    <mergeCell ref="CC199:CC206"/>
    <mergeCell ref="CD207:CD208"/>
    <mergeCell ref="CE207:CE208"/>
    <mergeCell ref="BO227:BO229"/>
    <mergeCell ref="BP227:BP229"/>
    <mergeCell ref="BQ227:BQ229"/>
    <mergeCell ref="BR227:BR229"/>
    <mergeCell ref="BP220:BP223"/>
    <mergeCell ref="BP224:BP226"/>
    <mergeCell ref="CK227:CK229"/>
    <mergeCell ref="CE216:CE219"/>
    <mergeCell ref="CF216:CF219"/>
    <mergeCell ref="CE220:CE223"/>
    <mergeCell ref="CF220:CF223"/>
    <mergeCell ref="CH216:CH219"/>
    <mergeCell ref="CH220:CH223"/>
    <mergeCell ref="CI220:CI223"/>
    <mergeCell ref="CI224:CI226"/>
    <mergeCell ref="CJ220:CJ223"/>
    <mergeCell ref="CG196:CG198"/>
    <mergeCell ref="CJ227:CJ229"/>
    <mergeCell ref="CC227:CC229"/>
    <mergeCell ref="CD227:CD229"/>
    <mergeCell ref="CE227:CE229"/>
    <mergeCell ref="CF227:CF229"/>
    <mergeCell ref="CG227:CG229"/>
    <mergeCell ref="CH227:CH229"/>
    <mergeCell ref="CI227:CI229"/>
    <mergeCell ref="CG220:CG223"/>
    <mergeCell ref="CJ224:CJ226"/>
    <mergeCell ref="CG224:CG226"/>
    <mergeCell ref="CH224:CH226"/>
    <mergeCell ref="CK220:CK223"/>
    <mergeCell ref="CK224:CK226"/>
    <mergeCell ref="CE196:CE198"/>
    <mergeCell ref="E199:E206"/>
    <mergeCell ref="BA199:BA206"/>
    <mergeCell ref="BD224:BD226"/>
    <mergeCell ref="F199:F206"/>
    <mergeCell ref="J207:J209"/>
    <mergeCell ref="W199:W206"/>
    <mergeCell ref="Y196:Y198"/>
    <mergeCell ref="F210:F211"/>
    <mergeCell ref="I199:I206"/>
    <mergeCell ref="BN199:BN206"/>
    <mergeCell ref="BK220:BK223"/>
    <mergeCell ref="BJ224:BJ226"/>
    <mergeCell ref="BK224:BK226"/>
    <mergeCell ref="BL224:BL226"/>
    <mergeCell ref="BM224:BM226"/>
    <mergeCell ref="BN207:BN208"/>
    <mergeCell ref="BM199:BM206"/>
    <mergeCell ref="BN220:BN223"/>
    <mergeCell ref="BN224:BN226"/>
    <mergeCell ref="BE207:BE208"/>
    <mergeCell ref="BJ207:BJ208"/>
    <mergeCell ref="BH216:BH219"/>
    <mergeCell ref="BI216:BI219"/>
    <mergeCell ref="BL199:BL206"/>
    <mergeCell ref="Q196:Q198"/>
    <mergeCell ref="T196:T198"/>
    <mergeCell ref="U196:U198"/>
    <mergeCell ref="S196:S198"/>
    <mergeCell ref="BJ199:BJ206"/>
    <mergeCell ref="AJ216:AJ219"/>
    <mergeCell ref="AI216:AI219"/>
    <mergeCell ref="I220:I223"/>
    <mergeCell ref="AN212:AN215"/>
    <mergeCell ref="AN210:AN211"/>
    <mergeCell ref="AT216:AT219"/>
    <mergeCell ref="AT210:AT211"/>
    <mergeCell ref="AT224:AT226"/>
    <mergeCell ref="AZ216:AZ219"/>
    <mergeCell ref="AU220:AU223"/>
    <mergeCell ref="AV212:AV215"/>
    <mergeCell ref="AU212:AU215"/>
    <mergeCell ref="BA207:BA208"/>
    <mergeCell ref="H190:H192"/>
    <mergeCell ref="G193:G195"/>
    <mergeCell ref="K190:K192"/>
    <mergeCell ref="K193:K195"/>
    <mergeCell ref="F193:F195"/>
    <mergeCell ref="Q207:Q209"/>
    <mergeCell ref="R207:R209"/>
    <mergeCell ref="L196:L198"/>
    <mergeCell ref="R196:R198"/>
    <mergeCell ref="P196:P198"/>
    <mergeCell ref="S207:S209"/>
    <mergeCell ref="N207:N209"/>
    <mergeCell ref="T207:T209"/>
    <mergeCell ref="U207:U209"/>
    <mergeCell ref="V207:V209"/>
    <mergeCell ref="P207:P209"/>
    <mergeCell ref="N193:N195"/>
    <mergeCell ref="O193:O195"/>
    <mergeCell ref="U193:U195"/>
    <mergeCell ref="AT190:AT192"/>
    <mergeCell ref="AT207:AT208"/>
    <mergeCell ref="AT199:AT206"/>
    <mergeCell ref="AG224:AG226"/>
    <mergeCell ref="AH224:AH226"/>
    <mergeCell ref="AG220:AG223"/>
    <mergeCell ref="AF216:AF219"/>
    <mergeCell ref="AF220:AF223"/>
    <mergeCell ref="AB199:AB206"/>
    <mergeCell ref="AX210:AX211"/>
    <mergeCell ref="AU207:AU208"/>
    <mergeCell ref="AV207:AV208"/>
    <mergeCell ref="BB212:BB215"/>
    <mergeCell ref="AZ212:AZ215"/>
    <mergeCell ref="AT227:AT229"/>
    <mergeCell ref="E227:E230"/>
    <mergeCell ref="C227:C237"/>
    <mergeCell ref="F234:F237"/>
    <mergeCell ref="G234:G237"/>
    <mergeCell ref="D227:D230"/>
    <mergeCell ref="AY220:AY223"/>
    <mergeCell ref="R227:R230"/>
    <mergeCell ref="AD227:AD230"/>
    <mergeCell ref="AE227:AE230"/>
    <mergeCell ref="AI227:AI230"/>
    <mergeCell ref="AS227:AS237"/>
    <mergeCell ref="AM227:AM230"/>
    <mergeCell ref="AN227:AN230"/>
    <mergeCell ref="D220:D223"/>
    <mergeCell ref="BA220:BA223"/>
    <mergeCell ref="BA224:BA226"/>
    <mergeCell ref="AN231:AN233"/>
    <mergeCell ref="AM231:AM233"/>
    <mergeCell ref="AF224:AF226"/>
    <mergeCell ref="X227:X230"/>
    <mergeCell ref="CH234:CH235"/>
    <mergeCell ref="CI234:CI235"/>
    <mergeCell ref="BZ234:BZ235"/>
    <mergeCell ref="CA234:CA235"/>
    <mergeCell ref="CB234:CB235"/>
    <mergeCell ref="D231:D233"/>
    <mergeCell ref="D234:D237"/>
    <mergeCell ref="E234:E237"/>
    <mergeCell ref="G227:G230"/>
    <mergeCell ref="AT231:AT232"/>
    <mergeCell ref="AU231:AU232"/>
    <mergeCell ref="AT234:AT235"/>
    <mergeCell ref="AU234:AU235"/>
    <mergeCell ref="F227:F230"/>
    <mergeCell ref="AU227:AU229"/>
    <mergeCell ref="BN234:BN235"/>
    <mergeCell ref="BO234:BO235"/>
    <mergeCell ref="BP234:BP235"/>
    <mergeCell ref="CI231:CI232"/>
    <mergeCell ref="CE231:CE232"/>
    <mergeCell ref="BV234:BV235"/>
    <mergeCell ref="BW234:BW235"/>
    <mergeCell ref="CH231:CH232"/>
    <mergeCell ref="BX234:BX235"/>
    <mergeCell ref="BY234:BY235"/>
    <mergeCell ref="AW227:AW229"/>
    <mergeCell ref="BU231:BU232"/>
    <mergeCell ref="AV231:AV232"/>
    <mergeCell ref="BS231:BS232"/>
    <mergeCell ref="BM227:BM229"/>
    <mergeCell ref="BT231:BT232"/>
    <mergeCell ref="BL231:BL232"/>
    <mergeCell ref="CK231:CK232"/>
    <mergeCell ref="BG231:BG232"/>
    <mergeCell ref="BV231:BV232"/>
    <mergeCell ref="BW231:BW232"/>
    <mergeCell ref="CF231:CF232"/>
    <mergeCell ref="CC234:CC235"/>
    <mergeCell ref="CD234:CD235"/>
    <mergeCell ref="CG234:CG235"/>
    <mergeCell ref="CJ234:CJ235"/>
    <mergeCell ref="CE234:CE235"/>
    <mergeCell ref="CF234:CF235"/>
    <mergeCell ref="CK234:CK235"/>
    <mergeCell ref="CG231:CG232"/>
    <mergeCell ref="AV234:AV235"/>
    <mergeCell ref="AW234:AW235"/>
    <mergeCell ref="AX234:AX235"/>
    <mergeCell ref="AY234:AY235"/>
    <mergeCell ref="BQ231:BQ232"/>
    <mergeCell ref="BR231:BR232"/>
    <mergeCell ref="BB234:BB235"/>
    <mergeCell ref="BC234:BC235"/>
    <mergeCell ref="BQ234:BQ235"/>
    <mergeCell ref="BR234:BR235"/>
    <mergeCell ref="BH234:BH235"/>
    <mergeCell ref="BK231:BK232"/>
    <mergeCell ref="BI234:BI235"/>
    <mergeCell ref="BU234:BU235"/>
    <mergeCell ref="BJ234:BJ235"/>
    <mergeCell ref="BK234:BK235"/>
    <mergeCell ref="BL234:BL235"/>
    <mergeCell ref="BM234:BM235"/>
    <mergeCell ref="CJ231:CJ232"/>
    <mergeCell ref="B190:B237"/>
    <mergeCell ref="BS234:BS235"/>
    <mergeCell ref="BT234:BT235"/>
    <mergeCell ref="J231:J233"/>
    <mergeCell ref="BH231:BH232"/>
    <mergeCell ref="BI231:BI232"/>
    <mergeCell ref="BJ231:BJ232"/>
    <mergeCell ref="BP231:BP232"/>
    <mergeCell ref="BB231:BB232"/>
    <mergeCell ref="BF234:BF235"/>
    <mergeCell ref="BG234:BG235"/>
    <mergeCell ref="H227:H230"/>
    <mergeCell ref="I227:I230"/>
    <mergeCell ref="J227:J230"/>
    <mergeCell ref="BD234:BD235"/>
    <mergeCell ref="BE234:BE235"/>
    <mergeCell ref="AZ234:AZ235"/>
    <mergeCell ref="BA234:BA235"/>
    <mergeCell ref="BC231:BC232"/>
    <mergeCell ref="AV227:AV229"/>
    <mergeCell ref="E231:E233"/>
    <mergeCell ref="F231:F233"/>
    <mergeCell ref="G231:G233"/>
    <mergeCell ref="H231:H233"/>
    <mergeCell ref="I231:I233"/>
    <mergeCell ref="AX227:AX229"/>
    <mergeCell ref="AY227:AY229"/>
    <mergeCell ref="AW231:AW232"/>
    <mergeCell ref="AM234:AM237"/>
    <mergeCell ref="C190:C195"/>
    <mergeCell ref="D224:D226"/>
    <mergeCell ref="C216:C226"/>
    <mergeCell ref="AE128:AE131"/>
    <mergeCell ref="AF128:AF131"/>
    <mergeCell ref="AJ128:AJ131"/>
    <mergeCell ref="AI132:AI133"/>
    <mergeCell ref="AJ132:AJ133"/>
    <mergeCell ref="AK132:AK133"/>
    <mergeCell ref="AM123:AM126"/>
    <mergeCell ref="AH115:AH117"/>
    <mergeCell ref="AI115:AI117"/>
    <mergeCell ref="AK118:AK119"/>
    <mergeCell ref="AL118:AL119"/>
    <mergeCell ref="AA120:AA122"/>
    <mergeCell ref="AB120:AB122"/>
    <mergeCell ref="AC120:AC122"/>
    <mergeCell ref="AD120:AD122"/>
    <mergeCell ref="AE120:AE122"/>
    <mergeCell ref="AF120:AF122"/>
    <mergeCell ref="AG120:AG122"/>
    <mergeCell ref="AH120:AH122"/>
    <mergeCell ref="AI120:AI122"/>
    <mergeCell ref="AJ120:AJ122"/>
    <mergeCell ref="AK120:AK122"/>
    <mergeCell ref="AL120:AL122"/>
    <mergeCell ref="AE123:AE126"/>
    <mergeCell ref="AG128:AG131"/>
    <mergeCell ref="AA123:AA126"/>
    <mergeCell ref="AB123:AB126"/>
    <mergeCell ref="AC123:AC126"/>
    <mergeCell ref="AD123:AD126"/>
    <mergeCell ref="AF123:AF126"/>
    <mergeCell ref="AG123:AG126"/>
    <mergeCell ref="AS196:AS211"/>
    <mergeCell ref="AV128:AV131"/>
    <mergeCell ref="AP118:AP119"/>
    <mergeCell ref="AQ118:AQ119"/>
    <mergeCell ref="BA118:BA119"/>
    <mergeCell ref="AR118:AR119"/>
    <mergeCell ref="BB132:BB133"/>
    <mergeCell ref="AU149:AU151"/>
    <mergeCell ref="AQ115:AQ117"/>
    <mergeCell ref="AP115:AP117"/>
    <mergeCell ref="AN137:AN140"/>
    <mergeCell ref="AM111:AM114"/>
    <mergeCell ref="AK111:AK114"/>
    <mergeCell ref="AL111:AL114"/>
    <mergeCell ref="AB115:AB117"/>
    <mergeCell ref="AF132:AF133"/>
    <mergeCell ref="AD132:AD133"/>
    <mergeCell ref="AH132:AH133"/>
    <mergeCell ref="AL132:AL133"/>
    <mergeCell ref="AE111:AE114"/>
    <mergeCell ref="AE132:AE133"/>
    <mergeCell ref="AG111:AG114"/>
    <mergeCell ref="AH111:AH114"/>
    <mergeCell ref="AI111:AI114"/>
    <mergeCell ref="AJ111:AJ114"/>
    <mergeCell ref="AR115:AR117"/>
    <mergeCell ref="AR123:AR126"/>
    <mergeCell ref="AY120:AY121"/>
    <mergeCell ref="AS111:AS112"/>
    <mergeCell ref="AB128:AB131"/>
    <mergeCell ref="AC128:AC131"/>
    <mergeCell ref="AD128:AD131"/>
    <mergeCell ref="BS199:BS206"/>
    <mergeCell ref="BX199:BX206"/>
    <mergeCell ref="BR220:BR223"/>
    <mergeCell ref="CE210:CE211"/>
    <mergeCell ref="BY199:BY206"/>
    <mergeCell ref="BZ199:BZ206"/>
    <mergeCell ref="BW199:BW206"/>
    <mergeCell ref="BN227:BN229"/>
    <mergeCell ref="BO224:BO226"/>
    <mergeCell ref="BO231:BO232"/>
    <mergeCell ref="AS146:AS148"/>
    <mergeCell ref="AN123:AN124"/>
    <mergeCell ref="AS128:AS131"/>
    <mergeCell ref="AN141:AN145"/>
    <mergeCell ref="AS132:AS133"/>
    <mergeCell ref="AS134:AS137"/>
    <mergeCell ref="AN128:AN131"/>
    <mergeCell ref="AZ128:AZ131"/>
    <mergeCell ref="AT128:AT131"/>
    <mergeCell ref="AV132:AV133"/>
    <mergeCell ref="BL227:BL229"/>
    <mergeCell ref="BI220:BI223"/>
    <mergeCell ref="BJ220:BJ223"/>
    <mergeCell ref="BH207:BH208"/>
    <mergeCell ref="BI212:BI215"/>
    <mergeCell ref="BH212:BH215"/>
    <mergeCell ref="BK216:BK219"/>
    <mergeCell ref="AS212:AS215"/>
    <mergeCell ref="BG227:BG229"/>
    <mergeCell ref="BH227:BH229"/>
    <mergeCell ref="BC224:BC226"/>
    <mergeCell ref="BE224:BE226"/>
    <mergeCell ref="CF210:CF211"/>
    <mergeCell ref="CA199:CA206"/>
    <mergeCell ref="CB199:CB206"/>
    <mergeCell ref="BZ212:BZ215"/>
    <mergeCell ref="BU199:BU206"/>
    <mergeCell ref="BR224:BR226"/>
    <mergeCell ref="BS224:BS226"/>
    <mergeCell ref="BT224:BT226"/>
    <mergeCell ref="BU224:BU226"/>
    <mergeCell ref="BY212:BY215"/>
    <mergeCell ref="BA227:BA229"/>
    <mergeCell ref="BB227:BB229"/>
    <mergeCell ref="BC227:BC229"/>
    <mergeCell ref="AX231:AX232"/>
    <mergeCell ref="AY231:AY232"/>
    <mergeCell ref="BN231:BN232"/>
    <mergeCell ref="AZ227:AZ229"/>
    <mergeCell ref="BK227:BK229"/>
    <mergeCell ref="BM231:BM232"/>
    <mergeCell ref="CC231:CC232"/>
    <mergeCell ref="CD231:CD232"/>
    <mergeCell ref="BS227:BS229"/>
    <mergeCell ref="BT227:BT229"/>
    <mergeCell ref="BU227:BU229"/>
    <mergeCell ref="BV227:BV229"/>
    <mergeCell ref="BW227:BW229"/>
    <mergeCell ref="CB231:CB232"/>
    <mergeCell ref="BX231:BX232"/>
    <mergeCell ref="BY231:BY232"/>
    <mergeCell ref="BZ231:BZ232"/>
    <mergeCell ref="CA231:CA232"/>
    <mergeCell ref="BR199:BR206"/>
    <mergeCell ref="AY132:AY133"/>
    <mergeCell ref="AW132:AW133"/>
    <mergeCell ref="AY158:AY160"/>
    <mergeCell ref="AW128:AW131"/>
    <mergeCell ref="AV152:AV154"/>
    <mergeCell ref="AW155:AW157"/>
    <mergeCell ref="AX152:AX154"/>
    <mergeCell ref="AX132:AX133"/>
    <mergeCell ref="AW149:AW151"/>
    <mergeCell ref="AW146:AW148"/>
    <mergeCell ref="AX146:AX148"/>
    <mergeCell ref="BI227:BI229"/>
    <mergeCell ref="BJ227:BJ229"/>
    <mergeCell ref="BF231:BF232"/>
    <mergeCell ref="BF227:BF229"/>
    <mergeCell ref="AZ231:AZ232"/>
    <mergeCell ref="BA231:BA232"/>
    <mergeCell ref="BD231:BD232"/>
    <mergeCell ref="BE231:BE232"/>
    <mergeCell ref="AY199:AY206"/>
    <mergeCell ref="AX193:AX194"/>
    <mergeCell ref="BF224:BF226"/>
    <mergeCell ref="AW210:AW211"/>
    <mergeCell ref="BA196:BA198"/>
    <mergeCell ref="BA216:BA219"/>
    <mergeCell ref="BA212:BA215"/>
    <mergeCell ref="AW207:AW208"/>
    <mergeCell ref="AX207:AX208"/>
    <mergeCell ref="AY207:AY208"/>
    <mergeCell ref="BD227:BD229"/>
    <mergeCell ref="BE227:BE229"/>
    <mergeCell ref="BE220:BE223"/>
    <mergeCell ref="G118:G119"/>
    <mergeCell ref="AN111:AN112"/>
    <mergeCell ref="AM108:AM110"/>
    <mergeCell ref="AN108:AN110"/>
    <mergeCell ref="AN169:AN175"/>
    <mergeCell ref="AN125:AN126"/>
    <mergeCell ref="AN116:AN117"/>
    <mergeCell ref="AM162:AM175"/>
    <mergeCell ref="AN166:AN168"/>
    <mergeCell ref="AM158:AM160"/>
    <mergeCell ref="AN113:AN114"/>
    <mergeCell ref="AL128:AL131"/>
    <mergeCell ref="O132:O133"/>
    <mergeCell ref="AM134:AM140"/>
    <mergeCell ref="AN155:AN157"/>
    <mergeCell ref="AN152:AN154"/>
    <mergeCell ref="AN149:AN151"/>
    <mergeCell ref="AJ134:AJ140"/>
    <mergeCell ref="AK134:AK140"/>
    <mergeCell ref="AN132:AN133"/>
    <mergeCell ref="AM155:AM157"/>
    <mergeCell ref="AN120:AN122"/>
    <mergeCell ref="K132:K133"/>
    <mergeCell ref="AM115:AM117"/>
    <mergeCell ref="AM120:AM122"/>
    <mergeCell ref="AJ115:AJ117"/>
    <mergeCell ref="AE118:AE119"/>
    <mergeCell ref="AF118:AF119"/>
    <mergeCell ref="AG118:AG119"/>
    <mergeCell ref="AH118:AH119"/>
    <mergeCell ref="AI118:AI119"/>
    <mergeCell ref="AJ118:AJ119"/>
    <mergeCell ref="E9:E13"/>
    <mergeCell ref="F9:F13"/>
    <mergeCell ref="G9:G13"/>
    <mergeCell ref="H9:H13"/>
    <mergeCell ref="I9:I13"/>
    <mergeCell ref="J9:J13"/>
    <mergeCell ref="L25:L26"/>
    <mergeCell ref="M25:M26"/>
    <mergeCell ref="M27:M28"/>
    <mergeCell ref="Q27:Q28"/>
    <mergeCell ref="P20:P22"/>
    <mergeCell ref="AC27:AC28"/>
    <mergeCell ref="AA27:AA28"/>
    <mergeCell ref="AB27:AB28"/>
    <mergeCell ref="AJ30:AJ31"/>
    <mergeCell ref="P111:P114"/>
    <mergeCell ref="Q111:Q114"/>
    <mergeCell ref="S27:S28"/>
    <mergeCell ref="AF111:AF114"/>
    <mergeCell ref="AA111:AA114"/>
    <mergeCell ref="R27:R28"/>
    <mergeCell ref="P30:P31"/>
    <mergeCell ref="M86:M88"/>
    <mergeCell ref="N86:N88"/>
    <mergeCell ref="N62:N65"/>
    <mergeCell ref="I108:I110"/>
    <mergeCell ref="I30:I31"/>
    <mergeCell ref="P32:P33"/>
    <mergeCell ref="K47:K50"/>
    <mergeCell ref="N43:N45"/>
    <mergeCell ref="J30:J31"/>
    <mergeCell ref="J108:J110"/>
    <mergeCell ref="E27:E28"/>
    <mergeCell ref="E32:E33"/>
    <mergeCell ref="H30:H31"/>
    <mergeCell ref="G23:G24"/>
    <mergeCell ref="H23:H24"/>
    <mergeCell ref="G30:G31"/>
    <mergeCell ref="L62:L65"/>
    <mergeCell ref="M62:M65"/>
    <mergeCell ref="I58:I61"/>
    <mergeCell ref="J58:J61"/>
    <mergeCell ref="K62:K65"/>
    <mergeCell ref="I55:I57"/>
    <mergeCell ref="N55:N57"/>
    <mergeCell ref="O55:O57"/>
    <mergeCell ref="M55:M57"/>
    <mergeCell ref="K34:K36"/>
    <mergeCell ref="J34:J36"/>
    <mergeCell ref="K43:K45"/>
    <mergeCell ref="F51:F54"/>
    <mergeCell ref="G51:G54"/>
    <mergeCell ref="H51:H54"/>
    <mergeCell ref="F55:F57"/>
    <mergeCell ref="G34:G36"/>
    <mergeCell ref="K55:K57"/>
    <mergeCell ref="H55:H57"/>
    <mergeCell ref="O58:O61"/>
    <mergeCell ref="N58:N61"/>
    <mergeCell ref="K51:K54"/>
    <mergeCell ref="H62:H65"/>
    <mergeCell ref="J62:J65"/>
    <mergeCell ref="M47:M50"/>
    <mergeCell ref="N47:N50"/>
    <mergeCell ref="I70:I73"/>
    <mergeCell ref="J70:J73"/>
    <mergeCell ref="K70:K73"/>
    <mergeCell ref="H92:H95"/>
    <mergeCell ref="L70:L73"/>
    <mergeCell ref="I86:I88"/>
    <mergeCell ref="H74:H76"/>
    <mergeCell ref="I74:I76"/>
    <mergeCell ref="J74:J76"/>
    <mergeCell ref="L43:L45"/>
    <mergeCell ref="M43:M45"/>
    <mergeCell ref="K58:K61"/>
    <mergeCell ref="I43:I45"/>
    <mergeCell ref="K74:K76"/>
    <mergeCell ref="M70:M73"/>
    <mergeCell ref="J77:J79"/>
    <mergeCell ref="K77:K79"/>
    <mergeCell ref="K86:K88"/>
    <mergeCell ref="L47:L50"/>
    <mergeCell ref="L51:L54"/>
    <mergeCell ref="L74:L76"/>
    <mergeCell ref="M74:M76"/>
    <mergeCell ref="M77:M79"/>
    <mergeCell ref="N77:N79"/>
    <mergeCell ref="O77:O79"/>
    <mergeCell ref="P70:P73"/>
    <mergeCell ref="M89:M91"/>
    <mergeCell ref="M66:M69"/>
    <mergeCell ref="N66:N69"/>
    <mergeCell ref="AG132:AG133"/>
    <mergeCell ref="L132:L133"/>
    <mergeCell ref="F96:F100"/>
    <mergeCell ref="G96:G100"/>
    <mergeCell ref="G86:G88"/>
    <mergeCell ref="G89:G91"/>
    <mergeCell ref="G92:G95"/>
    <mergeCell ref="H70:H73"/>
    <mergeCell ref="L77:L79"/>
    <mergeCell ref="F108:F110"/>
    <mergeCell ref="K118:K119"/>
    <mergeCell ref="K115:K117"/>
    <mergeCell ref="K111:K114"/>
    <mergeCell ref="I105:I107"/>
    <mergeCell ref="Y111:Y114"/>
    <mergeCell ref="T70:T73"/>
    <mergeCell ref="N70:N73"/>
    <mergeCell ref="I77:I79"/>
    <mergeCell ref="H77:H79"/>
    <mergeCell ref="H115:H117"/>
    <mergeCell ref="J92:J95"/>
    <mergeCell ref="K89:K91"/>
    <mergeCell ref="L86:L88"/>
    <mergeCell ref="L89:L91"/>
    <mergeCell ref="K66:K69"/>
    <mergeCell ref="D185:D188"/>
    <mergeCell ref="AN98:AN100"/>
    <mergeCell ref="AN87:AN88"/>
    <mergeCell ref="AM132:AM133"/>
    <mergeCell ref="J115:J117"/>
    <mergeCell ref="AM118:AM119"/>
    <mergeCell ref="AK128:AK131"/>
    <mergeCell ref="AF89:AF91"/>
    <mergeCell ref="AG89:AG91"/>
    <mergeCell ref="AN106:AN107"/>
    <mergeCell ref="J105:J107"/>
    <mergeCell ref="L92:L95"/>
    <mergeCell ref="D180:D184"/>
    <mergeCell ref="Z111:Z114"/>
    <mergeCell ref="AK115:AK117"/>
    <mergeCell ref="AL115:AL117"/>
    <mergeCell ref="P132:P133"/>
    <mergeCell ref="Q132:Q133"/>
    <mergeCell ref="AM128:AM131"/>
    <mergeCell ref="Z132:Z133"/>
    <mergeCell ref="M132:M133"/>
    <mergeCell ref="Y132:Y133"/>
    <mergeCell ref="R132:R133"/>
    <mergeCell ref="S132:S133"/>
    <mergeCell ref="T132:T133"/>
    <mergeCell ref="U132:U133"/>
    <mergeCell ref="V132:V133"/>
    <mergeCell ref="E86:E88"/>
    <mergeCell ref="F86:F88"/>
    <mergeCell ref="G120:G122"/>
    <mergeCell ref="H108:H110"/>
    <mergeCell ref="F118:F119"/>
    <mergeCell ref="AN92:AN93"/>
    <mergeCell ref="AB58:AB61"/>
    <mergeCell ref="R62:R65"/>
    <mergeCell ref="O66:O69"/>
    <mergeCell ref="AM74:AM76"/>
    <mergeCell ref="AN94:AN95"/>
    <mergeCell ref="AM92:AM95"/>
    <mergeCell ref="AN77:AN79"/>
    <mergeCell ref="AG70:AG73"/>
    <mergeCell ref="AM62:AM65"/>
    <mergeCell ref="AA62:AA65"/>
    <mergeCell ref="AC74:AC76"/>
    <mergeCell ref="AJ58:AJ61"/>
    <mergeCell ref="AK58:AK61"/>
    <mergeCell ref="AH66:AH69"/>
    <mergeCell ref="AN70:AN73"/>
    <mergeCell ref="AC86:AC88"/>
    <mergeCell ref="AD86:AD88"/>
    <mergeCell ref="AE86:AE88"/>
    <mergeCell ref="AF86:AF88"/>
    <mergeCell ref="AK86:AK88"/>
    <mergeCell ref="AJ86:AJ88"/>
    <mergeCell ref="AF70:AF73"/>
    <mergeCell ref="AE58:AE61"/>
    <mergeCell ref="AC58:AC61"/>
    <mergeCell ref="AN62:AN65"/>
    <mergeCell ref="AM70:AM73"/>
    <mergeCell ref="AM77:AM79"/>
    <mergeCell ref="Q62:Q65"/>
    <mergeCell ref="W62:W65"/>
    <mergeCell ref="Q86:Q88"/>
    <mergeCell ref="O86:O88"/>
    <mergeCell ref="AP74:AP76"/>
    <mergeCell ref="AQ74:AQ76"/>
    <mergeCell ref="AR74:AR76"/>
    <mergeCell ref="AP51:AP54"/>
    <mergeCell ref="AQ51:AQ54"/>
    <mergeCell ref="AR51:AR54"/>
    <mergeCell ref="AP55:AP57"/>
    <mergeCell ref="AQ55:AQ57"/>
    <mergeCell ref="AP58:AP61"/>
    <mergeCell ref="AQ58:AQ61"/>
    <mergeCell ref="AR58:AR61"/>
    <mergeCell ref="AQ9:AQ13"/>
    <mergeCell ref="AQ70:AQ73"/>
    <mergeCell ref="AN103:AN104"/>
    <mergeCell ref="AM96:AM100"/>
    <mergeCell ref="AA86:AA88"/>
    <mergeCell ref="AM101:AM104"/>
    <mergeCell ref="AB86:AB88"/>
    <mergeCell ref="AI89:AI91"/>
    <mergeCell ref="AH86:AH88"/>
    <mergeCell ref="AD89:AD91"/>
    <mergeCell ref="AH89:AH91"/>
    <mergeCell ref="AJ55:AJ57"/>
    <mergeCell ref="AI70:AI73"/>
    <mergeCell ref="AK70:AK73"/>
    <mergeCell ref="AM55:AM57"/>
    <mergeCell ref="AN55:AN57"/>
    <mergeCell ref="AK55:AK57"/>
    <mergeCell ref="AL55:AL57"/>
    <mergeCell ref="AG58:AG61"/>
    <mergeCell ref="AF58:AF61"/>
    <mergeCell ref="AD58:AD61"/>
  </mergeCells>
  <phoneticPr fontId="2" type="noConversion"/>
  <printOptions horizontalCentered="1"/>
  <pageMargins left="0.59055118110236227" right="0.34" top="0.45" bottom="0.62992125984251968" header="0" footer="0.27559055118110237"/>
  <headerFooter alignWithMargins="0">
    <oddFooter>&amp;RPágina &amp;P</oddFooter>
  </headerFooter>
  <colBreaks count="1" manualBreakCount="1">
    <brk id="67" max="50" man="1"/>
  </colBreaks>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zoomScale="125" zoomScaleNormal="125" workbookViewId="0">
      <selection activeCell="D14" sqref="D14"/>
    </sheetView>
  </sheetViews>
  <sheetFormatPr baseColWidth="10" defaultRowHeight="12.75"/>
  <cols>
    <col min="1" max="3" width="11" bestFit="1" customWidth="1"/>
    <col min="4" max="4" width="12" bestFit="1" customWidth="1"/>
    <col min="5" max="5" width="25" bestFit="1" customWidth="1"/>
  </cols>
  <sheetData>
    <row r="1" spans="1:11">
      <c r="A1" t="s">
        <v>429</v>
      </c>
      <c r="G1" t="s">
        <v>436</v>
      </c>
    </row>
    <row r="2" spans="1:11">
      <c r="A2" s="138">
        <v>12</v>
      </c>
      <c r="B2" s="138">
        <v>30</v>
      </c>
      <c r="C2" s="138">
        <v>3000000</v>
      </c>
      <c r="D2" s="138">
        <f>A2*B2*C2</f>
        <v>1080000000</v>
      </c>
      <c r="E2" t="s">
        <v>431</v>
      </c>
      <c r="G2">
        <v>3</v>
      </c>
      <c r="H2" s="138">
        <f>B2*C2*G2</f>
        <v>270000000</v>
      </c>
    </row>
    <row r="3" spans="1:11">
      <c r="A3" s="138">
        <v>1</v>
      </c>
      <c r="B3" s="138">
        <v>30</v>
      </c>
      <c r="C3" s="138">
        <v>5400000</v>
      </c>
      <c r="D3" s="138">
        <f>A3*B3*C3</f>
        <v>162000000</v>
      </c>
      <c r="E3" t="s">
        <v>432</v>
      </c>
      <c r="G3">
        <v>1</v>
      </c>
      <c r="H3" s="138">
        <f>B3*C3*G3</f>
        <v>162000000</v>
      </c>
    </row>
    <row r="4" spans="1:11">
      <c r="A4" s="138">
        <v>4</v>
      </c>
      <c r="B4" s="138">
        <v>30</v>
      </c>
      <c r="C4" s="138">
        <v>1800000</v>
      </c>
      <c r="D4" s="138">
        <f>A4*B4*C4</f>
        <v>216000000</v>
      </c>
      <c r="E4" t="s">
        <v>433</v>
      </c>
      <c r="G4">
        <v>2</v>
      </c>
      <c r="H4" s="138">
        <f>B4*C4*G4</f>
        <v>108000000</v>
      </c>
    </row>
    <row r="5" spans="1:11">
      <c r="A5" s="138">
        <v>2</v>
      </c>
      <c r="B5" s="138">
        <v>30</v>
      </c>
      <c r="C5" s="138">
        <v>1800000</v>
      </c>
      <c r="D5" s="138">
        <f>A5*B5*C5</f>
        <v>108000000</v>
      </c>
      <c r="E5" t="s">
        <v>434</v>
      </c>
      <c r="G5">
        <v>2</v>
      </c>
      <c r="H5" s="138">
        <f>B5*C5*G5</f>
        <v>108000000</v>
      </c>
    </row>
    <row r="6" spans="1:11">
      <c r="A6" s="138">
        <v>1</v>
      </c>
      <c r="B6" s="138">
        <v>30</v>
      </c>
      <c r="C6" s="138">
        <v>3000000</v>
      </c>
      <c r="D6" s="138">
        <f>A6*B6*C6</f>
        <v>90000000</v>
      </c>
      <c r="E6" t="s">
        <v>435</v>
      </c>
    </row>
    <row r="7" spans="1:11">
      <c r="D7" s="138">
        <f>SUM(D2:D6)</f>
        <v>1656000000</v>
      </c>
      <c r="H7" s="138">
        <f>SUM(H2:H6)</f>
        <v>648000000</v>
      </c>
    </row>
    <row r="9" spans="1:11">
      <c r="A9" t="s">
        <v>437</v>
      </c>
      <c r="D9" s="138">
        <v>150000000</v>
      </c>
    </row>
    <row r="11" spans="1:11">
      <c r="A11" t="s">
        <v>430</v>
      </c>
      <c r="D11" s="138">
        <v>900000000</v>
      </c>
      <c r="E11" t="s">
        <v>443</v>
      </c>
    </row>
    <row r="12" spans="1:11">
      <c r="D12" s="138"/>
    </row>
    <row r="13" spans="1:11">
      <c r="A13" t="s">
        <v>438</v>
      </c>
      <c r="D13" s="138"/>
      <c r="E13" s="138"/>
      <c r="F13" s="138"/>
      <c r="G13" s="138"/>
      <c r="H13" s="138"/>
      <c r="I13" s="138"/>
      <c r="J13" s="138"/>
      <c r="K13" s="138"/>
    </row>
    <row r="14" spans="1:11">
      <c r="A14" t="s">
        <v>439</v>
      </c>
      <c r="D14" s="138">
        <v>129600000</v>
      </c>
      <c r="E14" s="138">
        <f>D14/4</f>
        <v>32400000</v>
      </c>
      <c r="F14" s="138">
        <f>E14/1440000</f>
        <v>22.5</v>
      </c>
      <c r="G14" s="138">
        <f>F14*4</f>
        <v>90</v>
      </c>
      <c r="H14" s="138"/>
      <c r="I14" s="138"/>
      <c r="J14" s="138"/>
      <c r="K14" s="138"/>
    </row>
    <row r="15" spans="1:11">
      <c r="E15" s="138"/>
      <c r="F15" s="138"/>
      <c r="G15" s="138"/>
      <c r="H15" s="138"/>
      <c r="I15" s="138"/>
      <c r="J15" s="138"/>
      <c r="K15" s="138"/>
    </row>
    <row r="16" spans="1:11">
      <c r="E16" s="138"/>
      <c r="F16" s="138"/>
      <c r="G16" s="138"/>
      <c r="H16" s="138"/>
      <c r="I16" s="138"/>
      <c r="J16" s="138"/>
      <c r="K16" s="138"/>
    </row>
    <row r="17" spans="1:11">
      <c r="A17" t="s">
        <v>444</v>
      </c>
      <c r="D17" s="138">
        <v>600000000</v>
      </c>
      <c r="E17" s="138"/>
      <c r="F17" s="138"/>
      <c r="G17" s="138"/>
      <c r="H17" s="138"/>
      <c r="I17" s="138"/>
      <c r="J17" s="138"/>
      <c r="K17" s="138"/>
    </row>
    <row r="18" spans="1:11">
      <c r="E18" s="138"/>
      <c r="F18" s="138"/>
      <c r="G18" s="138">
        <v>3</v>
      </c>
      <c r="H18" s="138">
        <v>2</v>
      </c>
      <c r="I18" s="138">
        <v>800000</v>
      </c>
      <c r="J18" s="138">
        <v>320000</v>
      </c>
      <c r="K18" s="138">
        <f>((H18*J18)+I18)*G18</f>
        <v>4320000</v>
      </c>
    </row>
    <row r="19" spans="1:11">
      <c r="E19" s="138"/>
      <c r="F19" s="138"/>
      <c r="G19" s="138"/>
      <c r="H19" s="138"/>
      <c r="I19" s="138"/>
      <c r="J19" s="138">
        <v>30</v>
      </c>
      <c r="K19" s="138">
        <f>J19*K18</f>
        <v>129600000</v>
      </c>
    </row>
    <row r="20" spans="1:11">
      <c r="E20" s="138"/>
      <c r="F20" s="138"/>
      <c r="G20" s="138"/>
      <c r="H20" s="138"/>
      <c r="I20" s="138"/>
      <c r="J20" s="138"/>
      <c r="K20" s="138"/>
    </row>
    <row r="21" spans="1:11">
      <c r="A21" t="s">
        <v>440</v>
      </c>
      <c r="D21" s="138">
        <f>SUM(D7:D20)</f>
        <v>3435600000</v>
      </c>
      <c r="E21" s="138"/>
      <c r="F21" s="138"/>
      <c r="G21" s="138"/>
      <c r="H21" s="138"/>
      <c r="I21" s="138"/>
      <c r="J21" s="138"/>
      <c r="K21" s="138"/>
    </row>
    <row r="22" spans="1:11">
      <c r="E22" s="138"/>
      <c r="F22" s="138"/>
      <c r="G22" s="138"/>
      <c r="H22" s="138"/>
      <c r="I22" s="138"/>
      <c r="J22" s="138"/>
      <c r="K22" s="138"/>
    </row>
    <row r="23" spans="1:11">
      <c r="E23" s="138"/>
      <c r="F23" s="138"/>
      <c r="G23" s="138"/>
      <c r="H23" s="138"/>
      <c r="I23" s="138"/>
      <c r="J23" s="138"/>
      <c r="K23" s="138"/>
    </row>
    <row r="24" spans="1:11">
      <c r="E24" s="138"/>
      <c r="F24" s="138"/>
      <c r="G24" s="138"/>
      <c r="H24" s="138"/>
      <c r="I24" s="138"/>
      <c r="J24" s="138"/>
      <c r="K24" s="138"/>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election activeCell="B12" sqref="B12"/>
    </sheetView>
  </sheetViews>
  <sheetFormatPr baseColWidth="10" defaultRowHeight="12.75"/>
  <cols>
    <col min="2" max="4" width="10.85546875" style="138" customWidth="1"/>
  </cols>
  <sheetData>
    <row r="1" spans="1:4">
      <c r="A1" t="s">
        <v>442</v>
      </c>
      <c r="B1" s="138">
        <v>4000000</v>
      </c>
      <c r="C1" s="138">
        <v>30</v>
      </c>
      <c r="D1" s="138">
        <f>C1*B1</f>
        <v>120000000</v>
      </c>
    </row>
    <row r="2" spans="1:4">
      <c r="B2" s="138">
        <v>2000000</v>
      </c>
      <c r="C2" s="138">
        <v>30</v>
      </c>
      <c r="D2" s="138">
        <f>C2*B2</f>
        <v>60000000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26" sqref="I26"/>
    </sheetView>
  </sheetViews>
  <sheetFormatPr baseColWidth="10" defaultRowHeight="12.7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F263"/>
  <sheetViews>
    <sheetView topLeftCell="B6" zoomScale="125" zoomScaleNormal="125" workbookViewId="0">
      <pane xSplit="3" ySplit="3" topLeftCell="E211" activePane="bottomRight" state="frozen"/>
      <selection activeCell="B6" sqref="B6"/>
      <selection pane="topRight" activeCell="E6" sqref="E6"/>
      <selection pane="bottomLeft" activeCell="B9" sqref="B9"/>
      <selection pane="bottomRight" activeCell="E215" sqref="E215:E217"/>
    </sheetView>
  </sheetViews>
  <sheetFormatPr baseColWidth="10" defaultColWidth="10.85546875" defaultRowHeight="12"/>
  <cols>
    <col min="1" max="1" width="7.42578125" style="9" customWidth="1"/>
    <col min="2" max="2" width="9.42578125" style="9" customWidth="1"/>
    <col min="3" max="3" width="12" style="9" customWidth="1"/>
    <col min="4" max="4" width="15.42578125" style="9" customWidth="1"/>
    <col min="5" max="7" width="11" style="212" bestFit="1" customWidth="1"/>
    <col min="8" max="9" width="6.85546875" style="9" hidden="1" customWidth="1"/>
    <col min="10" max="10" width="6.7109375" style="9" hidden="1" customWidth="1"/>
    <col min="11" max="11" width="8.140625" style="9" hidden="1" customWidth="1"/>
    <col min="12" max="13" width="6.85546875" style="9" hidden="1" customWidth="1"/>
    <col min="14" max="14" width="6.7109375" style="9" hidden="1" customWidth="1"/>
    <col min="15" max="15" width="8.140625" style="9" hidden="1" customWidth="1"/>
    <col min="16" max="17" width="6.85546875" style="9" hidden="1" customWidth="1"/>
    <col min="18" max="18" width="6.7109375" style="9" hidden="1" customWidth="1"/>
    <col min="19" max="19" width="8.140625" style="9" hidden="1" customWidth="1"/>
    <col min="20" max="21" width="6.85546875" style="9" hidden="1" customWidth="1"/>
    <col min="22" max="22" width="6.7109375" style="9" hidden="1" customWidth="1"/>
    <col min="23" max="23" width="8.140625" style="9" hidden="1" customWidth="1"/>
    <col min="24" max="25" width="6.85546875" style="9" hidden="1" customWidth="1"/>
    <col min="26" max="26" width="6.7109375" style="9" hidden="1" customWidth="1"/>
    <col min="27" max="27" width="8.140625" style="9" hidden="1" customWidth="1"/>
    <col min="28" max="29" width="6.85546875" style="9" hidden="1" customWidth="1"/>
    <col min="30" max="30" width="6.7109375" style="9" hidden="1" customWidth="1"/>
    <col min="31" max="31" width="8.140625" style="9" hidden="1" customWidth="1"/>
    <col min="32" max="33" width="6.85546875" style="9" hidden="1" customWidth="1"/>
    <col min="34" max="34" width="6.7109375" style="9" hidden="1" customWidth="1"/>
    <col min="35" max="35" width="8.140625" style="9" hidden="1" customWidth="1"/>
    <col min="36" max="36" width="13" style="36" hidden="1" customWidth="1"/>
    <col min="37" max="37" width="11.28515625" style="143" hidden="1" customWidth="1"/>
    <col min="38" max="38" width="28.42578125" style="245" customWidth="1"/>
    <col min="39" max="39" width="14.140625" style="36" hidden="1" customWidth="1"/>
    <col min="40" max="40" width="15.140625" style="36" hidden="1" customWidth="1"/>
    <col min="41" max="41" width="13.42578125" style="36" customWidth="1"/>
    <col min="42" max="42" width="14.42578125" style="36" bestFit="1" customWidth="1"/>
    <col min="43" max="44" width="13.42578125" style="36" customWidth="1"/>
    <col min="45" max="45" width="16.140625" style="143" customWidth="1"/>
    <col min="46" max="49" width="13.42578125" style="36" customWidth="1"/>
    <col min="50" max="64" width="21.42578125" style="245" customWidth="1"/>
    <col min="65" max="65" width="8.140625" style="143" customWidth="1"/>
    <col min="66" max="66" width="7" style="143" customWidth="1"/>
    <col min="67" max="67" width="8.7109375" style="36" customWidth="1"/>
    <col min="68" max="68" width="9.7109375" style="36" customWidth="1"/>
    <col min="69" max="69" width="9.140625" style="36" customWidth="1"/>
    <col min="70" max="70" width="5" style="36" customWidth="1"/>
    <col min="71" max="71" width="10" style="9" customWidth="1"/>
    <col min="72" max="72" width="10.85546875" style="9" customWidth="1"/>
    <col min="73" max="73" width="16.140625" style="36" bestFit="1" customWidth="1"/>
    <col min="74" max="74" width="16.42578125" style="36" bestFit="1" customWidth="1"/>
    <col min="75" max="78" width="5.85546875" style="21" customWidth="1"/>
    <col min="79" max="85" width="5.85546875" style="9" customWidth="1"/>
    <col min="86" max="86" width="16.85546875" style="36" customWidth="1"/>
    <col min="87" max="87" width="19.42578125" style="36" customWidth="1"/>
    <col min="88" max="88" width="18.42578125" style="36" customWidth="1"/>
    <col min="89" max="89" width="13.140625" style="21" customWidth="1"/>
    <col min="90" max="93" width="13.42578125" style="21" customWidth="1"/>
    <col min="94" max="94" width="16.85546875" style="36" customWidth="1"/>
    <col min="95" max="95" width="16.42578125" style="36" customWidth="1"/>
    <col min="96" max="96" width="18.42578125" style="36" customWidth="1"/>
    <col min="97" max="97" width="13.140625" style="21" customWidth="1"/>
    <col min="98" max="99" width="13.42578125" style="21" customWidth="1"/>
    <col min="100" max="100" width="16.85546875" style="36" customWidth="1"/>
    <col min="101" max="101" width="16.42578125" style="36" customWidth="1"/>
    <col min="102" max="102" width="16.42578125" style="36" bestFit="1" customWidth="1"/>
    <col min="103" max="103" width="17" style="21" hidden="1" customWidth="1"/>
    <col min="104" max="104" width="15" style="21" hidden="1" customWidth="1"/>
    <col min="105" max="105" width="16.85546875" style="36" hidden="1" customWidth="1"/>
    <col min="106" max="106" width="16.42578125" style="36" customWidth="1"/>
    <col min="107" max="107" width="13.140625" style="21" bestFit="1" customWidth="1"/>
    <col min="108" max="108" width="20.85546875" style="1" customWidth="1"/>
    <col min="109" max="109" width="24.42578125" style="1" customWidth="1"/>
    <col min="110" max="110" width="16.28515625" style="1" bestFit="1" customWidth="1"/>
    <col min="111" max="16384" width="10.85546875" style="1"/>
  </cols>
  <sheetData>
    <row r="1" spans="1:109">
      <c r="A1" s="567" t="s">
        <v>6</v>
      </c>
      <c r="B1" s="567"/>
      <c r="C1" s="567"/>
      <c r="D1" s="567"/>
      <c r="E1" s="567"/>
      <c r="F1" s="567"/>
      <c r="G1" s="567"/>
      <c r="H1" s="567"/>
      <c r="I1" s="567"/>
      <c r="J1" s="567"/>
      <c r="K1" s="567"/>
      <c r="L1" s="567"/>
      <c r="M1" s="567"/>
      <c r="N1" s="567"/>
      <c r="O1" s="567"/>
      <c r="P1" s="567"/>
      <c r="Q1" s="567"/>
      <c r="R1" s="567"/>
      <c r="S1" s="567"/>
      <c r="T1" s="567"/>
      <c r="U1" s="567"/>
      <c r="V1" s="567"/>
      <c r="W1" s="567"/>
      <c r="X1" s="567"/>
      <c r="Y1" s="567"/>
      <c r="Z1" s="567"/>
      <c r="AA1" s="567"/>
      <c r="AB1" s="567"/>
      <c r="AC1" s="567"/>
      <c r="AD1" s="567"/>
      <c r="AE1" s="567"/>
      <c r="AF1" s="567"/>
      <c r="AG1" s="567"/>
      <c r="AH1" s="567"/>
      <c r="AI1" s="567"/>
      <c r="AJ1" s="567"/>
      <c r="AK1" s="567"/>
      <c r="AL1" s="567"/>
      <c r="AM1" s="567"/>
      <c r="AN1" s="567"/>
      <c r="AO1" s="567"/>
      <c r="AP1" s="567"/>
      <c r="AQ1" s="567"/>
      <c r="AR1" s="567"/>
      <c r="AS1" s="567"/>
      <c r="AT1" s="567"/>
      <c r="AU1" s="567"/>
      <c r="AV1" s="567"/>
      <c r="AW1" s="567"/>
      <c r="AX1" s="567"/>
      <c r="AY1" s="567"/>
      <c r="AZ1" s="567"/>
      <c r="BA1" s="567"/>
      <c r="BB1" s="567"/>
      <c r="BC1" s="567"/>
      <c r="BD1" s="567"/>
      <c r="BE1" s="567"/>
      <c r="BF1" s="567"/>
      <c r="BG1" s="567"/>
      <c r="BH1" s="567"/>
      <c r="BI1" s="567"/>
      <c r="BJ1" s="567"/>
      <c r="BK1" s="567"/>
      <c r="BL1" s="567"/>
      <c r="BM1" s="567"/>
      <c r="BN1" s="567"/>
      <c r="BO1" s="567"/>
      <c r="BP1" s="567"/>
      <c r="BQ1" s="567"/>
      <c r="BR1" s="567"/>
      <c r="BS1" s="567"/>
      <c r="BT1" s="567"/>
      <c r="BU1" s="567"/>
      <c r="BV1" s="567"/>
      <c r="BW1" s="567"/>
      <c r="BX1" s="567"/>
      <c r="BY1" s="567"/>
      <c r="BZ1" s="567"/>
      <c r="CA1" s="567"/>
      <c r="CB1" s="567"/>
      <c r="CC1" s="567"/>
      <c r="CD1" s="567"/>
      <c r="CE1" s="567"/>
      <c r="CF1" s="567"/>
      <c r="CG1" s="567"/>
      <c r="CH1" s="567"/>
      <c r="CI1" s="567"/>
      <c r="CJ1" s="7"/>
      <c r="CK1" s="1"/>
      <c r="CL1" s="1"/>
      <c r="CM1" s="1"/>
      <c r="CN1" s="1"/>
      <c r="CO1" s="1"/>
      <c r="CP1" s="1"/>
      <c r="CQ1" s="1"/>
      <c r="CR1" s="7"/>
      <c r="CS1" s="1"/>
      <c r="CT1" s="1"/>
      <c r="CU1" s="1"/>
      <c r="CV1" s="1"/>
      <c r="CW1" s="1"/>
      <c r="CX1" s="7"/>
      <c r="CY1" s="1"/>
      <c r="CZ1" s="1"/>
      <c r="DA1" s="1"/>
      <c r="DB1" s="1"/>
      <c r="DC1" s="1"/>
    </row>
    <row r="2" spans="1:109">
      <c r="A2" s="567" t="s">
        <v>21</v>
      </c>
      <c r="B2" s="567"/>
      <c r="C2" s="567"/>
      <c r="D2" s="567"/>
      <c r="E2" s="567"/>
      <c r="F2" s="567"/>
      <c r="G2" s="567"/>
      <c r="H2" s="567"/>
      <c r="I2" s="567"/>
      <c r="J2" s="567"/>
      <c r="K2" s="567"/>
      <c r="L2" s="567"/>
      <c r="M2" s="567"/>
      <c r="N2" s="567"/>
      <c r="O2" s="567"/>
      <c r="P2" s="567"/>
      <c r="Q2" s="567"/>
      <c r="R2" s="567"/>
      <c r="S2" s="567"/>
      <c r="T2" s="567"/>
      <c r="U2" s="567"/>
      <c r="V2" s="567"/>
      <c r="W2" s="567"/>
      <c r="X2" s="567"/>
      <c r="Y2" s="567"/>
      <c r="Z2" s="567"/>
      <c r="AA2" s="567"/>
      <c r="AB2" s="567"/>
      <c r="AC2" s="567"/>
      <c r="AD2" s="567"/>
      <c r="AE2" s="567"/>
      <c r="AF2" s="567"/>
      <c r="AG2" s="567"/>
      <c r="AH2" s="567"/>
      <c r="AI2" s="567"/>
      <c r="AJ2" s="567"/>
      <c r="AK2" s="567"/>
      <c r="AL2" s="567"/>
      <c r="AM2" s="567"/>
      <c r="AN2" s="567"/>
      <c r="AO2" s="567"/>
      <c r="AP2" s="567"/>
      <c r="AQ2" s="567"/>
      <c r="AR2" s="567"/>
      <c r="AS2" s="567"/>
      <c r="AT2" s="567"/>
      <c r="AU2" s="567"/>
      <c r="AV2" s="567"/>
      <c r="AW2" s="567"/>
      <c r="AX2" s="567"/>
      <c r="AY2" s="567"/>
      <c r="AZ2" s="567"/>
      <c r="BA2" s="567"/>
      <c r="BB2" s="567"/>
      <c r="BC2" s="567"/>
      <c r="BD2" s="567"/>
      <c r="BE2" s="567"/>
      <c r="BF2" s="567"/>
      <c r="BG2" s="567"/>
      <c r="BH2" s="567"/>
      <c r="BI2" s="567"/>
      <c r="BJ2" s="567"/>
      <c r="BK2" s="567"/>
      <c r="BL2" s="567"/>
      <c r="BM2" s="567"/>
      <c r="BN2" s="567"/>
      <c r="BO2" s="567"/>
      <c r="BP2" s="567"/>
      <c r="BQ2" s="567"/>
      <c r="BR2" s="567"/>
      <c r="BS2" s="567"/>
      <c r="BT2" s="567"/>
      <c r="BU2" s="567"/>
      <c r="BV2" s="567"/>
      <c r="BW2" s="567"/>
      <c r="BX2" s="567"/>
      <c r="BY2" s="567"/>
      <c r="BZ2" s="567"/>
      <c r="CA2" s="567"/>
      <c r="CB2" s="567"/>
      <c r="CC2" s="567"/>
      <c r="CD2" s="567"/>
      <c r="CE2" s="567"/>
      <c r="CF2" s="567"/>
      <c r="CG2" s="567"/>
      <c r="CH2" s="567"/>
      <c r="CI2" s="567"/>
      <c r="CJ2" s="7"/>
      <c r="CK2" s="1"/>
      <c r="CL2" s="1"/>
      <c r="CM2" s="1"/>
      <c r="CN2" s="1"/>
      <c r="CO2" s="1"/>
      <c r="CP2" s="1"/>
      <c r="CQ2" s="1"/>
      <c r="CR2" s="7"/>
      <c r="CS2" s="1"/>
      <c r="CT2" s="1"/>
      <c r="CU2" s="1"/>
      <c r="CV2" s="1"/>
      <c r="CW2" s="1"/>
      <c r="CX2" s="7"/>
      <c r="CY2" s="1"/>
      <c r="CZ2" s="1"/>
      <c r="DA2" s="1"/>
      <c r="DB2" s="1"/>
      <c r="DC2" s="1"/>
    </row>
    <row r="3" spans="1:109">
      <c r="A3" s="567" t="s">
        <v>22</v>
      </c>
      <c r="B3" s="567"/>
      <c r="C3" s="567"/>
      <c r="D3" s="567"/>
      <c r="E3" s="567"/>
      <c r="F3" s="567"/>
      <c r="G3" s="567"/>
      <c r="H3" s="567"/>
      <c r="I3" s="567"/>
      <c r="J3" s="567"/>
      <c r="K3" s="567"/>
      <c r="L3" s="567"/>
      <c r="M3" s="567"/>
      <c r="N3" s="567"/>
      <c r="O3" s="567"/>
      <c r="P3" s="567"/>
      <c r="Q3" s="567"/>
      <c r="R3" s="567"/>
      <c r="S3" s="567"/>
      <c r="T3" s="567"/>
      <c r="U3" s="567"/>
      <c r="V3" s="567"/>
      <c r="W3" s="567"/>
      <c r="X3" s="567"/>
      <c r="Y3" s="567"/>
      <c r="Z3" s="567"/>
      <c r="AA3" s="567"/>
      <c r="AB3" s="567"/>
      <c r="AC3" s="567"/>
      <c r="AD3" s="567"/>
      <c r="AE3" s="567"/>
      <c r="AF3" s="567"/>
      <c r="AG3" s="567"/>
      <c r="AH3" s="567"/>
      <c r="AI3" s="567"/>
      <c r="AJ3" s="567"/>
      <c r="AK3" s="567"/>
      <c r="AL3" s="567"/>
      <c r="AM3" s="567"/>
      <c r="AN3" s="567"/>
      <c r="AO3" s="567"/>
      <c r="AP3" s="567"/>
      <c r="AQ3" s="567"/>
      <c r="AR3" s="567"/>
      <c r="AS3" s="567"/>
      <c r="AT3" s="567"/>
      <c r="AU3" s="567"/>
      <c r="AV3" s="567"/>
      <c r="AW3" s="567"/>
      <c r="AX3" s="567"/>
      <c r="AY3" s="567"/>
      <c r="AZ3" s="567"/>
      <c r="BA3" s="567"/>
      <c r="BB3" s="567"/>
      <c r="BC3" s="567"/>
      <c r="BD3" s="567"/>
      <c r="BE3" s="567"/>
      <c r="BF3" s="567"/>
      <c r="BG3" s="567"/>
      <c r="BH3" s="567"/>
      <c r="BI3" s="567"/>
      <c r="BJ3" s="567"/>
      <c r="BK3" s="567"/>
      <c r="BL3" s="567"/>
      <c r="BM3" s="567"/>
      <c r="BN3" s="567"/>
      <c r="BO3" s="567"/>
      <c r="BP3" s="567"/>
      <c r="BQ3" s="567"/>
      <c r="BR3" s="567"/>
      <c r="BS3" s="567"/>
      <c r="BT3" s="567"/>
      <c r="BU3" s="567"/>
      <c r="BV3" s="567"/>
      <c r="BW3" s="567"/>
      <c r="BX3" s="567"/>
      <c r="BY3" s="567"/>
      <c r="BZ3" s="567"/>
      <c r="CA3" s="567"/>
      <c r="CB3" s="567"/>
      <c r="CC3" s="567"/>
      <c r="CD3" s="567"/>
      <c r="CE3" s="567"/>
      <c r="CF3" s="567"/>
      <c r="CG3" s="567"/>
      <c r="CH3" s="567"/>
      <c r="CI3" s="567"/>
      <c r="CJ3" s="7"/>
      <c r="CK3" s="1"/>
      <c r="CL3" s="1"/>
      <c r="CM3" s="1"/>
      <c r="CN3" s="1"/>
      <c r="CO3" s="1"/>
      <c r="CP3" s="1"/>
      <c r="CQ3" s="1"/>
      <c r="CR3" s="7"/>
      <c r="CS3" s="1"/>
      <c r="CT3" s="1"/>
      <c r="CU3" s="1"/>
      <c r="CV3" s="1"/>
      <c r="CW3" s="1"/>
      <c r="CX3" s="7"/>
      <c r="CY3" s="1"/>
      <c r="CZ3" s="1"/>
      <c r="DA3" s="1"/>
      <c r="DB3" s="1"/>
      <c r="DC3" s="1"/>
    </row>
    <row r="4" spans="1:109">
      <c r="A4" s="244" t="s">
        <v>77</v>
      </c>
      <c r="D4" s="245"/>
      <c r="AK4" s="36"/>
    </row>
    <row r="5" spans="1:109">
      <c r="A5" s="244" t="s">
        <v>78</v>
      </c>
    </row>
    <row r="6" spans="1:109" s="7" customFormat="1" ht="12" customHeight="1">
      <c r="A6" s="657" t="s">
        <v>0</v>
      </c>
      <c r="B6" s="659"/>
      <c r="C6" s="568" t="s">
        <v>8</v>
      </c>
      <c r="D6" s="657" t="s">
        <v>1</v>
      </c>
      <c r="E6" s="658"/>
      <c r="F6" s="658"/>
      <c r="G6" s="659"/>
      <c r="H6" s="496" t="s">
        <v>495</v>
      </c>
      <c r="I6" s="497"/>
      <c r="J6" s="497"/>
      <c r="K6" s="498"/>
      <c r="L6" s="496" t="s">
        <v>496</v>
      </c>
      <c r="M6" s="497"/>
      <c r="N6" s="497"/>
      <c r="O6" s="498"/>
      <c r="P6" s="496" t="s">
        <v>497</v>
      </c>
      <c r="Q6" s="497"/>
      <c r="R6" s="497"/>
      <c r="S6" s="498"/>
      <c r="T6" s="496" t="s">
        <v>498</v>
      </c>
      <c r="U6" s="497"/>
      <c r="V6" s="497"/>
      <c r="W6" s="498"/>
      <c r="X6" s="496" t="s">
        <v>499</v>
      </c>
      <c r="Y6" s="497"/>
      <c r="Z6" s="497"/>
      <c r="AA6" s="498"/>
      <c r="AB6" s="496" t="s">
        <v>500</v>
      </c>
      <c r="AC6" s="497"/>
      <c r="AD6" s="497"/>
      <c r="AE6" s="498"/>
      <c r="AF6" s="496" t="s">
        <v>501</v>
      </c>
      <c r="AG6" s="497"/>
      <c r="AH6" s="497"/>
      <c r="AI6" s="498"/>
      <c r="AJ6" s="494" t="s">
        <v>20</v>
      </c>
      <c r="AK6" s="494" t="s">
        <v>5</v>
      </c>
      <c r="AL6" s="494" t="s">
        <v>508</v>
      </c>
      <c r="AM6" s="657" t="s">
        <v>533</v>
      </c>
      <c r="AN6" s="658"/>
      <c r="AO6" s="658"/>
      <c r="AP6" s="658"/>
      <c r="AQ6" s="659"/>
      <c r="AR6" s="295"/>
      <c r="AS6" s="295"/>
      <c r="AT6" s="295"/>
      <c r="AU6" s="657" t="s">
        <v>496</v>
      </c>
      <c r="AV6" s="658"/>
      <c r="AW6" s="659"/>
      <c r="AX6" s="568" t="s">
        <v>638</v>
      </c>
      <c r="AY6" s="568" t="s">
        <v>638</v>
      </c>
      <c r="AZ6" s="568" t="s">
        <v>638</v>
      </c>
      <c r="BA6" s="568" t="s">
        <v>638</v>
      </c>
      <c r="BB6" s="568" t="s">
        <v>638</v>
      </c>
      <c r="BC6" s="568" t="s">
        <v>638</v>
      </c>
      <c r="BD6" s="568" t="s">
        <v>638</v>
      </c>
      <c r="BE6" s="568" t="s">
        <v>638</v>
      </c>
      <c r="BF6" s="568" t="s">
        <v>638</v>
      </c>
      <c r="BG6" s="568" t="s">
        <v>638</v>
      </c>
      <c r="BH6" s="568" t="s">
        <v>638</v>
      </c>
      <c r="BI6" s="568" t="s">
        <v>638</v>
      </c>
      <c r="BJ6" s="568" t="s">
        <v>638</v>
      </c>
      <c r="BK6" s="568" t="s">
        <v>638</v>
      </c>
      <c r="BL6" s="568" t="s">
        <v>638</v>
      </c>
      <c r="BM6" s="494" t="s">
        <v>23</v>
      </c>
      <c r="BN6" s="494"/>
      <c r="BO6" s="494"/>
      <c r="BP6" s="494"/>
      <c r="BQ6" s="494"/>
      <c r="BR6" s="494"/>
      <c r="BS6" s="493" t="s">
        <v>9</v>
      </c>
      <c r="BT6" s="493"/>
      <c r="BU6" s="493" t="s">
        <v>153</v>
      </c>
      <c r="BV6" s="493"/>
      <c r="BW6" s="493"/>
      <c r="BX6" s="493"/>
      <c r="BY6" s="493"/>
      <c r="BZ6" s="493"/>
      <c r="CA6" s="493"/>
      <c r="CB6" s="493"/>
      <c r="CC6" s="493"/>
      <c r="CD6" s="493"/>
      <c r="CE6" s="493"/>
      <c r="CF6" s="493"/>
      <c r="CG6" s="493"/>
      <c r="CH6" s="428" t="s">
        <v>141</v>
      </c>
      <c r="CI6" s="20"/>
      <c r="CJ6" s="427" t="s">
        <v>153</v>
      </c>
      <c r="CK6" s="427"/>
      <c r="CL6" s="427"/>
      <c r="CM6" s="427"/>
      <c r="CN6" s="427"/>
      <c r="CO6" s="427"/>
      <c r="CP6" s="428" t="s">
        <v>144</v>
      </c>
      <c r="CQ6" s="20"/>
      <c r="CR6" s="51"/>
      <c r="CS6" s="51"/>
      <c r="CT6" s="51"/>
      <c r="CU6" s="51"/>
      <c r="CV6" s="428" t="s">
        <v>147</v>
      </c>
      <c r="CW6" s="20"/>
      <c r="CX6" s="51"/>
      <c r="CY6" s="51"/>
      <c r="CZ6" s="51"/>
      <c r="DA6" s="428" t="s">
        <v>150</v>
      </c>
      <c r="DB6" s="20"/>
      <c r="DC6" s="51"/>
      <c r="DD6" s="51"/>
    </row>
    <row r="7" spans="1:109" s="7" customFormat="1" ht="12" customHeight="1">
      <c r="A7" s="660"/>
      <c r="B7" s="662"/>
      <c r="C7" s="663"/>
      <c r="D7" s="660"/>
      <c r="E7" s="661"/>
      <c r="F7" s="661"/>
      <c r="G7" s="662"/>
      <c r="H7" s="499"/>
      <c r="I7" s="500"/>
      <c r="J7" s="500"/>
      <c r="K7" s="501"/>
      <c r="L7" s="499"/>
      <c r="M7" s="500"/>
      <c r="N7" s="500"/>
      <c r="O7" s="501"/>
      <c r="P7" s="499"/>
      <c r="Q7" s="500"/>
      <c r="R7" s="500"/>
      <c r="S7" s="501"/>
      <c r="T7" s="499"/>
      <c r="U7" s="500"/>
      <c r="V7" s="500"/>
      <c r="W7" s="501"/>
      <c r="X7" s="499"/>
      <c r="Y7" s="500"/>
      <c r="Z7" s="500"/>
      <c r="AA7" s="501"/>
      <c r="AB7" s="499"/>
      <c r="AC7" s="500"/>
      <c r="AD7" s="500"/>
      <c r="AE7" s="501"/>
      <c r="AF7" s="499"/>
      <c r="AG7" s="500"/>
      <c r="AH7" s="500"/>
      <c r="AI7" s="501"/>
      <c r="AJ7" s="494"/>
      <c r="AK7" s="494"/>
      <c r="AL7" s="494"/>
      <c r="AM7" s="660"/>
      <c r="AN7" s="661"/>
      <c r="AO7" s="661"/>
      <c r="AP7" s="661"/>
      <c r="AQ7" s="662"/>
      <c r="AR7" s="296"/>
      <c r="AS7" s="296"/>
      <c r="AT7" s="296"/>
      <c r="AU7" s="660"/>
      <c r="AV7" s="661"/>
      <c r="AW7" s="662"/>
      <c r="AX7" s="569"/>
      <c r="AY7" s="569"/>
      <c r="AZ7" s="569"/>
      <c r="BA7" s="569"/>
      <c r="BB7" s="569"/>
      <c r="BC7" s="569"/>
      <c r="BD7" s="569"/>
      <c r="BE7" s="569"/>
      <c r="BF7" s="569"/>
      <c r="BG7" s="569"/>
      <c r="BH7" s="569"/>
      <c r="BI7" s="569"/>
      <c r="BJ7" s="569"/>
      <c r="BK7" s="569"/>
      <c r="BL7" s="569"/>
      <c r="BM7" s="494">
        <v>2013</v>
      </c>
      <c r="BN7" s="494"/>
      <c r="BO7" s="494">
        <v>2014</v>
      </c>
      <c r="BP7" s="494"/>
      <c r="BQ7" s="494">
        <v>2015</v>
      </c>
      <c r="BR7" s="494"/>
      <c r="BS7" s="493"/>
      <c r="BT7" s="493"/>
      <c r="BU7" s="493"/>
      <c r="BV7" s="493"/>
      <c r="BW7" s="493"/>
      <c r="BX7" s="493"/>
      <c r="BY7" s="493"/>
      <c r="BZ7" s="493"/>
      <c r="CA7" s="493"/>
      <c r="CB7" s="493"/>
      <c r="CC7" s="493"/>
      <c r="CD7" s="493"/>
      <c r="CE7" s="493"/>
      <c r="CF7" s="493"/>
      <c r="CG7" s="493"/>
      <c r="CH7" s="428"/>
      <c r="CI7" s="428" t="s">
        <v>142</v>
      </c>
      <c r="CJ7" s="427"/>
      <c r="CK7" s="427"/>
      <c r="CL7" s="427"/>
      <c r="CM7" s="427"/>
      <c r="CN7" s="427"/>
      <c r="CO7" s="427"/>
      <c r="CP7" s="428"/>
      <c r="CQ7" s="428" t="s">
        <v>145</v>
      </c>
      <c r="CR7" s="427" t="s">
        <v>153</v>
      </c>
      <c r="CS7" s="427"/>
      <c r="CT7" s="427"/>
      <c r="CU7" s="427"/>
      <c r="CV7" s="428"/>
      <c r="CW7" s="428" t="s">
        <v>148</v>
      </c>
      <c r="CX7" s="427" t="s">
        <v>153</v>
      </c>
      <c r="CY7" s="427"/>
      <c r="CZ7" s="427"/>
      <c r="DA7" s="428"/>
      <c r="DB7" s="428" t="s">
        <v>151</v>
      </c>
      <c r="DC7" s="425" t="s">
        <v>215</v>
      </c>
      <c r="DD7" s="428" t="s">
        <v>152</v>
      </c>
      <c r="DE7" s="63"/>
    </row>
    <row r="8" spans="1:109" s="7" customFormat="1" ht="24.75" customHeight="1">
      <c r="A8" s="52" t="s">
        <v>2</v>
      </c>
      <c r="B8" s="52" t="s">
        <v>3</v>
      </c>
      <c r="C8" s="569"/>
      <c r="D8" s="52" t="s">
        <v>4</v>
      </c>
      <c r="E8" s="52">
        <v>2013</v>
      </c>
      <c r="F8" s="52">
        <v>2014</v>
      </c>
      <c r="G8" s="52">
        <v>2015</v>
      </c>
      <c r="H8" s="91">
        <v>2013</v>
      </c>
      <c r="I8" s="91">
        <v>2014</v>
      </c>
      <c r="J8" s="91">
        <v>2015</v>
      </c>
      <c r="K8" s="91" t="s">
        <v>9</v>
      </c>
      <c r="L8" s="91">
        <v>2013</v>
      </c>
      <c r="M8" s="91">
        <v>2014</v>
      </c>
      <c r="N8" s="91">
        <v>2015</v>
      </c>
      <c r="O8" s="91" t="s">
        <v>9</v>
      </c>
      <c r="P8" s="91">
        <v>2013</v>
      </c>
      <c r="Q8" s="91">
        <v>2014</v>
      </c>
      <c r="R8" s="91">
        <v>2015</v>
      </c>
      <c r="S8" s="91" t="s">
        <v>9</v>
      </c>
      <c r="T8" s="91">
        <v>2013</v>
      </c>
      <c r="U8" s="91">
        <v>2014</v>
      </c>
      <c r="V8" s="91">
        <v>2015</v>
      </c>
      <c r="W8" s="91" t="s">
        <v>9</v>
      </c>
      <c r="X8" s="91">
        <v>2013</v>
      </c>
      <c r="Y8" s="91">
        <v>2014</v>
      </c>
      <c r="Z8" s="91">
        <v>2015</v>
      </c>
      <c r="AA8" s="91" t="s">
        <v>9</v>
      </c>
      <c r="AB8" s="91">
        <v>2013</v>
      </c>
      <c r="AC8" s="91">
        <v>2014</v>
      </c>
      <c r="AD8" s="91">
        <v>2015</v>
      </c>
      <c r="AE8" s="91" t="s">
        <v>9</v>
      </c>
      <c r="AF8" s="91">
        <v>2013</v>
      </c>
      <c r="AG8" s="91">
        <v>2014</v>
      </c>
      <c r="AH8" s="91">
        <v>2015</v>
      </c>
      <c r="AI8" s="91" t="s">
        <v>9</v>
      </c>
      <c r="AJ8" s="494"/>
      <c r="AK8" s="494"/>
      <c r="AL8" s="494"/>
      <c r="AM8" s="52" t="s">
        <v>509</v>
      </c>
      <c r="AN8" s="52" t="s">
        <v>510</v>
      </c>
      <c r="AO8" s="214" t="s">
        <v>534</v>
      </c>
      <c r="AP8" s="214" t="s">
        <v>661</v>
      </c>
      <c r="AQ8" s="214" t="s">
        <v>652</v>
      </c>
      <c r="AR8" s="214" t="s">
        <v>534</v>
      </c>
      <c r="AS8" s="214" t="s">
        <v>662</v>
      </c>
      <c r="AT8" s="214" t="s">
        <v>652</v>
      </c>
      <c r="AU8" s="214" t="s">
        <v>534</v>
      </c>
      <c r="AV8" s="214" t="s">
        <v>655</v>
      </c>
      <c r="AW8" s="214" t="s">
        <v>652</v>
      </c>
      <c r="AX8" s="52">
        <v>41547</v>
      </c>
      <c r="AY8" s="52">
        <v>41548</v>
      </c>
      <c r="AZ8" s="52">
        <v>41555</v>
      </c>
      <c r="BA8" s="52">
        <v>41562</v>
      </c>
      <c r="BB8" s="52">
        <v>41569</v>
      </c>
      <c r="BC8" s="52">
        <v>41576</v>
      </c>
      <c r="BD8" s="52">
        <v>41583</v>
      </c>
      <c r="BE8" s="52">
        <v>41590</v>
      </c>
      <c r="BF8" s="52">
        <v>41597</v>
      </c>
      <c r="BG8" s="52">
        <v>41604</v>
      </c>
      <c r="BH8" s="52">
        <v>41611</v>
      </c>
      <c r="BI8" s="52">
        <v>41618</v>
      </c>
      <c r="BJ8" s="52">
        <v>41625</v>
      </c>
      <c r="BK8" s="52">
        <v>41632</v>
      </c>
      <c r="BL8" s="52">
        <v>41639</v>
      </c>
      <c r="BM8" s="52" t="s">
        <v>181</v>
      </c>
      <c r="BN8" s="91" t="s">
        <v>182</v>
      </c>
      <c r="BO8" s="52" t="s">
        <v>181</v>
      </c>
      <c r="BP8" s="91" t="s">
        <v>182</v>
      </c>
      <c r="BQ8" s="52" t="s">
        <v>181</v>
      </c>
      <c r="BR8" s="91" t="s">
        <v>182</v>
      </c>
      <c r="BS8" s="52" t="s">
        <v>181</v>
      </c>
      <c r="BT8" s="91" t="s">
        <v>182</v>
      </c>
      <c r="BU8" s="233" t="s">
        <v>133</v>
      </c>
      <c r="BV8" s="233" t="s">
        <v>121</v>
      </c>
      <c r="BW8" s="233" t="s">
        <v>122</v>
      </c>
      <c r="BX8" s="233" t="s">
        <v>123</v>
      </c>
      <c r="BY8" s="233" t="s">
        <v>124</v>
      </c>
      <c r="BZ8" s="233" t="s">
        <v>125</v>
      </c>
      <c r="CA8" s="233" t="s">
        <v>126</v>
      </c>
      <c r="CB8" s="233" t="s">
        <v>127</v>
      </c>
      <c r="CC8" s="233" t="s">
        <v>128</v>
      </c>
      <c r="CD8" s="233" t="s">
        <v>129</v>
      </c>
      <c r="CE8" s="233" t="s">
        <v>130</v>
      </c>
      <c r="CF8" s="233" t="s">
        <v>131</v>
      </c>
      <c r="CG8" s="233" t="s">
        <v>132</v>
      </c>
      <c r="CH8" s="428"/>
      <c r="CI8" s="428"/>
      <c r="CJ8" s="181" t="s">
        <v>143</v>
      </c>
      <c r="CK8" s="181" t="s">
        <v>122</v>
      </c>
      <c r="CL8" s="181" t="s">
        <v>123</v>
      </c>
      <c r="CM8" s="181" t="s">
        <v>124</v>
      </c>
      <c r="CN8" s="181" t="s">
        <v>125</v>
      </c>
      <c r="CO8" s="181" t="s">
        <v>126</v>
      </c>
      <c r="CP8" s="428"/>
      <c r="CQ8" s="428"/>
      <c r="CR8" s="181" t="s">
        <v>146</v>
      </c>
      <c r="CS8" s="181" t="s">
        <v>122</v>
      </c>
      <c r="CT8" s="181" t="s">
        <v>123</v>
      </c>
      <c r="CU8" s="181" t="s">
        <v>124</v>
      </c>
      <c r="CV8" s="428"/>
      <c r="CW8" s="428"/>
      <c r="CX8" s="181" t="s">
        <v>149</v>
      </c>
      <c r="CY8" s="181" t="s">
        <v>216</v>
      </c>
      <c r="CZ8" s="181" t="s">
        <v>217</v>
      </c>
      <c r="DA8" s="428"/>
      <c r="DB8" s="428"/>
      <c r="DC8" s="426"/>
      <c r="DD8" s="428"/>
      <c r="DE8" s="64" t="s">
        <v>155</v>
      </c>
    </row>
    <row r="9" spans="1:109" s="4" customFormat="1" ht="12.75" customHeight="1">
      <c r="A9" s="581" t="s">
        <v>25</v>
      </c>
      <c r="B9" s="592" t="s">
        <v>427</v>
      </c>
      <c r="C9" s="588" t="s">
        <v>26</v>
      </c>
      <c r="D9" s="573" t="s">
        <v>79</v>
      </c>
      <c r="E9" s="631">
        <v>2</v>
      </c>
      <c r="F9" s="631">
        <v>4</v>
      </c>
      <c r="G9" s="631">
        <v>3</v>
      </c>
      <c r="H9" s="511">
        <v>1</v>
      </c>
      <c r="I9" s="511">
        <v>2</v>
      </c>
      <c r="J9" s="511">
        <v>1</v>
      </c>
      <c r="K9" s="511"/>
      <c r="L9" s="511">
        <v>1</v>
      </c>
      <c r="M9" s="511">
        <v>1</v>
      </c>
      <c r="N9" s="511">
        <v>1</v>
      </c>
      <c r="O9" s="511">
        <f>SUM(L9:N12)</f>
        <v>3</v>
      </c>
      <c r="P9" s="511"/>
      <c r="Q9" s="511"/>
      <c r="R9" s="511"/>
      <c r="S9" s="511"/>
      <c r="T9" s="511"/>
      <c r="U9" s="511"/>
      <c r="V9" s="511"/>
      <c r="W9" s="511"/>
      <c r="X9" s="511"/>
      <c r="Y9" s="511"/>
      <c r="Z9" s="511"/>
      <c r="AA9" s="511"/>
      <c r="AB9" s="511"/>
      <c r="AC9" s="511"/>
      <c r="AD9" s="511"/>
      <c r="AE9" s="511"/>
      <c r="AF9" s="511"/>
      <c r="AG9" s="511"/>
      <c r="AH9" s="511"/>
      <c r="AI9" s="511"/>
      <c r="AJ9" s="418" t="s">
        <v>507</v>
      </c>
      <c r="AK9" s="418" t="s">
        <v>107</v>
      </c>
      <c r="AL9" s="246" t="s">
        <v>80</v>
      </c>
      <c r="AM9" s="80">
        <v>41443</v>
      </c>
      <c r="AN9" s="80">
        <v>41628</v>
      </c>
      <c r="AO9" s="319">
        <v>459352000</v>
      </c>
      <c r="AP9" s="418">
        <v>0</v>
      </c>
      <c r="AQ9" s="418">
        <f>AO9-AP9</f>
        <v>459352000</v>
      </c>
      <c r="AR9" s="319">
        <v>459352000</v>
      </c>
      <c r="AS9" s="418">
        <v>0</v>
      </c>
      <c r="AT9" s="418">
        <f>AR9-AS9</f>
        <v>459352000</v>
      </c>
      <c r="AU9" s="319">
        <v>459352000</v>
      </c>
      <c r="AV9" s="418">
        <v>0</v>
      </c>
      <c r="AW9" s="418">
        <f>AU9-AV9</f>
        <v>459352000</v>
      </c>
      <c r="AX9" s="570"/>
      <c r="AY9" s="570"/>
      <c r="AZ9" s="570"/>
      <c r="BA9" s="570"/>
      <c r="BB9" s="570"/>
      <c r="BC9" s="570"/>
      <c r="BD9" s="570"/>
      <c r="BE9" s="570"/>
      <c r="BF9" s="570"/>
      <c r="BG9" s="570"/>
      <c r="BH9" s="570"/>
      <c r="BI9" s="570"/>
      <c r="BJ9" s="570"/>
      <c r="BK9" s="570"/>
      <c r="BL9" s="570"/>
      <c r="BM9" s="453">
        <v>459352000</v>
      </c>
      <c r="BN9" s="454"/>
      <c r="BO9" s="447">
        <v>840052000</v>
      </c>
      <c r="BP9" s="448"/>
      <c r="BQ9" s="447">
        <v>685856060</v>
      </c>
      <c r="BR9" s="448"/>
      <c r="BS9" s="533">
        <f>SUM(BM9:BR12)</f>
        <v>1985260060</v>
      </c>
      <c r="BT9" s="534"/>
      <c r="BU9" s="341">
        <v>2000000000</v>
      </c>
      <c r="BV9" s="341">
        <v>295515000</v>
      </c>
      <c r="BW9" s="341"/>
      <c r="BX9" s="341"/>
      <c r="BY9" s="341"/>
      <c r="BZ9" s="341"/>
      <c r="CA9" s="341"/>
      <c r="CB9" s="310"/>
      <c r="CC9" s="310"/>
      <c r="CD9" s="310"/>
      <c r="CE9" s="310"/>
      <c r="CF9" s="310"/>
      <c r="CG9" s="310"/>
      <c r="CH9" s="310">
        <f>SUM(BW9:CG12)</f>
        <v>0</v>
      </c>
      <c r="CI9" s="310">
        <f>CH9+BV9</f>
        <v>295515000</v>
      </c>
      <c r="CJ9" s="401">
        <v>600000000</v>
      </c>
      <c r="CK9" s="341"/>
      <c r="CL9" s="341"/>
      <c r="CM9" s="341"/>
      <c r="CN9" s="341"/>
      <c r="CO9" s="341"/>
      <c r="CP9" s="310">
        <f>SUM(CK9:CO12)</f>
        <v>0</v>
      </c>
      <c r="CQ9" s="310">
        <f>CP9+CJ9</f>
        <v>600000000</v>
      </c>
      <c r="CR9" s="341">
        <v>30000000</v>
      </c>
      <c r="CS9" s="341"/>
      <c r="CT9" s="341"/>
      <c r="CU9" s="341"/>
      <c r="CV9" s="310">
        <f>SUM(CS9:CU12)</f>
        <v>0</v>
      </c>
      <c r="CW9" s="310">
        <f>CV9+CR9</f>
        <v>30000000</v>
      </c>
      <c r="CX9" s="341"/>
      <c r="CY9" s="341"/>
      <c r="CZ9" s="341"/>
      <c r="DA9" s="310">
        <f>SUM(CY9:CZ12)</f>
        <v>0</v>
      </c>
      <c r="DB9" s="310">
        <f>DA9+CX9</f>
        <v>0</v>
      </c>
      <c r="DC9" s="341"/>
      <c r="DD9" s="310">
        <f>DB9+CW9+CQ9+CI9+DC9</f>
        <v>925515000</v>
      </c>
      <c r="DE9" s="310"/>
    </row>
    <row r="10" spans="1:109" s="4" customFormat="1" ht="36">
      <c r="A10" s="582"/>
      <c r="B10" s="593"/>
      <c r="C10" s="589"/>
      <c r="D10" s="584"/>
      <c r="E10" s="632"/>
      <c r="F10" s="632"/>
      <c r="G10" s="632"/>
      <c r="H10" s="511"/>
      <c r="I10" s="511"/>
      <c r="J10" s="511"/>
      <c r="K10" s="511"/>
      <c r="L10" s="511"/>
      <c r="M10" s="511"/>
      <c r="N10" s="511"/>
      <c r="O10" s="511"/>
      <c r="P10" s="511"/>
      <c r="Q10" s="511"/>
      <c r="R10" s="511"/>
      <c r="S10" s="511"/>
      <c r="T10" s="511"/>
      <c r="U10" s="511"/>
      <c r="V10" s="511"/>
      <c r="W10" s="511"/>
      <c r="X10" s="511"/>
      <c r="Y10" s="511"/>
      <c r="Z10" s="511"/>
      <c r="AA10" s="511"/>
      <c r="AB10" s="511"/>
      <c r="AC10" s="511"/>
      <c r="AD10" s="511"/>
      <c r="AE10" s="511"/>
      <c r="AF10" s="511"/>
      <c r="AG10" s="511"/>
      <c r="AH10" s="511"/>
      <c r="AI10" s="511"/>
      <c r="AJ10" s="419"/>
      <c r="AK10" s="419"/>
      <c r="AL10" s="246" t="s">
        <v>83</v>
      </c>
      <c r="AM10" s="80">
        <v>41453</v>
      </c>
      <c r="AN10" s="80">
        <v>41628</v>
      </c>
      <c r="AO10" s="319"/>
      <c r="AP10" s="419"/>
      <c r="AQ10" s="419"/>
      <c r="AR10" s="319"/>
      <c r="AS10" s="419"/>
      <c r="AT10" s="419"/>
      <c r="AU10" s="319"/>
      <c r="AV10" s="419"/>
      <c r="AW10" s="419"/>
      <c r="AX10" s="571"/>
      <c r="AY10" s="571"/>
      <c r="AZ10" s="571"/>
      <c r="BA10" s="571"/>
      <c r="BB10" s="571"/>
      <c r="BC10" s="571"/>
      <c r="BD10" s="571"/>
      <c r="BE10" s="571"/>
      <c r="BF10" s="571"/>
      <c r="BG10" s="571"/>
      <c r="BH10" s="571"/>
      <c r="BI10" s="571"/>
      <c r="BJ10" s="571"/>
      <c r="BK10" s="571"/>
      <c r="BL10" s="571"/>
      <c r="BM10" s="455"/>
      <c r="BN10" s="456"/>
      <c r="BO10" s="449"/>
      <c r="BP10" s="450"/>
      <c r="BQ10" s="449"/>
      <c r="BR10" s="450"/>
      <c r="BS10" s="535"/>
      <c r="BT10" s="536"/>
      <c r="BU10" s="341"/>
      <c r="BV10" s="341"/>
      <c r="BW10" s="341"/>
      <c r="BX10" s="341"/>
      <c r="BY10" s="341"/>
      <c r="BZ10" s="341"/>
      <c r="CA10" s="341"/>
      <c r="CB10" s="310"/>
      <c r="CC10" s="310"/>
      <c r="CD10" s="310"/>
      <c r="CE10" s="310"/>
      <c r="CF10" s="310"/>
      <c r="CG10" s="310"/>
      <c r="CH10" s="310"/>
      <c r="CI10" s="310"/>
      <c r="CJ10" s="402"/>
      <c r="CK10" s="341"/>
      <c r="CL10" s="341"/>
      <c r="CM10" s="341"/>
      <c r="CN10" s="341"/>
      <c r="CO10" s="341"/>
      <c r="CP10" s="310"/>
      <c r="CQ10" s="310"/>
      <c r="CR10" s="341"/>
      <c r="CS10" s="341"/>
      <c r="CT10" s="341"/>
      <c r="CU10" s="341"/>
      <c r="CV10" s="310"/>
      <c r="CW10" s="310"/>
      <c r="CX10" s="341"/>
      <c r="CY10" s="341"/>
      <c r="CZ10" s="341"/>
      <c r="DA10" s="310"/>
      <c r="DB10" s="310"/>
      <c r="DC10" s="341"/>
      <c r="DD10" s="310"/>
      <c r="DE10" s="310"/>
    </row>
    <row r="11" spans="1:109" s="4" customFormat="1" ht="24">
      <c r="A11" s="582"/>
      <c r="B11" s="593"/>
      <c r="C11" s="589"/>
      <c r="D11" s="584"/>
      <c r="E11" s="632"/>
      <c r="F11" s="632"/>
      <c r="G11" s="632"/>
      <c r="H11" s="511"/>
      <c r="I11" s="511"/>
      <c r="J11" s="511"/>
      <c r="K11" s="511"/>
      <c r="L11" s="511"/>
      <c r="M11" s="511"/>
      <c r="N11" s="511"/>
      <c r="O11" s="511"/>
      <c r="P11" s="511"/>
      <c r="Q11" s="511"/>
      <c r="R11" s="511"/>
      <c r="S11" s="511"/>
      <c r="T11" s="511"/>
      <c r="U11" s="511"/>
      <c r="V11" s="511"/>
      <c r="W11" s="511"/>
      <c r="X11" s="511"/>
      <c r="Y11" s="511"/>
      <c r="Z11" s="511"/>
      <c r="AA11" s="511"/>
      <c r="AB11" s="511"/>
      <c r="AC11" s="511"/>
      <c r="AD11" s="511"/>
      <c r="AE11" s="511"/>
      <c r="AF11" s="511"/>
      <c r="AG11" s="511"/>
      <c r="AH11" s="511"/>
      <c r="AI11" s="511"/>
      <c r="AJ11" s="419"/>
      <c r="AK11" s="419"/>
      <c r="AL11" s="246" t="s">
        <v>81</v>
      </c>
      <c r="AM11" s="80">
        <v>41487</v>
      </c>
      <c r="AN11" s="80">
        <v>41628</v>
      </c>
      <c r="AO11" s="319"/>
      <c r="AP11" s="419"/>
      <c r="AQ11" s="419"/>
      <c r="AR11" s="319"/>
      <c r="AS11" s="419"/>
      <c r="AT11" s="419"/>
      <c r="AU11" s="319"/>
      <c r="AV11" s="419"/>
      <c r="AW11" s="419"/>
      <c r="AX11" s="571"/>
      <c r="AY11" s="571"/>
      <c r="AZ11" s="571"/>
      <c r="BA11" s="571"/>
      <c r="BB11" s="571"/>
      <c r="BC11" s="571"/>
      <c r="BD11" s="571"/>
      <c r="BE11" s="571"/>
      <c r="BF11" s="571"/>
      <c r="BG11" s="571"/>
      <c r="BH11" s="571"/>
      <c r="BI11" s="571"/>
      <c r="BJ11" s="571"/>
      <c r="BK11" s="571"/>
      <c r="BL11" s="571"/>
      <c r="BM11" s="455"/>
      <c r="BN11" s="456"/>
      <c r="BO11" s="449"/>
      <c r="BP11" s="450"/>
      <c r="BQ11" s="449"/>
      <c r="BR11" s="450"/>
      <c r="BS11" s="535"/>
      <c r="BT11" s="536"/>
      <c r="BU11" s="341"/>
      <c r="BV11" s="341"/>
      <c r="BW11" s="341"/>
      <c r="BX11" s="341"/>
      <c r="BY11" s="341"/>
      <c r="BZ11" s="341"/>
      <c r="CA11" s="341"/>
      <c r="CB11" s="310"/>
      <c r="CC11" s="310"/>
      <c r="CD11" s="310"/>
      <c r="CE11" s="310"/>
      <c r="CF11" s="310"/>
      <c r="CG11" s="310"/>
      <c r="CH11" s="310"/>
      <c r="CI11" s="310"/>
      <c r="CJ11" s="402"/>
      <c r="CK11" s="341"/>
      <c r="CL11" s="341"/>
      <c r="CM11" s="341"/>
      <c r="CN11" s="341"/>
      <c r="CO11" s="341"/>
      <c r="CP11" s="310"/>
      <c r="CQ11" s="310"/>
      <c r="CR11" s="341"/>
      <c r="CS11" s="341"/>
      <c r="CT11" s="341"/>
      <c r="CU11" s="341"/>
      <c r="CV11" s="310"/>
      <c r="CW11" s="310"/>
      <c r="CX11" s="341"/>
      <c r="CY11" s="341"/>
      <c r="CZ11" s="341"/>
      <c r="DA11" s="310"/>
      <c r="DB11" s="310"/>
      <c r="DC11" s="341"/>
      <c r="DD11" s="310"/>
      <c r="DE11" s="310"/>
    </row>
    <row r="12" spans="1:109" s="4" customFormat="1" ht="36">
      <c r="A12" s="582"/>
      <c r="B12" s="593"/>
      <c r="C12" s="590"/>
      <c r="D12" s="574"/>
      <c r="E12" s="632"/>
      <c r="F12" s="632"/>
      <c r="G12" s="632"/>
      <c r="H12" s="511"/>
      <c r="I12" s="511"/>
      <c r="J12" s="511"/>
      <c r="K12" s="511"/>
      <c r="L12" s="511"/>
      <c r="M12" s="511"/>
      <c r="N12" s="511"/>
      <c r="O12" s="511"/>
      <c r="P12" s="511"/>
      <c r="Q12" s="511"/>
      <c r="R12" s="511"/>
      <c r="S12" s="511"/>
      <c r="T12" s="511"/>
      <c r="U12" s="511"/>
      <c r="V12" s="511"/>
      <c r="W12" s="511"/>
      <c r="X12" s="511"/>
      <c r="Y12" s="511"/>
      <c r="Z12" s="511"/>
      <c r="AA12" s="511"/>
      <c r="AB12" s="511"/>
      <c r="AC12" s="511"/>
      <c r="AD12" s="511"/>
      <c r="AE12" s="511"/>
      <c r="AF12" s="511"/>
      <c r="AG12" s="511"/>
      <c r="AH12" s="511"/>
      <c r="AI12" s="511"/>
      <c r="AJ12" s="419"/>
      <c r="AK12" s="419"/>
      <c r="AL12" s="246" t="s">
        <v>82</v>
      </c>
      <c r="AM12" s="80">
        <v>41548</v>
      </c>
      <c r="AN12" s="80">
        <v>41639</v>
      </c>
      <c r="AO12" s="319"/>
      <c r="AP12" s="420"/>
      <c r="AQ12" s="420"/>
      <c r="AR12" s="319"/>
      <c r="AS12" s="420"/>
      <c r="AT12" s="420"/>
      <c r="AU12" s="319"/>
      <c r="AV12" s="420"/>
      <c r="AW12" s="420"/>
      <c r="AX12" s="571"/>
      <c r="AY12" s="571"/>
      <c r="AZ12" s="571"/>
      <c r="BA12" s="571"/>
      <c r="BB12" s="571"/>
      <c r="BC12" s="571"/>
      <c r="BD12" s="571"/>
      <c r="BE12" s="571"/>
      <c r="BF12" s="571"/>
      <c r="BG12" s="571"/>
      <c r="BH12" s="571"/>
      <c r="BI12" s="571"/>
      <c r="BJ12" s="571"/>
      <c r="BK12" s="571"/>
      <c r="BL12" s="571"/>
      <c r="BM12" s="455"/>
      <c r="BN12" s="456"/>
      <c r="BO12" s="449"/>
      <c r="BP12" s="450"/>
      <c r="BQ12" s="449"/>
      <c r="BR12" s="450"/>
      <c r="BS12" s="535"/>
      <c r="BT12" s="536"/>
      <c r="BU12" s="341"/>
      <c r="BV12" s="341"/>
      <c r="BW12" s="341"/>
      <c r="BX12" s="341"/>
      <c r="BY12" s="341"/>
      <c r="BZ12" s="341"/>
      <c r="CA12" s="341"/>
      <c r="CB12" s="310"/>
      <c r="CC12" s="310"/>
      <c r="CD12" s="310"/>
      <c r="CE12" s="310"/>
      <c r="CF12" s="310"/>
      <c r="CG12" s="310"/>
      <c r="CH12" s="310"/>
      <c r="CI12" s="310"/>
      <c r="CJ12" s="402"/>
      <c r="CK12" s="341"/>
      <c r="CL12" s="341"/>
      <c r="CM12" s="341"/>
      <c r="CN12" s="341"/>
      <c r="CO12" s="341"/>
      <c r="CP12" s="310"/>
      <c r="CQ12" s="310"/>
      <c r="CR12" s="341"/>
      <c r="CS12" s="341"/>
      <c r="CT12" s="341"/>
      <c r="CU12" s="341"/>
      <c r="CV12" s="310"/>
      <c r="CW12" s="310"/>
      <c r="CX12" s="341"/>
      <c r="CY12" s="341"/>
      <c r="CZ12" s="341"/>
      <c r="DA12" s="310"/>
      <c r="DB12" s="310"/>
      <c r="DC12" s="341"/>
      <c r="DD12" s="310"/>
      <c r="DE12" s="310"/>
    </row>
    <row r="13" spans="1:109" s="4" customFormat="1" ht="33" customHeight="1">
      <c r="A13" s="582"/>
      <c r="B13" s="593"/>
      <c r="C13" s="585" t="s">
        <v>232</v>
      </c>
      <c r="D13" s="573" t="s">
        <v>233</v>
      </c>
      <c r="E13" s="213"/>
      <c r="F13" s="80"/>
      <c r="G13" s="80"/>
      <c r="H13" s="339"/>
      <c r="I13" s="339"/>
      <c r="J13" s="339"/>
      <c r="K13" s="339"/>
      <c r="L13" s="339"/>
      <c r="M13" s="339"/>
      <c r="N13" s="339"/>
      <c r="O13" s="339"/>
      <c r="P13" s="339"/>
      <c r="Q13" s="339"/>
      <c r="R13" s="339"/>
      <c r="S13" s="339"/>
      <c r="T13" s="339"/>
      <c r="U13" s="339"/>
      <c r="V13" s="339"/>
      <c r="W13" s="339"/>
      <c r="X13" s="339"/>
      <c r="Y13" s="339"/>
      <c r="Z13" s="339"/>
      <c r="AA13" s="339"/>
      <c r="AB13" s="339"/>
      <c r="AC13" s="339"/>
      <c r="AD13" s="339"/>
      <c r="AE13" s="339"/>
      <c r="AF13" s="339"/>
      <c r="AG13" s="339"/>
      <c r="AH13" s="339"/>
      <c r="AI13" s="339"/>
      <c r="AJ13" s="319" t="s">
        <v>154</v>
      </c>
      <c r="AK13" s="319" t="s">
        <v>428</v>
      </c>
      <c r="AL13" s="246" t="s">
        <v>234</v>
      </c>
      <c r="AM13" s="80">
        <v>41443</v>
      </c>
      <c r="AN13" s="80">
        <v>41639</v>
      </c>
      <c r="AO13" s="319">
        <v>739116000</v>
      </c>
      <c r="AP13" s="319">
        <v>232387848</v>
      </c>
      <c r="AQ13" s="319">
        <f>AO13-AP13</f>
        <v>506728152</v>
      </c>
      <c r="AR13" s="319">
        <v>739116000</v>
      </c>
      <c r="AS13" s="319">
        <f>12429018+34623693+19176400+19176400+20904786+22440404+12429018+12429018+22440404+19176400+12429018+10843200+12429018+12429018+20904786+12750800+2811200+1232914+1232914+1232914</f>
        <v>283521323</v>
      </c>
      <c r="AT13" s="319">
        <f>AR13-AS13</f>
        <v>455594677</v>
      </c>
      <c r="AU13" s="319">
        <v>739116000</v>
      </c>
      <c r="AV13" s="319">
        <v>232387848</v>
      </c>
      <c r="AW13" s="319">
        <f>AU13-AV13</f>
        <v>506728152</v>
      </c>
      <c r="AX13" s="571"/>
      <c r="AY13" s="571"/>
      <c r="AZ13" s="571"/>
      <c r="BA13" s="571"/>
      <c r="BB13" s="571"/>
      <c r="BC13" s="571"/>
      <c r="BD13" s="571"/>
      <c r="BE13" s="571"/>
      <c r="BF13" s="571"/>
      <c r="BG13" s="571"/>
      <c r="BH13" s="571"/>
      <c r="BI13" s="571"/>
      <c r="BJ13" s="571"/>
      <c r="BK13" s="571"/>
      <c r="BL13" s="571"/>
      <c r="BM13" s="453">
        <v>739116000</v>
      </c>
      <c r="BN13" s="454"/>
      <c r="BO13" s="453">
        <v>1143151600</v>
      </c>
      <c r="BP13" s="454"/>
      <c r="BQ13" s="453">
        <v>1044038404</v>
      </c>
      <c r="BR13" s="454"/>
      <c r="BS13" s="539">
        <f>SUM(BM13:BR25)</f>
        <v>2926306004</v>
      </c>
      <c r="BT13" s="540"/>
      <c r="BU13" s="363">
        <v>4000000000</v>
      </c>
      <c r="BV13" s="341">
        <v>250515000</v>
      </c>
      <c r="BW13" s="341"/>
      <c r="BX13" s="341"/>
      <c r="BY13" s="341"/>
      <c r="BZ13" s="341"/>
      <c r="CA13" s="341"/>
      <c r="CB13" s="341"/>
      <c r="CC13" s="341"/>
      <c r="CD13" s="341"/>
      <c r="CE13" s="341"/>
      <c r="CF13" s="341"/>
      <c r="CG13" s="341"/>
      <c r="CH13" s="310">
        <f>SUM(BW13:CG18)</f>
        <v>0</v>
      </c>
      <c r="CI13" s="310">
        <f>CH13+BV13</f>
        <v>250515000</v>
      </c>
      <c r="CJ13" s="321"/>
      <c r="CK13" s="341"/>
      <c r="CL13" s="341"/>
      <c r="CM13" s="341"/>
      <c r="CN13" s="341"/>
      <c r="CO13" s="341"/>
      <c r="CP13" s="310">
        <f>SUM(CK13:CO18)</f>
        <v>0</v>
      </c>
      <c r="CQ13" s="310">
        <f>CP13+CJ13</f>
        <v>0</v>
      </c>
      <c r="CR13" s="341">
        <v>30000000</v>
      </c>
      <c r="CS13" s="341"/>
      <c r="CT13" s="341"/>
      <c r="CU13" s="341"/>
      <c r="CV13" s="310">
        <f>SUM(CS13:CU18)</f>
        <v>0</v>
      </c>
      <c r="CW13" s="310">
        <f>CV13+CR13</f>
        <v>30000000</v>
      </c>
      <c r="CX13" s="341">
        <v>50000000</v>
      </c>
      <c r="CY13" s="341"/>
      <c r="CZ13" s="341"/>
      <c r="DA13" s="310">
        <f>SUM(CY13:CZ18)</f>
        <v>0</v>
      </c>
      <c r="DB13" s="310">
        <f>DA13+CX13</f>
        <v>50000000</v>
      </c>
      <c r="DC13" s="341"/>
      <c r="DD13" s="310">
        <f>DB13+CW13+CQ13+CI13+DC13</f>
        <v>330515000</v>
      </c>
      <c r="DE13" s="310"/>
    </row>
    <row r="14" spans="1:109" s="4" customFormat="1" ht="48">
      <c r="A14" s="582"/>
      <c r="B14" s="593"/>
      <c r="C14" s="586"/>
      <c r="D14" s="584"/>
      <c r="E14" s="213"/>
      <c r="F14" s="213"/>
      <c r="G14" s="213"/>
      <c r="H14" s="339"/>
      <c r="I14" s="339"/>
      <c r="J14" s="339"/>
      <c r="K14" s="339"/>
      <c r="L14" s="339"/>
      <c r="M14" s="339"/>
      <c r="N14" s="339"/>
      <c r="O14" s="339"/>
      <c r="P14" s="339"/>
      <c r="Q14" s="339"/>
      <c r="R14" s="339"/>
      <c r="S14" s="339"/>
      <c r="T14" s="339"/>
      <c r="U14" s="339"/>
      <c r="V14" s="339"/>
      <c r="W14" s="339"/>
      <c r="X14" s="339"/>
      <c r="Y14" s="339"/>
      <c r="Z14" s="339"/>
      <c r="AA14" s="339"/>
      <c r="AB14" s="339"/>
      <c r="AC14" s="339"/>
      <c r="AD14" s="339"/>
      <c r="AE14" s="339"/>
      <c r="AF14" s="339"/>
      <c r="AG14" s="339"/>
      <c r="AH14" s="339"/>
      <c r="AI14" s="339"/>
      <c r="AJ14" s="319"/>
      <c r="AK14" s="319"/>
      <c r="AL14" s="246" t="s">
        <v>235</v>
      </c>
      <c r="AM14" s="80">
        <v>41456</v>
      </c>
      <c r="AN14" s="80">
        <v>41628</v>
      </c>
      <c r="AO14" s="319"/>
      <c r="AP14" s="319"/>
      <c r="AQ14" s="319"/>
      <c r="AR14" s="319"/>
      <c r="AS14" s="319"/>
      <c r="AT14" s="319"/>
      <c r="AU14" s="319"/>
      <c r="AV14" s="319"/>
      <c r="AW14" s="319"/>
      <c r="AX14" s="571"/>
      <c r="AY14" s="571"/>
      <c r="AZ14" s="571"/>
      <c r="BA14" s="571"/>
      <c r="BB14" s="571"/>
      <c r="BC14" s="571"/>
      <c r="BD14" s="571"/>
      <c r="BE14" s="571"/>
      <c r="BF14" s="571"/>
      <c r="BG14" s="571"/>
      <c r="BH14" s="571"/>
      <c r="BI14" s="571"/>
      <c r="BJ14" s="571"/>
      <c r="BK14" s="571"/>
      <c r="BL14" s="571"/>
      <c r="BM14" s="455"/>
      <c r="BN14" s="456"/>
      <c r="BO14" s="455"/>
      <c r="BP14" s="456"/>
      <c r="BQ14" s="455"/>
      <c r="BR14" s="456"/>
      <c r="BS14" s="541"/>
      <c r="BT14" s="542"/>
      <c r="BU14" s="363"/>
      <c r="BV14" s="341"/>
      <c r="BW14" s="341"/>
      <c r="BX14" s="341"/>
      <c r="BY14" s="341"/>
      <c r="BZ14" s="341"/>
      <c r="CA14" s="341"/>
      <c r="CB14" s="341"/>
      <c r="CC14" s="341"/>
      <c r="CD14" s="341"/>
      <c r="CE14" s="341"/>
      <c r="CF14" s="341"/>
      <c r="CG14" s="341"/>
      <c r="CH14" s="310"/>
      <c r="CI14" s="310"/>
      <c r="CJ14" s="321"/>
      <c r="CK14" s="341"/>
      <c r="CL14" s="341"/>
      <c r="CM14" s="341"/>
      <c r="CN14" s="341"/>
      <c r="CO14" s="341"/>
      <c r="CP14" s="310"/>
      <c r="CQ14" s="310"/>
      <c r="CR14" s="341"/>
      <c r="CS14" s="341"/>
      <c r="CT14" s="341"/>
      <c r="CU14" s="341"/>
      <c r="CV14" s="310"/>
      <c r="CW14" s="310"/>
      <c r="CX14" s="341"/>
      <c r="CY14" s="341"/>
      <c r="CZ14" s="341"/>
      <c r="DA14" s="310"/>
      <c r="DB14" s="310"/>
      <c r="DC14" s="341"/>
      <c r="DD14" s="310"/>
      <c r="DE14" s="310"/>
    </row>
    <row r="15" spans="1:109" s="4" customFormat="1" ht="48">
      <c r="A15" s="582"/>
      <c r="B15" s="593"/>
      <c r="C15" s="586"/>
      <c r="D15" s="584"/>
      <c r="E15" s="213"/>
      <c r="F15" s="213"/>
      <c r="G15" s="213"/>
      <c r="H15" s="339"/>
      <c r="I15" s="339"/>
      <c r="J15" s="339"/>
      <c r="K15" s="339"/>
      <c r="L15" s="339"/>
      <c r="M15" s="339"/>
      <c r="N15" s="339"/>
      <c r="O15" s="339"/>
      <c r="P15" s="339"/>
      <c r="Q15" s="339"/>
      <c r="R15" s="339"/>
      <c r="S15" s="339"/>
      <c r="T15" s="339"/>
      <c r="U15" s="339"/>
      <c r="V15" s="339"/>
      <c r="W15" s="339"/>
      <c r="X15" s="339"/>
      <c r="Y15" s="339"/>
      <c r="Z15" s="339"/>
      <c r="AA15" s="339"/>
      <c r="AB15" s="339"/>
      <c r="AC15" s="339"/>
      <c r="AD15" s="339"/>
      <c r="AE15" s="339"/>
      <c r="AF15" s="339"/>
      <c r="AG15" s="339"/>
      <c r="AH15" s="339"/>
      <c r="AI15" s="339"/>
      <c r="AJ15" s="319"/>
      <c r="AK15" s="319"/>
      <c r="AL15" s="246" t="s">
        <v>236</v>
      </c>
      <c r="AM15" s="80">
        <v>41518</v>
      </c>
      <c r="AN15" s="80">
        <v>41628</v>
      </c>
      <c r="AO15" s="319"/>
      <c r="AP15" s="319"/>
      <c r="AQ15" s="319"/>
      <c r="AR15" s="319"/>
      <c r="AS15" s="319"/>
      <c r="AT15" s="319"/>
      <c r="AU15" s="319"/>
      <c r="AV15" s="319"/>
      <c r="AW15" s="319"/>
      <c r="AX15" s="571"/>
      <c r="AY15" s="571"/>
      <c r="AZ15" s="571"/>
      <c r="BA15" s="571"/>
      <c r="BB15" s="571"/>
      <c r="BC15" s="571"/>
      <c r="BD15" s="571"/>
      <c r="BE15" s="571"/>
      <c r="BF15" s="571"/>
      <c r="BG15" s="571"/>
      <c r="BH15" s="571"/>
      <c r="BI15" s="571"/>
      <c r="BJ15" s="571"/>
      <c r="BK15" s="571"/>
      <c r="BL15" s="571"/>
      <c r="BM15" s="455"/>
      <c r="BN15" s="456"/>
      <c r="BO15" s="455"/>
      <c r="BP15" s="456"/>
      <c r="BQ15" s="455"/>
      <c r="BR15" s="456"/>
      <c r="BS15" s="541"/>
      <c r="BT15" s="542"/>
      <c r="BU15" s="363"/>
      <c r="BV15" s="341"/>
      <c r="BW15" s="341"/>
      <c r="BX15" s="341"/>
      <c r="BY15" s="341"/>
      <c r="BZ15" s="341"/>
      <c r="CA15" s="341"/>
      <c r="CB15" s="341"/>
      <c r="CC15" s="341"/>
      <c r="CD15" s="341"/>
      <c r="CE15" s="341"/>
      <c r="CF15" s="341"/>
      <c r="CG15" s="341"/>
      <c r="CH15" s="310"/>
      <c r="CI15" s="310"/>
      <c r="CJ15" s="321"/>
      <c r="CK15" s="341"/>
      <c r="CL15" s="341"/>
      <c r="CM15" s="341"/>
      <c r="CN15" s="341"/>
      <c r="CO15" s="341"/>
      <c r="CP15" s="310"/>
      <c r="CQ15" s="310"/>
      <c r="CR15" s="341"/>
      <c r="CS15" s="341"/>
      <c r="CT15" s="341"/>
      <c r="CU15" s="341"/>
      <c r="CV15" s="310"/>
      <c r="CW15" s="310"/>
      <c r="CX15" s="341"/>
      <c r="CY15" s="341"/>
      <c r="CZ15" s="341"/>
      <c r="DA15" s="310"/>
      <c r="DB15" s="310"/>
      <c r="DC15" s="341"/>
      <c r="DD15" s="310"/>
      <c r="DE15" s="310"/>
    </row>
    <row r="16" spans="1:109" s="4" customFormat="1" ht="60">
      <c r="A16" s="582"/>
      <c r="B16" s="593"/>
      <c r="C16" s="586"/>
      <c r="D16" s="584"/>
      <c r="E16" s="80"/>
      <c r="F16" s="213"/>
      <c r="G16" s="213"/>
      <c r="H16" s="339"/>
      <c r="I16" s="339"/>
      <c r="J16" s="339"/>
      <c r="K16" s="339"/>
      <c r="L16" s="339"/>
      <c r="M16" s="339"/>
      <c r="N16" s="339"/>
      <c r="O16" s="339"/>
      <c r="P16" s="339"/>
      <c r="Q16" s="339"/>
      <c r="R16" s="339"/>
      <c r="S16" s="339"/>
      <c r="T16" s="339"/>
      <c r="U16" s="339"/>
      <c r="V16" s="339"/>
      <c r="W16" s="339"/>
      <c r="X16" s="339"/>
      <c r="Y16" s="339"/>
      <c r="Z16" s="339"/>
      <c r="AA16" s="339"/>
      <c r="AB16" s="339"/>
      <c r="AC16" s="339"/>
      <c r="AD16" s="339"/>
      <c r="AE16" s="339"/>
      <c r="AF16" s="339"/>
      <c r="AG16" s="339"/>
      <c r="AH16" s="339"/>
      <c r="AI16" s="339"/>
      <c r="AJ16" s="319"/>
      <c r="AK16" s="319"/>
      <c r="AL16" s="246" t="s">
        <v>237</v>
      </c>
      <c r="AM16" s="80">
        <v>41640</v>
      </c>
      <c r="AN16" s="80">
        <v>41992</v>
      </c>
      <c r="AO16" s="319"/>
      <c r="AP16" s="319"/>
      <c r="AQ16" s="319"/>
      <c r="AR16" s="319"/>
      <c r="AS16" s="319"/>
      <c r="AT16" s="319"/>
      <c r="AU16" s="319"/>
      <c r="AV16" s="319"/>
      <c r="AW16" s="319"/>
      <c r="AX16" s="571"/>
      <c r="AY16" s="571"/>
      <c r="AZ16" s="571"/>
      <c r="BA16" s="571"/>
      <c r="BB16" s="571"/>
      <c r="BC16" s="571"/>
      <c r="BD16" s="571"/>
      <c r="BE16" s="571"/>
      <c r="BF16" s="571"/>
      <c r="BG16" s="571"/>
      <c r="BH16" s="571"/>
      <c r="BI16" s="571"/>
      <c r="BJ16" s="571"/>
      <c r="BK16" s="571"/>
      <c r="BL16" s="571"/>
      <c r="BM16" s="455"/>
      <c r="BN16" s="456"/>
      <c r="BO16" s="455"/>
      <c r="BP16" s="456"/>
      <c r="BQ16" s="455"/>
      <c r="BR16" s="456"/>
      <c r="BS16" s="541"/>
      <c r="BT16" s="542"/>
      <c r="BU16" s="363"/>
      <c r="BV16" s="341"/>
      <c r="BW16" s="341"/>
      <c r="BX16" s="341"/>
      <c r="BY16" s="341"/>
      <c r="BZ16" s="341"/>
      <c r="CA16" s="341"/>
      <c r="CB16" s="341"/>
      <c r="CC16" s="341"/>
      <c r="CD16" s="341"/>
      <c r="CE16" s="341"/>
      <c r="CF16" s="341"/>
      <c r="CG16" s="341"/>
      <c r="CH16" s="310"/>
      <c r="CI16" s="310"/>
      <c r="CJ16" s="321"/>
      <c r="CK16" s="341"/>
      <c r="CL16" s="341"/>
      <c r="CM16" s="341"/>
      <c r="CN16" s="341"/>
      <c r="CO16" s="341"/>
      <c r="CP16" s="310"/>
      <c r="CQ16" s="310"/>
      <c r="CR16" s="341"/>
      <c r="CS16" s="341"/>
      <c r="CT16" s="341"/>
      <c r="CU16" s="341"/>
      <c r="CV16" s="310"/>
      <c r="CW16" s="310"/>
      <c r="CX16" s="341"/>
      <c r="CY16" s="341"/>
      <c r="CZ16" s="341"/>
      <c r="DA16" s="310"/>
      <c r="DB16" s="310"/>
      <c r="DC16" s="341"/>
      <c r="DD16" s="310"/>
      <c r="DE16" s="310"/>
    </row>
    <row r="17" spans="1:109" s="4" customFormat="1" ht="72">
      <c r="A17" s="582"/>
      <c r="B17" s="593"/>
      <c r="C17" s="586"/>
      <c r="D17" s="584"/>
      <c r="E17" s="80"/>
      <c r="F17" s="213"/>
      <c r="G17" s="80"/>
      <c r="H17" s="339"/>
      <c r="I17" s="339"/>
      <c r="J17" s="339"/>
      <c r="K17" s="339"/>
      <c r="L17" s="339"/>
      <c r="M17" s="339"/>
      <c r="N17" s="339"/>
      <c r="O17" s="339"/>
      <c r="P17" s="339"/>
      <c r="Q17" s="339"/>
      <c r="R17" s="339"/>
      <c r="S17" s="339"/>
      <c r="T17" s="339"/>
      <c r="U17" s="339"/>
      <c r="V17" s="339"/>
      <c r="W17" s="339"/>
      <c r="X17" s="339"/>
      <c r="Y17" s="339"/>
      <c r="Z17" s="339"/>
      <c r="AA17" s="339"/>
      <c r="AB17" s="339"/>
      <c r="AC17" s="339"/>
      <c r="AD17" s="339"/>
      <c r="AE17" s="339"/>
      <c r="AF17" s="339"/>
      <c r="AG17" s="339"/>
      <c r="AH17" s="339"/>
      <c r="AI17" s="339"/>
      <c r="AJ17" s="319"/>
      <c r="AK17" s="319"/>
      <c r="AL17" s="246" t="s">
        <v>238</v>
      </c>
      <c r="AM17" s="80">
        <v>41659</v>
      </c>
      <c r="AN17" s="80">
        <v>41973</v>
      </c>
      <c r="AO17" s="319"/>
      <c r="AP17" s="319"/>
      <c r="AQ17" s="319"/>
      <c r="AR17" s="319"/>
      <c r="AS17" s="319"/>
      <c r="AT17" s="319"/>
      <c r="AU17" s="319"/>
      <c r="AV17" s="319"/>
      <c r="AW17" s="319"/>
      <c r="AX17" s="571"/>
      <c r="AY17" s="571"/>
      <c r="AZ17" s="571"/>
      <c r="BA17" s="571"/>
      <c r="BB17" s="571"/>
      <c r="BC17" s="571"/>
      <c r="BD17" s="571"/>
      <c r="BE17" s="571"/>
      <c r="BF17" s="571"/>
      <c r="BG17" s="571"/>
      <c r="BH17" s="571"/>
      <c r="BI17" s="571"/>
      <c r="BJ17" s="571"/>
      <c r="BK17" s="571"/>
      <c r="BL17" s="571"/>
      <c r="BM17" s="455"/>
      <c r="BN17" s="456"/>
      <c r="BO17" s="455"/>
      <c r="BP17" s="456"/>
      <c r="BQ17" s="455"/>
      <c r="BR17" s="456"/>
      <c r="BS17" s="541"/>
      <c r="BT17" s="542"/>
      <c r="BU17" s="363"/>
      <c r="BV17" s="341"/>
      <c r="BW17" s="341"/>
      <c r="BX17" s="341"/>
      <c r="BY17" s="341"/>
      <c r="BZ17" s="341"/>
      <c r="CA17" s="341"/>
      <c r="CB17" s="341"/>
      <c r="CC17" s="341"/>
      <c r="CD17" s="341"/>
      <c r="CE17" s="341"/>
      <c r="CF17" s="341"/>
      <c r="CG17" s="341"/>
      <c r="CH17" s="310"/>
      <c r="CI17" s="310"/>
      <c r="CJ17" s="321"/>
      <c r="CK17" s="341"/>
      <c r="CL17" s="341"/>
      <c r="CM17" s="341"/>
      <c r="CN17" s="341"/>
      <c r="CO17" s="341"/>
      <c r="CP17" s="310"/>
      <c r="CQ17" s="310"/>
      <c r="CR17" s="341"/>
      <c r="CS17" s="341"/>
      <c r="CT17" s="341"/>
      <c r="CU17" s="341"/>
      <c r="CV17" s="310"/>
      <c r="CW17" s="310"/>
      <c r="CX17" s="341"/>
      <c r="CY17" s="341"/>
      <c r="CZ17" s="341"/>
      <c r="DA17" s="310"/>
      <c r="DB17" s="310"/>
      <c r="DC17" s="341"/>
      <c r="DD17" s="310"/>
      <c r="DE17" s="310"/>
    </row>
    <row r="18" spans="1:109" s="4" customFormat="1" ht="36">
      <c r="A18" s="582"/>
      <c r="B18" s="593"/>
      <c r="C18" s="586"/>
      <c r="D18" s="574"/>
      <c r="E18" s="213"/>
      <c r="F18" s="80"/>
      <c r="G18" s="80"/>
      <c r="H18" s="339"/>
      <c r="I18" s="339"/>
      <c r="J18" s="339"/>
      <c r="K18" s="339"/>
      <c r="L18" s="339"/>
      <c r="M18" s="339"/>
      <c r="N18" s="339"/>
      <c r="O18" s="339"/>
      <c r="P18" s="339"/>
      <c r="Q18" s="339"/>
      <c r="R18" s="339"/>
      <c r="S18" s="339"/>
      <c r="T18" s="339"/>
      <c r="U18" s="339"/>
      <c r="V18" s="339"/>
      <c r="W18" s="339"/>
      <c r="X18" s="339"/>
      <c r="Y18" s="339"/>
      <c r="Z18" s="339"/>
      <c r="AA18" s="339"/>
      <c r="AB18" s="339"/>
      <c r="AC18" s="339"/>
      <c r="AD18" s="339"/>
      <c r="AE18" s="339"/>
      <c r="AF18" s="339"/>
      <c r="AG18" s="339"/>
      <c r="AH18" s="339"/>
      <c r="AI18" s="339"/>
      <c r="AJ18" s="319"/>
      <c r="AK18" s="319"/>
      <c r="AL18" s="246" t="s">
        <v>239</v>
      </c>
      <c r="AM18" s="80">
        <v>41443</v>
      </c>
      <c r="AN18" s="80">
        <v>41639</v>
      </c>
      <c r="AO18" s="319"/>
      <c r="AP18" s="319"/>
      <c r="AQ18" s="319"/>
      <c r="AR18" s="319"/>
      <c r="AS18" s="319"/>
      <c r="AT18" s="319"/>
      <c r="AU18" s="319"/>
      <c r="AV18" s="319"/>
      <c r="AW18" s="319"/>
      <c r="AX18" s="571"/>
      <c r="AY18" s="571"/>
      <c r="AZ18" s="571"/>
      <c r="BA18" s="571"/>
      <c r="BB18" s="571"/>
      <c r="BC18" s="571"/>
      <c r="BD18" s="571"/>
      <c r="BE18" s="571"/>
      <c r="BF18" s="571"/>
      <c r="BG18" s="571"/>
      <c r="BH18" s="571"/>
      <c r="BI18" s="571"/>
      <c r="BJ18" s="571"/>
      <c r="BK18" s="571"/>
      <c r="BL18" s="571"/>
      <c r="BM18" s="455"/>
      <c r="BN18" s="456"/>
      <c r="BO18" s="455"/>
      <c r="BP18" s="456"/>
      <c r="BQ18" s="455"/>
      <c r="BR18" s="456"/>
      <c r="BS18" s="541"/>
      <c r="BT18" s="542"/>
      <c r="BU18" s="363"/>
      <c r="BV18" s="341"/>
      <c r="BW18" s="341"/>
      <c r="BX18" s="341"/>
      <c r="BY18" s="341"/>
      <c r="BZ18" s="341"/>
      <c r="CA18" s="341"/>
      <c r="CB18" s="341"/>
      <c r="CC18" s="341"/>
      <c r="CD18" s="341"/>
      <c r="CE18" s="341"/>
      <c r="CF18" s="341"/>
      <c r="CG18" s="341"/>
      <c r="CH18" s="310"/>
      <c r="CI18" s="310"/>
      <c r="CJ18" s="321"/>
      <c r="CK18" s="341"/>
      <c r="CL18" s="341"/>
      <c r="CM18" s="341"/>
      <c r="CN18" s="341"/>
      <c r="CO18" s="341"/>
      <c r="CP18" s="310"/>
      <c r="CQ18" s="310"/>
      <c r="CR18" s="341"/>
      <c r="CS18" s="341"/>
      <c r="CT18" s="341"/>
      <c r="CU18" s="341"/>
      <c r="CV18" s="310"/>
      <c r="CW18" s="310"/>
      <c r="CX18" s="341"/>
      <c r="CY18" s="341"/>
      <c r="CZ18" s="341"/>
      <c r="DA18" s="310"/>
      <c r="DB18" s="310"/>
      <c r="DC18" s="341"/>
      <c r="DD18" s="310"/>
      <c r="DE18" s="310"/>
    </row>
    <row r="19" spans="1:109" s="4" customFormat="1" ht="44.1" customHeight="1">
      <c r="A19" s="582"/>
      <c r="B19" s="593"/>
      <c r="C19" s="586"/>
      <c r="D19" s="573" t="s">
        <v>457</v>
      </c>
      <c r="E19" s="213"/>
      <c r="F19" s="213"/>
      <c r="G19" s="213"/>
      <c r="H19" s="339"/>
      <c r="I19" s="339"/>
      <c r="J19" s="339"/>
      <c r="K19" s="339"/>
      <c r="L19" s="339"/>
      <c r="M19" s="339"/>
      <c r="N19" s="339"/>
      <c r="O19" s="339"/>
      <c r="P19" s="339"/>
      <c r="Q19" s="339"/>
      <c r="R19" s="339"/>
      <c r="S19" s="339"/>
      <c r="T19" s="339"/>
      <c r="U19" s="339"/>
      <c r="V19" s="339"/>
      <c r="W19" s="339"/>
      <c r="X19" s="339"/>
      <c r="Y19" s="339"/>
      <c r="Z19" s="339"/>
      <c r="AA19" s="339"/>
      <c r="AB19" s="339"/>
      <c r="AC19" s="339"/>
      <c r="AD19" s="339"/>
      <c r="AE19" s="339"/>
      <c r="AF19" s="339"/>
      <c r="AG19" s="339"/>
      <c r="AH19" s="339"/>
      <c r="AI19" s="339"/>
      <c r="AJ19" s="418" t="s">
        <v>27</v>
      </c>
      <c r="AK19" s="418" t="s">
        <v>108</v>
      </c>
      <c r="AL19" s="246" t="s">
        <v>455</v>
      </c>
      <c r="AM19" s="80">
        <v>41443</v>
      </c>
      <c r="AN19" s="80">
        <v>41628</v>
      </c>
      <c r="AO19" s="319"/>
      <c r="AP19" s="319"/>
      <c r="AQ19" s="319"/>
      <c r="AR19" s="319"/>
      <c r="AS19" s="319"/>
      <c r="AT19" s="319"/>
      <c r="AU19" s="319"/>
      <c r="AV19" s="319"/>
      <c r="AW19" s="319"/>
      <c r="AX19" s="571"/>
      <c r="AY19" s="571"/>
      <c r="AZ19" s="571"/>
      <c r="BA19" s="571"/>
      <c r="BB19" s="571"/>
      <c r="BC19" s="571"/>
      <c r="BD19" s="571"/>
      <c r="BE19" s="571"/>
      <c r="BF19" s="571"/>
      <c r="BG19" s="571"/>
      <c r="BH19" s="571"/>
      <c r="BI19" s="571"/>
      <c r="BJ19" s="571"/>
      <c r="BK19" s="571"/>
      <c r="BL19" s="571"/>
      <c r="BM19" s="455"/>
      <c r="BN19" s="456"/>
      <c r="BO19" s="455"/>
      <c r="BP19" s="456"/>
      <c r="BQ19" s="455"/>
      <c r="BR19" s="456"/>
      <c r="BS19" s="541"/>
      <c r="BT19" s="542"/>
      <c r="BU19" s="363"/>
      <c r="BV19" s="341"/>
      <c r="BW19" s="341"/>
      <c r="BX19" s="341"/>
      <c r="BY19" s="341"/>
      <c r="BZ19" s="341"/>
      <c r="CA19" s="341"/>
      <c r="CB19" s="341"/>
      <c r="CC19" s="341"/>
      <c r="CD19" s="341"/>
      <c r="CE19" s="341"/>
      <c r="CF19" s="341"/>
      <c r="CG19" s="341"/>
      <c r="CH19" s="341">
        <f>SUM(BW19:CG21)</f>
        <v>0</v>
      </c>
      <c r="CI19" s="310">
        <f>CH19+BV19</f>
        <v>0</v>
      </c>
      <c r="CJ19" s="321"/>
      <c r="CK19" s="341"/>
      <c r="CL19" s="341"/>
      <c r="CM19" s="341"/>
      <c r="CN19" s="341"/>
      <c r="CO19" s="341"/>
      <c r="CP19" s="341">
        <f>SUM(CK19:CO21)</f>
        <v>0</v>
      </c>
      <c r="CQ19" s="310">
        <f>CP19+CJ19</f>
        <v>0</v>
      </c>
      <c r="CR19" s="341">
        <v>30000000</v>
      </c>
      <c r="CS19" s="341"/>
      <c r="CT19" s="341"/>
      <c r="CU19" s="341"/>
      <c r="CV19" s="341">
        <f>SUM(CS19:CU21)</f>
        <v>0</v>
      </c>
      <c r="CW19" s="310">
        <f>CV19+CR19</f>
        <v>30000000</v>
      </c>
      <c r="CX19" s="341"/>
      <c r="CY19" s="341"/>
      <c r="CZ19" s="341"/>
      <c r="DA19" s="341">
        <f>SUM(CY19:CZ21)</f>
        <v>0</v>
      </c>
      <c r="DB19" s="310">
        <f>DA19+CX19</f>
        <v>0</v>
      </c>
      <c r="DC19" s="341"/>
      <c r="DD19" s="310">
        <f>DB19+CW19+CQ19+CI19+DC19</f>
        <v>30000000</v>
      </c>
      <c r="DE19" s="310"/>
    </row>
    <row r="20" spans="1:109" s="4" customFormat="1" ht="36">
      <c r="A20" s="582"/>
      <c r="B20" s="593"/>
      <c r="C20" s="586"/>
      <c r="D20" s="584"/>
      <c r="E20" s="213"/>
      <c r="F20" s="213"/>
      <c r="G20" s="213"/>
      <c r="H20" s="339"/>
      <c r="I20" s="339"/>
      <c r="J20" s="339"/>
      <c r="K20" s="339"/>
      <c r="L20" s="339"/>
      <c r="M20" s="339"/>
      <c r="N20" s="339"/>
      <c r="O20" s="339"/>
      <c r="P20" s="339"/>
      <c r="Q20" s="339"/>
      <c r="R20" s="339"/>
      <c r="S20" s="339"/>
      <c r="T20" s="339"/>
      <c r="U20" s="339"/>
      <c r="V20" s="339"/>
      <c r="W20" s="339"/>
      <c r="X20" s="339"/>
      <c r="Y20" s="339"/>
      <c r="Z20" s="339"/>
      <c r="AA20" s="339"/>
      <c r="AB20" s="339"/>
      <c r="AC20" s="339"/>
      <c r="AD20" s="339"/>
      <c r="AE20" s="339"/>
      <c r="AF20" s="339"/>
      <c r="AG20" s="339"/>
      <c r="AH20" s="339"/>
      <c r="AI20" s="339"/>
      <c r="AJ20" s="419"/>
      <c r="AK20" s="419"/>
      <c r="AL20" s="246" t="s">
        <v>240</v>
      </c>
      <c r="AM20" s="80">
        <v>41487</v>
      </c>
      <c r="AN20" s="80">
        <v>41639</v>
      </c>
      <c r="AO20" s="319"/>
      <c r="AP20" s="319"/>
      <c r="AQ20" s="319"/>
      <c r="AR20" s="319"/>
      <c r="AS20" s="319"/>
      <c r="AT20" s="319"/>
      <c r="AU20" s="319"/>
      <c r="AV20" s="319"/>
      <c r="AW20" s="319"/>
      <c r="AX20" s="571"/>
      <c r="AY20" s="571"/>
      <c r="AZ20" s="571"/>
      <c r="BA20" s="571"/>
      <c r="BB20" s="571"/>
      <c r="BC20" s="571"/>
      <c r="BD20" s="571"/>
      <c r="BE20" s="571"/>
      <c r="BF20" s="571"/>
      <c r="BG20" s="571"/>
      <c r="BH20" s="571"/>
      <c r="BI20" s="571"/>
      <c r="BJ20" s="571"/>
      <c r="BK20" s="571"/>
      <c r="BL20" s="571"/>
      <c r="BM20" s="455"/>
      <c r="BN20" s="456"/>
      <c r="BO20" s="455"/>
      <c r="BP20" s="456"/>
      <c r="BQ20" s="455"/>
      <c r="BR20" s="456"/>
      <c r="BS20" s="541"/>
      <c r="BT20" s="542"/>
      <c r="BU20" s="363"/>
      <c r="BV20" s="341"/>
      <c r="BW20" s="341"/>
      <c r="BX20" s="341"/>
      <c r="BY20" s="341"/>
      <c r="BZ20" s="341"/>
      <c r="CA20" s="341"/>
      <c r="CB20" s="341"/>
      <c r="CC20" s="341"/>
      <c r="CD20" s="341"/>
      <c r="CE20" s="341"/>
      <c r="CF20" s="341"/>
      <c r="CG20" s="341"/>
      <c r="CH20" s="341"/>
      <c r="CI20" s="310"/>
      <c r="CJ20" s="321"/>
      <c r="CK20" s="341"/>
      <c r="CL20" s="341"/>
      <c r="CM20" s="341"/>
      <c r="CN20" s="341"/>
      <c r="CO20" s="341"/>
      <c r="CP20" s="341"/>
      <c r="CQ20" s="310"/>
      <c r="CR20" s="341"/>
      <c r="CS20" s="341"/>
      <c r="CT20" s="341"/>
      <c r="CU20" s="341"/>
      <c r="CV20" s="341"/>
      <c r="CW20" s="310"/>
      <c r="CX20" s="341"/>
      <c r="CY20" s="341"/>
      <c r="CZ20" s="341"/>
      <c r="DA20" s="341"/>
      <c r="DB20" s="310"/>
      <c r="DC20" s="341"/>
      <c r="DD20" s="310"/>
      <c r="DE20" s="310"/>
    </row>
    <row r="21" spans="1:109" s="4" customFormat="1" ht="48">
      <c r="A21" s="582"/>
      <c r="B21" s="593"/>
      <c r="C21" s="586"/>
      <c r="D21" s="574"/>
      <c r="E21" s="80"/>
      <c r="F21" s="213"/>
      <c r="G21" s="213"/>
      <c r="H21" s="339"/>
      <c r="I21" s="339"/>
      <c r="J21" s="339"/>
      <c r="K21" s="339"/>
      <c r="L21" s="339"/>
      <c r="M21" s="339"/>
      <c r="N21" s="339"/>
      <c r="O21" s="339"/>
      <c r="P21" s="339"/>
      <c r="Q21" s="339"/>
      <c r="R21" s="339"/>
      <c r="S21" s="339"/>
      <c r="T21" s="339"/>
      <c r="U21" s="339"/>
      <c r="V21" s="339"/>
      <c r="W21" s="339"/>
      <c r="X21" s="339"/>
      <c r="Y21" s="339"/>
      <c r="Z21" s="339"/>
      <c r="AA21" s="339"/>
      <c r="AB21" s="339"/>
      <c r="AC21" s="339"/>
      <c r="AD21" s="339"/>
      <c r="AE21" s="339"/>
      <c r="AF21" s="339"/>
      <c r="AG21" s="339"/>
      <c r="AH21" s="339"/>
      <c r="AI21" s="339"/>
      <c r="AJ21" s="419"/>
      <c r="AK21" s="419"/>
      <c r="AL21" s="246" t="s">
        <v>454</v>
      </c>
      <c r="AM21" s="80">
        <v>41640</v>
      </c>
      <c r="AN21" s="80">
        <v>42004</v>
      </c>
      <c r="AO21" s="319"/>
      <c r="AP21" s="319"/>
      <c r="AQ21" s="319"/>
      <c r="AR21" s="319"/>
      <c r="AS21" s="319"/>
      <c r="AT21" s="319"/>
      <c r="AU21" s="319"/>
      <c r="AV21" s="319"/>
      <c r="AW21" s="319"/>
      <c r="AX21" s="571"/>
      <c r="AY21" s="571"/>
      <c r="AZ21" s="571"/>
      <c r="BA21" s="571"/>
      <c r="BB21" s="571"/>
      <c r="BC21" s="571"/>
      <c r="BD21" s="571"/>
      <c r="BE21" s="571"/>
      <c r="BF21" s="571"/>
      <c r="BG21" s="571"/>
      <c r="BH21" s="571"/>
      <c r="BI21" s="571"/>
      <c r="BJ21" s="571"/>
      <c r="BK21" s="571"/>
      <c r="BL21" s="571"/>
      <c r="BM21" s="455"/>
      <c r="BN21" s="456"/>
      <c r="BO21" s="455"/>
      <c r="BP21" s="456"/>
      <c r="BQ21" s="455"/>
      <c r="BR21" s="456"/>
      <c r="BS21" s="541"/>
      <c r="BT21" s="542"/>
      <c r="BU21" s="363"/>
      <c r="BV21" s="341"/>
      <c r="BW21" s="341"/>
      <c r="BX21" s="341"/>
      <c r="BY21" s="341"/>
      <c r="BZ21" s="341"/>
      <c r="CA21" s="341"/>
      <c r="CB21" s="341"/>
      <c r="CC21" s="341"/>
      <c r="CD21" s="341"/>
      <c r="CE21" s="341"/>
      <c r="CF21" s="341"/>
      <c r="CG21" s="341"/>
      <c r="CH21" s="341"/>
      <c r="CI21" s="310"/>
      <c r="CJ21" s="321"/>
      <c r="CK21" s="341"/>
      <c r="CL21" s="341"/>
      <c r="CM21" s="341"/>
      <c r="CN21" s="341"/>
      <c r="CO21" s="341"/>
      <c r="CP21" s="341"/>
      <c r="CQ21" s="310"/>
      <c r="CR21" s="341"/>
      <c r="CS21" s="341"/>
      <c r="CT21" s="341"/>
      <c r="CU21" s="341"/>
      <c r="CV21" s="341"/>
      <c r="CW21" s="310"/>
      <c r="CX21" s="341"/>
      <c r="CY21" s="341"/>
      <c r="CZ21" s="341"/>
      <c r="DA21" s="341"/>
      <c r="DB21" s="310"/>
      <c r="DC21" s="341"/>
      <c r="DD21" s="310"/>
      <c r="DE21" s="310"/>
    </row>
    <row r="22" spans="1:109" s="4" customFormat="1" ht="54.75" customHeight="1">
      <c r="A22" s="582"/>
      <c r="B22" s="593"/>
      <c r="C22" s="586"/>
      <c r="D22" s="573" t="s">
        <v>458</v>
      </c>
      <c r="E22" s="213"/>
      <c r="F22" s="80"/>
      <c r="G22" s="80"/>
      <c r="H22" s="339"/>
      <c r="I22" s="339"/>
      <c r="J22" s="339"/>
      <c r="K22" s="339"/>
      <c r="L22" s="339"/>
      <c r="M22" s="339"/>
      <c r="N22" s="339"/>
      <c r="O22" s="339"/>
      <c r="P22" s="339"/>
      <c r="Q22" s="339"/>
      <c r="R22" s="339"/>
      <c r="S22" s="339"/>
      <c r="T22" s="339"/>
      <c r="U22" s="339"/>
      <c r="V22" s="339"/>
      <c r="W22" s="339"/>
      <c r="X22" s="339"/>
      <c r="Y22" s="339"/>
      <c r="Z22" s="339"/>
      <c r="AA22" s="339"/>
      <c r="AB22" s="339"/>
      <c r="AC22" s="339"/>
      <c r="AD22" s="339"/>
      <c r="AE22" s="339"/>
      <c r="AF22" s="339"/>
      <c r="AG22" s="339"/>
      <c r="AH22" s="339"/>
      <c r="AI22" s="339"/>
      <c r="AJ22" s="319" t="s">
        <v>27</v>
      </c>
      <c r="AK22" s="319" t="s">
        <v>109</v>
      </c>
      <c r="AL22" s="246" t="s">
        <v>456</v>
      </c>
      <c r="AM22" s="80">
        <v>41443</v>
      </c>
      <c r="AN22" s="80">
        <v>41639</v>
      </c>
      <c r="AO22" s="319"/>
      <c r="AP22" s="319"/>
      <c r="AQ22" s="319"/>
      <c r="AR22" s="319"/>
      <c r="AS22" s="319"/>
      <c r="AT22" s="319"/>
      <c r="AU22" s="319"/>
      <c r="AV22" s="319"/>
      <c r="AW22" s="319"/>
      <c r="AX22" s="571"/>
      <c r="AY22" s="571"/>
      <c r="AZ22" s="571"/>
      <c r="BA22" s="571"/>
      <c r="BB22" s="571"/>
      <c r="BC22" s="571"/>
      <c r="BD22" s="571"/>
      <c r="BE22" s="571"/>
      <c r="BF22" s="571"/>
      <c r="BG22" s="571"/>
      <c r="BH22" s="571"/>
      <c r="BI22" s="571"/>
      <c r="BJ22" s="571"/>
      <c r="BK22" s="571"/>
      <c r="BL22" s="571"/>
      <c r="BM22" s="455"/>
      <c r="BN22" s="456"/>
      <c r="BO22" s="455"/>
      <c r="BP22" s="456"/>
      <c r="BQ22" s="455"/>
      <c r="BR22" s="456"/>
      <c r="BS22" s="541"/>
      <c r="BT22" s="542"/>
      <c r="BU22" s="363"/>
      <c r="BV22" s="341"/>
      <c r="BW22" s="341"/>
      <c r="BX22" s="341"/>
      <c r="BY22" s="341"/>
      <c r="BZ22" s="341"/>
      <c r="CA22" s="341"/>
      <c r="CB22" s="341"/>
      <c r="CC22" s="341"/>
      <c r="CD22" s="341"/>
      <c r="CE22" s="341"/>
      <c r="CF22" s="341"/>
      <c r="CG22" s="341"/>
      <c r="CH22" s="341">
        <f>SUM(BW22:CG23)</f>
        <v>0</v>
      </c>
      <c r="CI22" s="310">
        <f>CH22+BV22</f>
        <v>0</v>
      </c>
      <c r="CJ22" s="321"/>
      <c r="CK22" s="341"/>
      <c r="CL22" s="341"/>
      <c r="CM22" s="341"/>
      <c r="CN22" s="341"/>
      <c r="CO22" s="341"/>
      <c r="CP22" s="341">
        <f>SUM(CK22:CO23)</f>
        <v>0</v>
      </c>
      <c r="CQ22" s="310">
        <f>CP22+CJ22</f>
        <v>0</v>
      </c>
      <c r="CR22" s="341">
        <v>5000000</v>
      </c>
      <c r="CS22" s="341"/>
      <c r="CT22" s="341"/>
      <c r="CU22" s="341"/>
      <c r="CV22" s="341">
        <f>SUM(CS22:CU23)</f>
        <v>0</v>
      </c>
      <c r="CW22" s="310">
        <f>CV22+CR22</f>
        <v>5000000</v>
      </c>
      <c r="CX22" s="341"/>
      <c r="CY22" s="341"/>
      <c r="CZ22" s="341"/>
      <c r="DA22" s="341">
        <f>SUM(CY22:CZ23)</f>
        <v>0</v>
      </c>
      <c r="DB22" s="310">
        <f>DA22+CX22</f>
        <v>0</v>
      </c>
      <c r="DC22" s="341"/>
      <c r="DD22" s="310">
        <f>DB22+CW22+CQ22+CI22+DC22</f>
        <v>5000000</v>
      </c>
      <c r="DE22" s="310"/>
    </row>
    <row r="23" spans="1:109" s="4" customFormat="1" ht="60">
      <c r="A23" s="582"/>
      <c r="B23" s="593"/>
      <c r="C23" s="586"/>
      <c r="D23" s="574"/>
      <c r="E23" s="213"/>
      <c r="F23" s="213"/>
      <c r="G23" s="213"/>
      <c r="H23" s="339"/>
      <c r="I23" s="339"/>
      <c r="J23" s="339"/>
      <c r="K23" s="339"/>
      <c r="L23" s="339"/>
      <c r="M23" s="339"/>
      <c r="N23" s="339"/>
      <c r="O23" s="339"/>
      <c r="P23" s="339"/>
      <c r="Q23" s="339"/>
      <c r="R23" s="339"/>
      <c r="S23" s="339"/>
      <c r="T23" s="339"/>
      <c r="U23" s="339"/>
      <c r="V23" s="339"/>
      <c r="W23" s="339"/>
      <c r="X23" s="339"/>
      <c r="Y23" s="339"/>
      <c r="Z23" s="339"/>
      <c r="AA23" s="339"/>
      <c r="AB23" s="339"/>
      <c r="AC23" s="339"/>
      <c r="AD23" s="339"/>
      <c r="AE23" s="339"/>
      <c r="AF23" s="339"/>
      <c r="AG23" s="339"/>
      <c r="AH23" s="339"/>
      <c r="AI23" s="339"/>
      <c r="AJ23" s="319"/>
      <c r="AK23" s="319"/>
      <c r="AL23" s="246" t="s">
        <v>241</v>
      </c>
      <c r="AM23" s="80">
        <v>41518</v>
      </c>
      <c r="AN23" s="80">
        <v>41639</v>
      </c>
      <c r="AO23" s="319"/>
      <c r="AP23" s="319"/>
      <c r="AQ23" s="319"/>
      <c r="AR23" s="319"/>
      <c r="AS23" s="319"/>
      <c r="AT23" s="319"/>
      <c r="AU23" s="319"/>
      <c r="AV23" s="319"/>
      <c r="AW23" s="319"/>
      <c r="AX23" s="571"/>
      <c r="AY23" s="571"/>
      <c r="AZ23" s="571"/>
      <c r="BA23" s="571"/>
      <c r="BB23" s="571"/>
      <c r="BC23" s="571"/>
      <c r="BD23" s="571"/>
      <c r="BE23" s="571"/>
      <c r="BF23" s="571"/>
      <c r="BG23" s="571"/>
      <c r="BH23" s="571"/>
      <c r="BI23" s="571"/>
      <c r="BJ23" s="571"/>
      <c r="BK23" s="571"/>
      <c r="BL23" s="571"/>
      <c r="BM23" s="455"/>
      <c r="BN23" s="456"/>
      <c r="BO23" s="455"/>
      <c r="BP23" s="456"/>
      <c r="BQ23" s="455"/>
      <c r="BR23" s="456"/>
      <c r="BS23" s="541"/>
      <c r="BT23" s="542"/>
      <c r="BU23" s="363"/>
      <c r="BV23" s="341"/>
      <c r="BW23" s="341"/>
      <c r="BX23" s="341"/>
      <c r="BY23" s="341"/>
      <c r="BZ23" s="341"/>
      <c r="CA23" s="341"/>
      <c r="CB23" s="341"/>
      <c r="CC23" s="341"/>
      <c r="CD23" s="341"/>
      <c r="CE23" s="341"/>
      <c r="CF23" s="341"/>
      <c r="CG23" s="341"/>
      <c r="CH23" s="341"/>
      <c r="CI23" s="310"/>
      <c r="CJ23" s="321"/>
      <c r="CK23" s="341"/>
      <c r="CL23" s="341"/>
      <c r="CM23" s="341"/>
      <c r="CN23" s="341"/>
      <c r="CO23" s="341"/>
      <c r="CP23" s="341"/>
      <c r="CQ23" s="310"/>
      <c r="CR23" s="341"/>
      <c r="CS23" s="341"/>
      <c r="CT23" s="341"/>
      <c r="CU23" s="341"/>
      <c r="CV23" s="341"/>
      <c r="CW23" s="310"/>
      <c r="CX23" s="341"/>
      <c r="CY23" s="341"/>
      <c r="CZ23" s="341"/>
      <c r="DA23" s="341"/>
      <c r="DB23" s="310"/>
      <c r="DC23" s="341"/>
      <c r="DD23" s="310"/>
      <c r="DE23" s="310"/>
    </row>
    <row r="24" spans="1:109" s="4" customFormat="1" ht="66" customHeight="1">
      <c r="A24" s="582"/>
      <c r="B24" s="593"/>
      <c r="C24" s="586"/>
      <c r="D24" s="573" t="s">
        <v>459</v>
      </c>
      <c r="E24" s="213"/>
      <c r="F24" s="213"/>
      <c r="G24" s="80"/>
      <c r="H24" s="339"/>
      <c r="I24" s="339"/>
      <c r="J24" s="339"/>
      <c r="K24" s="339"/>
      <c r="L24" s="339"/>
      <c r="M24" s="339"/>
      <c r="N24" s="339"/>
      <c r="O24" s="339"/>
      <c r="P24" s="339"/>
      <c r="Q24" s="339"/>
      <c r="R24" s="339"/>
      <c r="S24" s="339"/>
      <c r="T24" s="339"/>
      <c r="U24" s="339"/>
      <c r="V24" s="339"/>
      <c r="W24" s="339"/>
      <c r="X24" s="339"/>
      <c r="Y24" s="339"/>
      <c r="Z24" s="339"/>
      <c r="AA24" s="339"/>
      <c r="AB24" s="339"/>
      <c r="AC24" s="339"/>
      <c r="AD24" s="339"/>
      <c r="AE24" s="339"/>
      <c r="AF24" s="339"/>
      <c r="AG24" s="339"/>
      <c r="AH24" s="339"/>
      <c r="AI24" s="339"/>
      <c r="AJ24" s="319" t="s">
        <v>27</v>
      </c>
      <c r="AK24" s="319" t="s">
        <v>109</v>
      </c>
      <c r="AL24" s="246" t="s">
        <v>242</v>
      </c>
      <c r="AM24" s="80">
        <v>41443</v>
      </c>
      <c r="AN24" s="80">
        <v>41639</v>
      </c>
      <c r="AO24" s="319"/>
      <c r="AP24" s="319"/>
      <c r="AQ24" s="319"/>
      <c r="AR24" s="319"/>
      <c r="AS24" s="319"/>
      <c r="AT24" s="319"/>
      <c r="AU24" s="319"/>
      <c r="AV24" s="319"/>
      <c r="AW24" s="319"/>
      <c r="AX24" s="571"/>
      <c r="AY24" s="571"/>
      <c r="AZ24" s="571"/>
      <c r="BA24" s="571"/>
      <c r="BB24" s="571"/>
      <c r="BC24" s="571"/>
      <c r="BD24" s="571"/>
      <c r="BE24" s="571"/>
      <c r="BF24" s="571"/>
      <c r="BG24" s="571"/>
      <c r="BH24" s="571"/>
      <c r="BI24" s="571"/>
      <c r="BJ24" s="571"/>
      <c r="BK24" s="571"/>
      <c r="BL24" s="571"/>
      <c r="BM24" s="455"/>
      <c r="BN24" s="456"/>
      <c r="BO24" s="455"/>
      <c r="BP24" s="456"/>
      <c r="BQ24" s="455"/>
      <c r="BR24" s="456"/>
      <c r="BS24" s="541"/>
      <c r="BT24" s="542"/>
      <c r="BU24" s="363"/>
      <c r="BV24" s="341"/>
      <c r="BW24" s="341"/>
      <c r="BX24" s="341"/>
      <c r="BY24" s="341"/>
      <c r="BZ24" s="341"/>
      <c r="CA24" s="341"/>
      <c r="CB24" s="341"/>
      <c r="CC24" s="341"/>
      <c r="CD24" s="341"/>
      <c r="CE24" s="341"/>
      <c r="CF24" s="341"/>
      <c r="CG24" s="341"/>
      <c r="CH24" s="341">
        <f>SUM(BW24:CG25)</f>
        <v>0</v>
      </c>
      <c r="CI24" s="310">
        <f>CH24+BV24</f>
        <v>0</v>
      </c>
      <c r="CJ24" s="321"/>
      <c r="CK24" s="341"/>
      <c r="CL24" s="341"/>
      <c r="CM24" s="341"/>
      <c r="CN24" s="341"/>
      <c r="CO24" s="341"/>
      <c r="CP24" s="341">
        <f>SUM(CK24:CO25)</f>
        <v>0</v>
      </c>
      <c r="CQ24" s="310">
        <f>CP24+CJ24</f>
        <v>0</v>
      </c>
      <c r="CR24" s="341">
        <v>10000000</v>
      </c>
      <c r="CS24" s="341"/>
      <c r="CT24" s="341"/>
      <c r="CU24" s="341"/>
      <c r="CV24" s="341">
        <f>SUM(CS24:CU25)</f>
        <v>0</v>
      </c>
      <c r="CW24" s="310">
        <f>CV24+CR24</f>
        <v>10000000</v>
      </c>
      <c r="CX24" s="341"/>
      <c r="CY24" s="341"/>
      <c r="CZ24" s="341"/>
      <c r="DA24" s="341">
        <f>SUM(CY24:CZ25)</f>
        <v>0</v>
      </c>
      <c r="DB24" s="310">
        <f>DA24+CX24</f>
        <v>0</v>
      </c>
      <c r="DC24" s="341"/>
      <c r="DD24" s="310">
        <f>DB24+CW24+CQ24+CI24+DC24</f>
        <v>10000000</v>
      </c>
      <c r="DE24" s="310"/>
    </row>
    <row r="25" spans="1:109" s="4" customFormat="1" ht="60">
      <c r="A25" s="582"/>
      <c r="B25" s="593"/>
      <c r="C25" s="587"/>
      <c r="D25" s="574"/>
      <c r="E25" s="80"/>
      <c r="F25" s="213"/>
      <c r="G25" s="213"/>
      <c r="H25" s="339"/>
      <c r="I25" s="339"/>
      <c r="J25" s="339"/>
      <c r="K25" s="339"/>
      <c r="L25" s="339"/>
      <c r="M25" s="339"/>
      <c r="N25" s="339"/>
      <c r="O25" s="339"/>
      <c r="P25" s="339"/>
      <c r="Q25" s="339"/>
      <c r="R25" s="339"/>
      <c r="S25" s="339"/>
      <c r="T25" s="339"/>
      <c r="U25" s="339"/>
      <c r="V25" s="339"/>
      <c r="W25" s="339"/>
      <c r="X25" s="339"/>
      <c r="Y25" s="339"/>
      <c r="Z25" s="339"/>
      <c r="AA25" s="339"/>
      <c r="AB25" s="339"/>
      <c r="AC25" s="339"/>
      <c r="AD25" s="339"/>
      <c r="AE25" s="339"/>
      <c r="AF25" s="339"/>
      <c r="AG25" s="339"/>
      <c r="AH25" s="339"/>
      <c r="AI25" s="339"/>
      <c r="AJ25" s="319"/>
      <c r="AK25" s="319"/>
      <c r="AL25" s="246" t="s">
        <v>88</v>
      </c>
      <c r="AM25" s="80">
        <v>41640</v>
      </c>
      <c r="AN25" s="80">
        <v>42004</v>
      </c>
      <c r="AO25" s="319"/>
      <c r="AP25" s="319"/>
      <c r="AQ25" s="319"/>
      <c r="AR25" s="319"/>
      <c r="AS25" s="319"/>
      <c r="AT25" s="319"/>
      <c r="AU25" s="319"/>
      <c r="AV25" s="319"/>
      <c r="AW25" s="319"/>
      <c r="AX25" s="571"/>
      <c r="AY25" s="571"/>
      <c r="AZ25" s="571"/>
      <c r="BA25" s="571"/>
      <c r="BB25" s="571"/>
      <c r="BC25" s="571"/>
      <c r="BD25" s="571"/>
      <c r="BE25" s="571"/>
      <c r="BF25" s="571"/>
      <c r="BG25" s="571"/>
      <c r="BH25" s="571"/>
      <c r="BI25" s="571"/>
      <c r="BJ25" s="571"/>
      <c r="BK25" s="571"/>
      <c r="BL25" s="571"/>
      <c r="BM25" s="457"/>
      <c r="BN25" s="458"/>
      <c r="BO25" s="457"/>
      <c r="BP25" s="458"/>
      <c r="BQ25" s="457"/>
      <c r="BR25" s="458"/>
      <c r="BS25" s="543"/>
      <c r="BT25" s="544"/>
      <c r="BU25" s="363"/>
      <c r="BV25" s="341"/>
      <c r="BW25" s="341"/>
      <c r="BX25" s="341"/>
      <c r="BY25" s="341"/>
      <c r="BZ25" s="341"/>
      <c r="CA25" s="341"/>
      <c r="CB25" s="341"/>
      <c r="CC25" s="341"/>
      <c r="CD25" s="341"/>
      <c r="CE25" s="341"/>
      <c r="CF25" s="341"/>
      <c r="CG25" s="341"/>
      <c r="CH25" s="341"/>
      <c r="CI25" s="310"/>
      <c r="CJ25" s="321"/>
      <c r="CK25" s="341"/>
      <c r="CL25" s="341"/>
      <c r="CM25" s="341"/>
      <c r="CN25" s="341"/>
      <c r="CO25" s="341"/>
      <c r="CP25" s="341"/>
      <c r="CQ25" s="310"/>
      <c r="CR25" s="341"/>
      <c r="CS25" s="341"/>
      <c r="CT25" s="341"/>
      <c r="CU25" s="341"/>
      <c r="CV25" s="341"/>
      <c r="CW25" s="310"/>
      <c r="CX25" s="341"/>
      <c r="CY25" s="341"/>
      <c r="CZ25" s="341"/>
      <c r="DA25" s="341"/>
      <c r="DB25" s="310"/>
      <c r="DC25" s="341"/>
      <c r="DD25" s="310"/>
      <c r="DE25" s="310"/>
    </row>
    <row r="26" spans="1:109" s="4" customFormat="1" ht="33" customHeight="1">
      <c r="A26" s="582"/>
      <c r="B26" s="593"/>
      <c r="C26" s="588" t="s">
        <v>243</v>
      </c>
      <c r="D26" s="573" t="s">
        <v>460</v>
      </c>
      <c r="E26" s="213"/>
      <c r="F26" s="80"/>
      <c r="G26" s="80"/>
      <c r="H26" s="341"/>
      <c r="I26" s="341"/>
      <c r="J26" s="341"/>
      <c r="K26" s="341"/>
      <c r="L26" s="341"/>
      <c r="M26" s="341"/>
      <c r="N26" s="341"/>
      <c r="O26" s="341"/>
      <c r="P26" s="341"/>
      <c r="Q26" s="341"/>
      <c r="R26" s="341"/>
      <c r="S26" s="341"/>
      <c r="T26" s="341"/>
      <c r="U26" s="341"/>
      <c r="V26" s="341"/>
      <c r="W26" s="341"/>
      <c r="X26" s="341"/>
      <c r="Y26" s="341"/>
      <c r="Z26" s="341"/>
      <c r="AA26" s="341"/>
      <c r="AB26" s="341"/>
      <c r="AC26" s="341"/>
      <c r="AD26" s="341"/>
      <c r="AE26" s="341"/>
      <c r="AF26" s="341"/>
      <c r="AG26" s="341"/>
      <c r="AH26" s="341"/>
      <c r="AI26" s="341"/>
      <c r="AJ26" s="418" t="s">
        <v>27</v>
      </c>
      <c r="AK26" s="418" t="s">
        <v>89</v>
      </c>
      <c r="AL26" s="246" t="s">
        <v>244</v>
      </c>
      <c r="AM26" s="80">
        <v>41443</v>
      </c>
      <c r="AN26" s="80">
        <v>41474</v>
      </c>
      <c r="AO26" s="319">
        <v>600000000</v>
      </c>
      <c r="AP26" s="319">
        <v>0</v>
      </c>
      <c r="AQ26" s="319">
        <f>AO26-AP26</f>
        <v>600000000</v>
      </c>
      <c r="AR26" s="319">
        <v>600000000</v>
      </c>
      <c r="AS26" s="319">
        <v>0</v>
      </c>
      <c r="AT26" s="319">
        <f>AR26-AS26</f>
        <v>600000000</v>
      </c>
      <c r="AU26" s="319">
        <v>600000000</v>
      </c>
      <c r="AV26" s="319">
        <v>0</v>
      </c>
      <c r="AW26" s="319">
        <f>AU26-AV26</f>
        <v>600000000</v>
      </c>
      <c r="AX26" s="571"/>
      <c r="AY26" s="571"/>
      <c r="AZ26" s="571"/>
      <c r="BA26" s="571"/>
      <c r="BB26" s="571"/>
      <c r="BC26" s="571"/>
      <c r="BD26" s="571"/>
      <c r="BE26" s="571"/>
      <c r="BF26" s="571"/>
      <c r="BG26" s="571"/>
      <c r="BH26" s="571"/>
      <c r="BI26" s="571"/>
      <c r="BJ26" s="571"/>
      <c r="BK26" s="571"/>
      <c r="BL26" s="571"/>
      <c r="BM26" s="453">
        <v>600000000</v>
      </c>
      <c r="BN26" s="454"/>
      <c r="BO26" s="447">
        <v>1187641953</v>
      </c>
      <c r="BP26" s="448"/>
      <c r="BQ26" s="447">
        <v>747750000</v>
      </c>
      <c r="BR26" s="448"/>
      <c r="BS26" s="447">
        <f>SUM(BM26:BR30)</f>
        <v>2535391953</v>
      </c>
      <c r="BT26" s="448"/>
      <c r="BU26" s="341">
        <v>3000000000</v>
      </c>
      <c r="BV26" s="341">
        <v>100000000</v>
      </c>
      <c r="BW26" s="341"/>
      <c r="BX26" s="341"/>
      <c r="BY26" s="341"/>
      <c r="BZ26" s="341"/>
      <c r="CA26" s="310"/>
      <c r="CB26" s="310"/>
      <c r="CC26" s="310"/>
      <c r="CD26" s="310"/>
      <c r="CE26" s="310"/>
      <c r="CF26" s="310"/>
      <c r="CG26" s="310"/>
      <c r="CH26" s="310">
        <f>SUM(BW26:CG29)</f>
        <v>0</v>
      </c>
      <c r="CI26" s="310">
        <f>CH26+BV26</f>
        <v>100000000</v>
      </c>
      <c r="CJ26" s="321"/>
      <c r="CK26" s="341"/>
      <c r="CL26" s="341"/>
      <c r="CM26" s="341"/>
      <c r="CN26" s="341"/>
      <c r="CO26" s="341"/>
      <c r="CP26" s="310">
        <f>SUM(CK26:CO29)</f>
        <v>0</v>
      </c>
      <c r="CQ26" s="310">
        <f>CP26+CJ26</f>
        <v>0</v>
      </c>
      <c r="CR26" s="341">
        <v>30000000</v>
      </c>
      <c r="CS26" s="341"/>
      <c r="CT26" s="341"/>
      <c r="CU26" s="341"/>
      <c r="CV26" s="310">
        <f>SUM(CS26:CU29)</f>
        <v>0</v>
      </c>
      <c r="CW26" s="310">
        <f>CV26+CR26</f>
        <v>30000000</v>
      </c>
      <c r="CX26" s="341"/>
      <c r="CY26" s="341"/>
      <c r="CZ26" s="341"/>
      <c r="DA26" s="310">
        <f>SUM(CY26:CZ29)</f>
        <v>0</v>
      </c>
      <c r="DB26" s="310">
        <f>DA26+CX26</f>
        <v>0</v>
      </c>
      <c r="DC26" s="341"/>
      <c r="DD26" s="310">
        <f>DB26+CW26+CQ26+CI26+DC26</f>
        <v>130000000</v>
      </c>
      <c r="DE26" s="310"/>
    </row>
    <row r="27" spans="1:109" s="4" customFormat="1" ht="48">
      <c r="A27" s="582"/>
      <c r="B27" s="593"/>
      <c r="C27" s="589"/>
      <c r="D27" s="574"/>
      <c r="E27" s="213">
        <v>3</v>
      </c>
      <c r="F27" s="80"/>
      <c r="G27" s="80"/>
      <c r="H27" s="341"/>
      <c r="I27" s="341"/>
      <c r="J27" s="341"/>
      <c r="K27" s="341"/>
      <c r="L27" s="341"/>
      <c r="M27" s="341"/>
      <c r="N27" s="341"/>
      <c r="O27" s="341"/>
      <c r="P27" s="341"/>
      <c r="Q27" s="341"/>
      <c r="R27" s="341"/>
      <c r="S27" s="341"/>
      <c r="T27" s="341"/>
      <c r="U27" s="341"/>
      <c r="V27" s="341"/>
      <c r="W27" s="341"/>
      <c r="X27" s="341"/>
      <c r="Y27" s="341"/>
      <c r="Z27" s="341"/>
      <c r="AA27" s="341"/>
      <c r="AB27" s="341"/>
      <c r="AC27" s="341"/>
      <c r="AD27" s="341"/>
      <c r="AE27" s="341"/>
      <c r="AF27" s="341"/>
      <c r="AG27" s="341"/>
      <c r="AH27" s="341"/>
      <c r="AI27" s="341"/>
      <c r="AJ27" s="420"/>
      <c r="AK27" s="420"/>
      <c r="AL27" s="246" t="s">
        <v>462</v>
      </c>
      <c r="AM27" s="80">
        <v>41477</v>
      </c>
      <c r="AN27" s="80">
        <v>41578</v>
      </c>
      <c r="AO27" s="319"/>
      <c r="AP27" s="319"/>
      <c r="AQ27" s="319"/>
      <c r="AR27" s="319"/>
      <c r="AS27" s="319"/>
      <c r="AT27" s="319"/>
      <c r="AU27" s="319"/>
      <c r="AV27" s="319"/>
      <c r="AW27" s="319"/>
      <c r="AX27" s="571"/>
      <c r="AY27" s="571"/>
      <c r="AZ27" s="571"/>
      <c r="BA27" s="571"/>
      <c r="BB27" s="571"/>
      <c r="BC27" s="571"/>
      <c r="BD27" s="571"/>
      <c r="BE27" s="571"/>
      <c r="BF27" s="571"/>
      <c r="BG27" s="571"/>
      <c r="BH27" s="571"/>
      <c r="BI27" s="571"/>
      <c r="BJ27" s="571"/>
      <c r="BK27" s="571"/>
      <c r="BL27" s="571"/>
      <c r="BM27" s="455"/>
      <c r="BN27" s="456"/>
      <c r="BO27" s="449"/>
      <c r="BP27" s="450"/>
      <c r="BQ27" s="449"/>
      <c r="BR27" s="450"/>
      <c r="BS27" s="449"/>
      <c r="BT27" s="450"/>
      <c r="BU27" s="341"/>
      <c r="BV27" s="341"/>
      <c r="BW27" s="341"/>
      <c r="BX27" s="341"/>
      <c r="BY27" s="341"/>
      <c r="BZ27" s="341"/>
      <c r="CA27" s="310"/>
      <c r="CB27" s="310"/>
      <c r="CC27" s="310"/>
      <c r="CD27" s="310"/>
      <c r="CE27" s="310"/>
      <c r="CF27" s="310"/>
      <c r="CG27" s="310"/>
      <c r="CH27" s="310"/>
      <c r="CI27" s="310"/>
      <c r="CJ27" s="321"/>
      <c r="CK27" s="341"/>
      <c r="CL27" s="341"/>
      <c r="CM27" s="341"/>
      <c r="CN27" s="341"/>
      <c r="CO27" s="341"/>
      <c r="CP27" s="310"/>
      <c r="CQ27" s="310"/>
      <c r="CR27" s="341"/>
      <c r="CS27" s="341"/>
      <c r="CT27" s="341"/>
      <c r="CU27" s="341"/>
      <c r="CV27" s="310"/>
      <c r="CW27" s="310"/>
      <c r="CX27" s="341"/>
      <c r="CY27" s="341"/>
      <c r="CZ27" s="341"/>
      <c r="DA27" s="310"/>
      <c r="DB27" s="310"/>
      <c r="DC27" s="341"/>
      <c r="DD27" s="310"/>
      <c r="DE27" s="310"/>
    </row>
    <row r="28" spans="1:109" s="4" customFormat="1" ht="72">
      <c r="A28" s="582"/>
      <c r="B28" s="593"/>
      <c r="C28" s="589"/>
      <c r="D28" s="246" t="s">
        <v>461</v>
      </c>
      <c r="E28" s="213"/>
      <c r="F28" s="213">
        <v>1</v>
      </c>
      <c r="G28" s="80"/>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80" t="s">
        <v>27</v>
      </c>
      <c r="AK28" s="80" t="s">
        <v>29</v>
      </c>
      <c r="AL28" s="246" t="s">
        <v>245</v>
      </c>
      <c r="AM28" s="80">
        <v>41579</v>
      </c>
      <c r="AN28" s="80">
        <v>41639</v>
      </c>
      <c r="AO28" s="319"/>
      <c r="AP28" s="319"/>
      <c r="AQ28" s="319"/>
      <c r="AR28" s="319"/>
      <c r="AS28" s="319"/>
      <c r="AT28" s="319"/>
      <c r="AU28" s="319"/>
      <c r="AV28" s="319"/>
      <c r="AW28" s="319"/>
      <c r="AX28" s="571"/>
      <c r="AY28" s="571"/>
      <c r="AZ28" s="571"/>
      <c r="BA28" s="571"/>
      <c r="BB28" s="571"/>
      <c r="BC28" s="571"/>
      <c r="BD28" s="571"/>
      <c r="BE28" s="571"/>
      <c r="BF28" s="571"/>
      <c r="BG28" s="571"/>
      <c r="BH28" s="571"/>
      <c r="BI28" s="571"/>
      <c r="BJ28" s="571"/>
      <c r="BK28" s="571"/>
      <c r="BL28" s="571"/>
      <c r="BM28" s="455"/>
      <c r="BN28" s="456"/>
      <c r="BO28" s="449"/>
      <c r="BP28" s="450"/>
      <c r="BQ28" s="449"/>
      <c r="BR28" s="450"/>
      <c r="BS28" s="449"/>
      <c r="BT28" s="450"/>
      <c r="BU28" s="341"/>
      <c r="BV28" s="341"/>
      <c r="BW28" s="341"/>
      <c r="BX28" s="341"/>
      <c r="BY28" s="341"/>
      <c r="BZ28" s="341"/>
      <c r="CA28" s="310"/>
      <c r="CB28" s="310"/>
      <c r="CC28" s="310"/>
      <c r="CD28" s="310"/>
      <c r="CE28" s="310"/>
      <c r="CF28" s="310"/>
      <c r="CG28" s="310"/>
      <c r="CH28" s="310"/>
      <c r="CI28" s="310"/>
      <c r="CJ28" s="321"/>
      <c r="CK28" s="341"/>
      <c r="CL28" s="341"/>
      <c r="CM28" s="341"/>
      <c r="CN28" s="341"/>
      <c r="CO28" s="341"/>
      <c r="CP28" s="310"/>
      <c r="CQ28" s="310"/>
      <c r="CR28" s="341"/>
      <c r="CS28" s="341"/>
      <c r="CT28" s="341"/>
      <c r="CU28" s="341"/>
      <c r="CV28" s="310"/>
      <c r="CW28" s="310"/>
      <c r="CX28" s="341"/>
      <c r="CY28" s="341"/>
      <c r="CZ28" s="341"/>
      <c r="DA28" s="310"/>
      <c r="DB28" s="310"/>
      <c r="DC28" s="341"/>
      <c r="DD28" s="310"/>
      <c r="DE28" s="310"/>
    </row>
    <row r="29" spans="1:109" s="4" customFormat="1" ht="33" customHeight="1">
      <c r="A29" s="582"/>
      <c r="B29" s="593"/>
      <c r="C29" s="589"/>
      <c r="D29" s="573" t="s">
        <v>28</v>
      </c>
      <c r="E29" s="80"/>
      <c r="F29" s="213"/>
      <c r="G29" s="80"/>
      <c r="H29" s="341"/>
      <c r="I29" s="341"/>
      <c r="J29" s="341"/>
      <c r="K29" s="341"/>
      <c r="L29" s="341"/>
      <c r="M29" s="341"/>
      <c r="N29" s="341"/>
      <c r="O29" s="341"/>
      <c r="P29" s="341"/>
      <c r="Q29" s="341"/>
      <c r="R29" s="341"/>
      <c r="S29" s="341"/>
      <c r="T29" s="341"/>
      <c r="U29" s="341"/>
      <c r="V29" s="341"/>
      <c r="W29" s="341"/>
      <c r="X29" s="341"/>
      <c r="Y29" s="341"/>
      <c r="Z29" s="341"/>
      <c r="AA29" s="341"/>
      <c r="AB29" s="341"/>
      <c r="AC29" s="341"/>
      <c r="AD29" s="341"/>
      <c r="AE29" s="341"/>
      <c r="AF29" s="341"/>
      <c r="AG29" s="341"/>
      <c r="AH29" s="341"/>
      <c r="AI29" s="341"/>
      <c r="AJ29" s="418" t="s">
        <v>27</v>
      </c>
      <c r="AK29" s="418" t="s">
        <v>110</v>
      </c>
      <c r="AL29" s="246" t="s">
        <v>441</v>
      </c>
      <c r="AM29" s="80">
        <v>41701</v>
      </c>
      <c r="AN29" s="80">
        <v>41820</v>
      </c>
      <c r="AO29" s="319"/>
      <c r="AP29" s="319"/>
      <c r="AQ29" s="319"/>
      <c r="AR29" s="319"/>
      <c r="AS29" s="319"/>
      <c r="AT29" s="319"/>
      <c r="AU29" s="319"/>
      <c r="AV29" s="319"/>
      <c r="AW29" s="319"/>
      <c r="AX29" s="571"/>
      <c r="AY29" s="571"/>
      <c r="AZ29" s="571"/>
      <c r="BA29" s="571"/>
      <c r="BB29" s="571"/>
      <c r="BC29" s="571"/>
      <c r="BD29" s="571"/>
      <c r="BE29" s="571"/>
      <c r="BF29" s="571"/>
      <c r="BG29" s="571"/>
      <c r="BH29" s="571"/>
      <c r="BI29" s="571"/>
      <c r="BJ29" s="571"/>
      <c r="BK29" s="571"/>
      <c r="BL29" s="571"/>
      <c r="BM29" s="455"/>
      <c r="BN29" s="456"/>
      <c r="BO29" s="449"/>
      <c r="BP29" s="450"/>
      <c r="BQ29" s="449"/>
      <c r="BR29" s="450"/>
      <c r="BS29" s="449"/>
      <c r="BT29" s="450"/>
      <c r="BU29" s="341"/>
      <c r="BV29" s="341"/>
      <c r="BW29" s="341"/>
      <c r="BX29" s="341"/>
      <c r="BY29" s="341"/>
      <c r="BZ29" s="341"/>
      <c r="CA29" s="310"/>
      <c r="CB29" s="310"/>
      <c r="CC29" s="310"/>
      <c r="CD29" s="310"/>
      <c r="CE29" s="310"/>
      <c r="CF29" s="310"/>
      <c r="CG29" s="310"/>
      <c r="CH29" s="310"/>
      <c r="CI29" s="310"/>
      <c r="CJ29" s="321"/>
      <c r="CK29" s="341"/>
      <c r="CL29" s="341"/>
      <c r="CM29" s="341"/>
      <c r="CN29" s="341"/>
      <c r="CO29" s="341"/>
      <c r="CP29" s="310"/>
      <c r="CQ29" s="310"/>
      <c r="CR29" s="341"/>
      <c r="CS29" s="341"/>
      <c r="CT29" s="341"/>
      <c r="CU29" s="341"/>
      <c r="CV29" s="310"/>
      <c r="CW29" s="310"/>
      <c r="CX29" s="341"/>
      <c r="CY29" s="341"/>
      <c r="CZ29" s="341"/>
      <c r="DA29" s="310"/>
      <c r="DB29" s="310"/>
      <c r="DC29" s="341"/>
      <c r="DD29" s="310"/>
      <c r="DE29" s="310"/>
    </row>
    <row r="30" spans="1:109" s="4" customFormat="1" ht="24">
      <c r="A30" s="582"/>
      <c r="B30" s="593"/>
      <c r="C30" s="590"/>
      <c r="D30" s="574"/>
      <c r="E30" s="80"/>
      <c r="F30" s="213"/>
      <c r="G30" s="213"/>
      <c r="H30" s="341"/>
      <c r="I30" s="341"/>
      <c r="J30" s="341"/>
      <c r="K30" s="341"/>
      <c r="L30" s="341"/>
      <c r="M30" s="341"/>
      <c r="N30" s="341"/>
      <c r="O30" s="341"/>
      <c r="P30" s="341"/>
      <c r="Q30" s="341"/>
      <c r="R30" s="341"/>
      <c r="S30" s="341"/>
      <c r="T30" s="341"/>
      <c r="U30" s="341"/>
      <c r="V30" s="341"/>
      <c r="W30" s="341"/>
      <c r="X30" s="341"/>
      <c r="Y30" s="341"/>
      <c r="Z30" s="341"/>
      <c r="AA30" s="341"/>
      <c r="AB30" s="341"/>
      <c r="AC30" s="341"/>
      <c r="AD30" s="341"/>
      <c r="AE30" s="341"/>
      <c r="AF30" s="341"/>
      <c r="AG30" s="341"/>
      <c r="AH30" s="341"/>
      <c r="AI30" s="341"/>
      <c r="AJ30" s="420"/>
      <c r="AK30" s="420"/>
      <c r="AL30" s="246" t="s">
        <v>246</v>
      </c>
      <c r="AM30" s="80" t="s">
        <v>512</v>
      </c>
      <c r="AN30" s="80">
        <v>42338</v>
      </c>
      <c r="AO30" s="319"/>
      <c r="AP30" s="319"/>
      <c r="AQ30" s="319"/>
      <c r="AR30" s="319"/>
      <c r="AS30" s="319"/>
      <c r="AT30" s="319"/>
      <c r="AU30" s="319"/>
      <c r="AV30" s="319"/>
      <c r="AW30" s="319"/>
      <c r="AX30" s="571"/>
      <c r="AY30" s="571"/>
      <c r="AZ30" s="571"/>
      <c r="BA30" s="571"/>
      <c r="BB30" s="571"/>
      <c r="BC30" s="571"/>
      <c r="BD30" s="571"/>
      <c r="BE30" s="571"/>
      <c r="BF30" s="571"/>
      <c r="BG30" s="571"/>
      <c r="BH30" s="571"/>
      <c r="BI30" s="571"/>
      <c r="BJ30" s="571"/>
      <c r="BK30" s="571"/>
      <c r="BL30" s="571"/>
      <c r="BM30" s="457"/>
      <c r="BN30" s="458"/>
      <c r="BO30" s="449"/>
      <c r="BP30" s="450"/>
      <c r="BQ30" s="449"/>
      <c r="BR30" s="450"/>
      <c r="BS30" s="451"/>
      <c r="BT30" s="452"/>
      <c r="BU30" s="29"/>
      <c r="BV30" s="29"/>
      <c r="BW30" s="29"/>
      <c r="BX30" s="29"/>
      <c r="BY30" s="29"/>
      <c r="BZ30" s="29"/>
      <c r="CA30" s="26"/>
      <c r="CB30" s="26"/>
      <c r="CC30" s="26"/>
      <c r="CD30" s="26"/>
      <c r="CE30" s="26"/>
      <c r="CF30" s="26"/>
      <c r="CG30" s="26"/>
      <c r="CH30" s="26"/>
      <c r="CI30" s="26"/>
      <c r="CJ30" s="71"/>
      <c r="CK30" s="29"/>
      <c r="CL30" s="29"/>
      <c r="CM30" s="29"/>
      <c r="CN30" s="29"/>
      <c r="CO30" s="29"/>
      <c r="CP30" s="26"/>
      <c r="CQ30" s="26"/>
      <c r="CR30" s="29"/>
      <c r="CS30" s="29"/>
      <c r="CT30" s="29"/>
      <c r="CU30" s="29"/>
      <c r="CV30" s="26"/>
      <c r="CW30" s="26"/>
      <c r="CX30" s="29"/>
      <c r="CY30" s="29"/>
      <c r="CZ30" s="29"/>
      <c r="DA30" s="26"/>
      <c r="DB30" s="26"/>
      <c r="DC30" s="29"/>
      <c r="DD30" s="26"/>
      <c r="DE30" s="26"/>
    </row>
    <row r="31" spans="1:109" s="4" customFormat="1" ht="21.75" customHeight="1">
      <c r="A31" s="582"/>
      <c r="B31" s="593"/>
      <c r="C31" s="588" t="s">
        <v>247</v>
      </c>
      <c r="D31" s="573" t="s">
        <v>463</v>
      </c>
      <c r="E31" s="213"/>
      <c r="F31" s="213"/>
      <c r="G31" s="80"/>
      <c r="H31" s="341"/>
      <c r="I31" s="341"/>
      <c r="J31" s="341"/>
      <c r="K31" s="341"/>
      <c r="L31" s="341"/>
      <c r="M31" s="341"/>
      <c r="N31" s="341"/>
      <c r="O31" s="341"/>
      <c r="P31" s="341"/>
      <c r="Q31" s="341"/>
      <c r="R31" s="341"/>
      <c r="S31" s="341"/>
      <c r="T31" s="341"/>
      <c r="U31" s="341"/>
      <c r="V31" s="341"/>
      <c r="W31" s="341"/>
      <c r="X31" s="341"/>
      <c r="Y31" s="341"/>
      <c r="Z31" s="341"/>
      <c r="AA31" s="341"/>
      <c r="AB31" s="341"/>
      <c r="AC31" s="341"/>
      <c r="AD31" s="341"/>
      <c r="AE31" s="341"/>
      <c r="AF31" s="341"/>
      <c r="AG31" s="341"/>
      <c r="AH31" s="341"/>
      <c r="AI31" s="341"/>
      <c r="AJ31" s="310" t="s">
        <v>91</v>
      </c>
      <c r="AK31" s="319" t="s">
        <v>112</v>
      </c>
      <c r="AL31" s="246" t="s">
        <v>104</v>
      </c>
      <c r="AM31" s="80">
        <v>41456</v>
      </c>
      <c r="AN31" s="80">
        <v>41639</v>
      </c>
      <c r="AO31" s="319">
        <v>1522435973</v>
      </c>
      <c r="AP31" s="319">
        <f>195423243+45668741-10482110</f>
        <v>230609874</v>
      </c>
      <c r="AQ31" s="319">
        <f>AO31-AP31</f>
        <v>1291826099</v>
      </c>
      <c r="AR31" s="319">
        <v>1522435973</v>
      </c>
      <c r="AS31" s="319">
        <f>6024000+11546000+9437600+24598000+24598000+15722640+20381200+18072000+18473600+45180000+867229+1655973+285806+608803+405868+115718+202935+126337+742603</f>
        <v>199044312</v>
      </c>
      <c r="AT31" s="319">
        <f>AR31-AS31</f>
        <v>1323391661</v>
      </c>
      <c r="AU31" s="319">
        <v>1522435973</v>
      </c>
      <c r="AV31" s="319">
        <f>195423243+45668741-10482110</f>
        <v>230609874</v>
      </c>
      <c r="AW31" s="319">
        <f>AU31-AV31</f>
        <v>1291826099</v>
      </c>
      <c r="AX31" s="571"/>
      <c r="AY31" s="571"/>
      <c r="AZ31" s="571"/>
      <c r="BA31" s="571"/>
      <c r="BB31" s="571"/>
      <c r="BC31" s="571"/>
      <c r="BD31" s="571"/>
      <c r="BE31" s="571"/>
      <c r="BF31" s="571"/>
      <c r="BG31" s="571"/>
      <c r="BH31" s="571"/>
      <c r="BI31" s="571"/>
      <c r="BJ31" s="571"/>
      <c r="BK31" s="571"/>
      <c r="BL31" s="571"/>
      <c r="BM31" s="453">
        <v>1522435973</v>
      </c>
      <c r="BN31" s="454"/>
      <c r="BO31" s="447">
        <v>3913496210</v>
      </c>
      <c r="BP31" s="448"/>
      <c r="BQ31" s="447">
        <v>1962801408</v>
      </c>
      <c r="BR31" s="448"/>
      <c r="BS31" s="447">
        <f>SUM(BM31:BR41)</f>
        <v>7398733591</v>
      </c>
      <c r="BT31" s="448"/>
      <c r="BU31" s="363"/>
      <c r="BV31" s="341"/>
      <c r="BW31" s="341"/>
      <c r="BX31" s="341"/>
      <c r="BY31" s="341"/>
      <c r="BZ31" s="341"/>
      <c r="CA31" s="341"/>
      <c r="CB31" s="341"/>
      <c r="CC31" s="341"/>
      <c r="CD31" s="341"/>
      <c r="CE31" s="341"/>
      <c r="CF31" s="341"/>
      <c r="CG31" s="341"/>
      <c r="CH31" s="341">
        <f>SUM(BW31:CG32)</f>
        <v>0</v>
      </c>
      <c r="CI31" s="310">
        <f>CH31+BV31</f>
        <v>0</v>
      </c>
      <c r="CJ31" s="321"/>
      <c r="CK31" s="341"/>
      <c r="CL31" s="341"/>
      <c r="CM31" s="341"/>
      <c r="CN31" s="341"/>
      <c r="CO31" s="341"/>
      <c r="CP31" s="341">
        <f>SUM(CK31:CO32)</f>
        <v>0</v>
      </c>
      <c r="CQ31" s="310">
        <f>CP31+CJ31</f>
        <v>0</v>
      </c>
      <c r="CR31" s="341"/>
      <c r="CS31" s="341"/>
      <c r="CT31" s="341"/>
      <c r="CU31" s="341"/>
      <c r="CV31" s="341">
        <f>SUM(CS31:CU32)</f>
        <v>0</v>
      </c>
      <c r="CW31" s="310">
        <f>CV31+CR31</f>
        <v>0</v>
      </c>
      <c r="CX31" s="341"/>
      <c r="CY31" s="341"/>
      <c r="CZ31" s="341"/>
      <c r="DA31" s="341">
        <f>SUM(CY31:CZ32)</f>
        <v>0</v>
      </c>
      <c r="DB31" s="310">
        <f>DA31+CX31</f>
        <v>0</v>
      </c>
      <c r="DC31" s="341"/>
      <c r="DD31" s="310">
        <f>DB31+CW31+CQ31+CI31+DC31</f>
        <v>0</v>
      </c>
      <c r="DE31" s="310"/>
    </row>
    <row r="32" spans="1:109" s="4" customFormat="1" ht="72">
      <c r="A32" s="582"/>
      <c r="B32" s="593"/>
      <c r="C32" s="589"/>
      <c r="D32" s="574"/>
      <c r="E32" s="213"/>
      <c r="F32" s="213"/>
      <c r="G32" s="213"/>
      <c r="H32" s="341"/>
      <c r="I32" s="341"/>
      <c r="J32" s="341"/>
      <c r="K32" s="341"/>
      <c r="L32" s="341"/>
      <c r="M32" s="341"/>
      <c r="N32" s="341"/>
      <c r="O32" s="341"/>
      <c r="P32" s="341"/>
      <c r="Q32" s="341"/>
      <c r="R32" s="341"/>
      <c r="S32" s="341"/>
      <c r="T32" s="341"/>
      <c r="U32" s="341"/>
      <c r="V32" s="341"/>
      <c r="W32" s="341"/>
      <c r="X32" s="341"/>
      <c r="Y32" s="341"/>
      <c r="Z32" s="341"/>
      <c r="AA32" s="341"/>
      <c r="AB32" s="341"/>
      <c r="AC32" s="341"/>
      <c r="AD32" s="341"/>
      <c r="AE32" s="341"/>
      <c r="AF32" s="341"/>
      <c r="AG32" s="341"/>
      <c r="AH32" s="341"/>
      <c r="AI32" s="341"/>
      <c r="AJ32" s="310"/>
      <c r="AK32" s="319"/>
      <c r="AL32" s="246" t="s">
        <v>466</v>
      </c>
      <c r="AM32" s="80">
        <v>41443</v>
      </c>
      <c r="AN32" s="80" t="s">
        <v>513</v>
      </c>
      <c r="AO32" s="319"/>
      <c r="AP32" s="319"/>
      <c r="AQ32" s="319"/>
      <c r="AR32" s="319"/>
      <c r="AS32" s="319"/>
      <c r="AT32" s="319"/>
      <c r="AU32" s="319"/>
      <c r="AV32" s="319"/>
      <c r="AW32" s="319"/>
      <c r="AX32" s="571"/>
      <c r="AY32" s="571"/>
      <c r="AZ32" s="571"/>
      <c r="BA32" s="571"/>
      <c r="BB32" s="571"/>
      <c r="BC32" s="571"/>
      <c r="BD32" s="571"/>
      <c r="BE32" s="571"/>
      <c r="BF32" s="571"/>
      <c r="BG32" s="571"/>
      <c r="BH32" s="571"/>
      <c r="BI32" s="571"/>
      <c r="BJ32" s="571"/>
      <c r="BK32" s="571"/>
      <c r="BL32" s="571"/>
      <c r="BM32" s="455"/>
      <c r="BN32" s="456"/>
      <c r="BO32" s="449"/>
      <c r="BP32" s="450"/>
      <c r="BQ32" s="449"/>
      <c r="BR32" s="450"/>
      <c r="BS32" s="449"/>
      <c r="BT32" s="450"/>
      <c r="BU32" s="363"/>
      <c r="BV32" s="341"/>
      <c r="BW32" s="341"/>
      <c r="BX32" s="341"/>
      <c r="BY32" s="341"/>
      <c r="BZ32" s="341"/>
      <c r="CA32" s="341"/>
      <c r="CB32" s="341"/>
      <c r="CC32" s="341"/>
      <c r="CD32" s="341"/>
      <c r="CE32" s="341"/>
      <c r="CF32" s="341"/>
      <c r="CG32" s="341"/>
      <c r="CH32" s="341"/>
      <c r="CI32" s="310"/>
      <c r="CJ32" s="321"/>
      <c r="CK32" s="341"/>
      <c r="CL32" s="341"/>
      <c r="CM32" s="341"/>
      <c r="CN32" s="341"/>
      <c r="CO32" s="341"/>
      <c r="CP32" s="341"/>
      <c r="CQ32" s="310"/>
      <c r="CR32" s="341"/>
      <c r="CS32" s="341"/>
      <c r="CT32" s="341"/>
      <c r="CU32" s="341"/>
      <c r="CV32" s="341"/>
      <c r="CW32" s="310"/>
      <c r="CX32" s="341"/>
      <c r="CY32" s="341"/>
      <c r="CZ32" s="341"/>
      <c r="DA32" s="341"/>
      <c r="DB32" s="310"/>
      <c r="DC32" s="341"/>
      <c r="DD32" s="310"/>
      <c r="DE32" s="310"/>
    </row>
    <row r="33" spans="1:110" s="4" customFormat="1" ht="33" customHeight="1">
      <c r="A33" s="582"/>
      <c r="B33" s="593"/>
      <c r="C33" s="589"/>
      <c r="D33" s="573" t="s">
        <v>248</v>
      </c>
      <c r="E33" s="213"/>
      <c r="F33" s="213"/>
      <c r="G33" s="80"/>
      <c r="H33" s="341"/>
      <c r="I33" s="341"/>
      <c r="J33" s="341"/>
      <c r="K33" s="341"/>
      <c r="L33" s="341"/>
      <c r="M33" s="341"/>
      <c r="N33" s="341"/>
      <c r="O33" s="341"/>
      <c r="P33" s="341"/>
      <c r="Q33" s="341"/>
      <c r="R33" s="341"/>
      <c r="S33" s="341"/>
      <c r="T33" s="341"/>
      <c r="U33" s="341"/>
      <c r="V33" s="341"/>
      <c r="W33" s="341"/>
      <c r="X33" s="341"/>
      <c r="Y33" s="341"/>
      <c r="Z33" s="341"/>
      <c r="AA33" s="341"/>
      <c r="AB33" s="341"/>
      <c r="AC33" s="341"/>
      <c r="AD33" s="341"/>
      <c r="AE33" s="341"/>
      <c r="AF33" s="341"/>
      <c r="AG33" s="341"/>
      <c r="AH33" s="341"/>
      <c r="AI33" s="341"/>
      <c r="AJ33" s="310" t="s">
        <v>27</v>
      </c>
      <c r="AK33" s="319" t="s">
        <v>113</v>
      </c>
      <c r="AL33" s="246" t="s">
        <v>467</v>
      </c>
      <c r="AM33" s="80">
        <v>41456</v>
      </c>
      <c r="AN33" s="80" t="s">
        <v>513</v>
      </c>
      <c r="AO33" s="319"/>
      <c r="AP33" s="319"/>
      <c r="AQ33" s="319"/>
      <c r="AR33" s="319"/>
      <c r="AS33" s="319"/>
      <c r="AT33" s="319"/>
      <c r="AU33" s="319"/>
      <c r="AV33" s="319"/>
      <c r="AW33" s="319"/>
      <c r="AX33" s="571"/>
      <c r="AY33" s="571"/>
      <c r="AZ33" s="571"/>
      <c r="BA33" s="571"/>
      <c r="BB33" s="571"/>
      <c r="BC33" s="571"/>
      <c r="BD33" s="571"/>
      <c r="BE33" s="571"/>
      <c r="BF33" s="571"/>
      <c r="BG33" s="571"/>
      <c r="BH33" s="571"/>
      <c r="BI33" s="571"/>
      <c r="BJ33" s="571"/>
      <c r="BK33" s="571"/>
      <c r="BL33" s="571"/>
      <c r="BM33" s="455"/>
      <c r="BN33" s="456"/>
      <c r="BO33" s="449"/>
      <c r="BP33" s="450"/>
      <c r="BQ33" s="449"/>
      <c r="BR33" s="450"/>
      <c r="BS33" s="449"/>
      <c r="BT33" s="450"/>
      <c r="BU33" s="363"/>
      <c r="BV33" s="341">
        <f>30000000+20000000</f>
        <v>50000000</v>
      </c>
      <c r="BW33" s="341"/>
      <c r="BX33" s="341"/>
      <c r="BY33" s="341"/>
      <c r="BZ33" s="341"/>
      <c r="CA33" s="341"/>
      <c r="CB33" s="341"/>
      <c r="CC33" s="341"/>
      <c r="CD33" s="341"/>
      <c r="CE33" s="341"/>
      <c r="CF33" s="341"/>
      <c r="CG33" s="341"/>
      <c r="CH33" s="341">
        <f>SUM(BW33:CG35)</f>
        <v>0</v>
      </c>
      <c r="CI33" s="310">
        <f>CH33+BV33</f>
        <v>50000000</v>
      </c>
      <c r="CJ33" s="321"/>
      <c r="CK33" s="341"/>
      <c r="CL33" s="341"/>
      <c r="CM33" s="341"/>
      <c r="CN33" s="341"/>
      <c r="CO33" s="341"/>
      <c r="CP33" s="341">
        <f>SUM(CK33:CO35)</f>
        <v>0</v>
      </c>
      <c r="CQ33" s="310">
        <f>CP33+CJ33</f>
        <v>0</v>
      </c>
      <c r="CR33" s="341">
        <v>25000000</v>
      </c>
      <c r="CS33" s="341"/>
      <c r="CT33" s="341"/>
      <c r="CU33" s="341"/>
      <c r="CV33" s="341">
        <f>SUM(CS33:CU35)</f>
        <v>0</v>
      </c>
      <c r="CW33" s="310">
        <f>CV33+CR33</f>
        <v>25000000</v>
      </c>
      <c r="CX33" s="341"/>
      <c r="CY33" s="341"/>
      <c r="CZ33" s="341"/>
      <c r="DA33" s="341">
        <f>SUM(CY33:CZ35)</f>
        <v>0</v>
      </c>
      <c r="DB33" s="310">
        <f>DA33+CX33</f>
        <v>0</v>
      </c>
      <c r="DC33" s="341"/>
      <c r="DD33" s="310">
        <f>DB33+CW33+CQ33+CI33+DC33</f>
        <v>75000000</v>
      </c>
      <c r="DE33" s="310"/>
    </row>
    <row r="34" spans="1:110" s="4" customFormat="1" ht="48">
      <c r="A34" s="582"/>
      <c r="B34" s="593"/>
      <c r="C34" s="589"/>
      <c r="D34" s="584"/>
      <c r="E34" s="80"/>
      <c r="F34" s="213"/>
      <c r="G34" s="80"/>
      <c r="H34" s="341"/>
      <c r="I34" s="341"/>
      <c r="J34" s="341"/>
      <c r="K34" s="341"/>
      <c r="L34" s="341"/>
      <c r="M34" s="341"/>
      <c r="N34" s="341"/>
      <c r="O34" s="341"/>
      <c r="P34" s="341"/>
      <c r="Q34" s="341"/>
      <c r="R34" s="341"/>
      <c r="S34" s="341"/>
      <c r="T34" s="341"/>
      <c r="U34" s="341"/>
      <c r="V34" s="341"/>
      <c r="W34" s="341"/>
      <c r="X34" s="341"/>
      <c r="Y34" s="341"/>
      <c r="Z34" s="341"/>
      <c r="AA34" s="341"/>
      <c r="AB34" s="341"/>
      <c r="AC34" s="341"/>
      <c r="AD34" s="341"/>
      <c r="AE34" s="341"/>
      <c r="AF34" s="341"/>
      <c r="AG34" s="341"/>
      <c r="AH34" s="341"/>
      <c r="AI34" s="341"/>
      <c r="AJ34" s="310"/>
      <c r="AK34" s="319"/>
      <c r="AL34" s="246" t="s">
        <v>249</v>
      </c>
      <c r="AM34" s="80">
        <v>41792</v>
      </c>
      <c r="AN34" s="80">
        <v>42004</v>
      </c>
      <c r="AO34" s="319"/>
      <c r="AP34" s="319"/>
      <c r="AQ34" s="319"/>
      <c r="AR34" s="319"/>
      <c r="AS34" s="319"/>
      <c r="AT34" s="319"/>
      <c r="AU34" s="319"/>
      <c r="AV34" s="319"/>
      <c r="AW34" s="319"/>
      <c r="AX34" s="571"/>
      <c r="AY34" s="571"/>
      <c r="AZ34" s="571"/>
      <c r="BA34" s="571"/>
      <c r="BB34" s="571"/>
      <c r="BC34" s="571"/>
      <c r="BD34" s="571"/>
      <c r="BE34" s="571"/>
      <c r="BF34" s="571"/>
      <c r="BG34" s="571"/>
      <c r="BH34" s="571"/>
      <c r="BI34" s="571"/>
      <c r="BJ34" s="571"/>
      <c r="BK34" s="571"/>
      <c r="BL34" s="571"/>
      <c r="BM34" s="455"/>
      <c r="BN34" s="456"/>
      <c r="BO34" s="449"/>
      <c r="BP34" s="450"/>
      <c r="BQ34" s="449"/>
      <c r="BR34" s="450"/>
      <c r="BS34" s="449"/>
      <c r="BT34" s="450"/>
      <c r="BU34" s="363"/>
      <c r="BV34" s="341"/>
      <c r="BW34" s="341"/>
      <c r="BX34" s="341"/>
      <c r="BY34" s="341"/>
      <c r="BZ34" s="341"/>
      <c r="CA34" s="341"/>
      <c r="CB34" s="341"/>
      <c r="CC34" s="341"/>
      <c r="CD34" s="341"/>
      <c r="CE34" s="341"/>
      <c r="CF34" s="341"/>
      <c r="CG34" s="341"/>
      <c r="CH34" s="341"/>
      <c r="CI34" s="310"/>
      <c r="CJ34" s="321"/>
      <c r="CK34" s="341"/>
      <c r="CL34" s="341"/>
      <c r="CM34" s="341"/>
      <c r="CN34" s="341"/>
      <c r="CO34" s="341"/>
      <c r="CP34" s="341"/>
      <c r="CQ34" s="310"/>
      <c r="CR34" s="341"/>
      <c r="CS34" s="341"/>
      <c r="CT34" s="341"/>
      <c r="CU34" s="341"/>
      <c r="CV34" s="341"/>
      <c r="CW34" s="310"/>
      <c r="CX34" s="341"/>
      <c r="CY34" s="341"/>
      <c r="CZ34" s="341"/>
      <c r="DA34" s="341"/>
      <c r="DB34" s="310"/>
      <c r="DC34" s="341"/>
      <c r="DD34" s="310"/>
      <c r="DE34" s="310"/>
    </row>
    <row r="35" spans="1:110" s="4" customFormat="1" ht="36">
      <c r="A35" s="582"/>
      <c r="B35" s="593"/>
      <c r="C35" s="589"/>
      <c r="D35" s="574"/>
      <c r="E35" s="80"/>
      <c r="F35" s="80"/>
      <c r="G35" s="213"/>
      <c r="H35" s="341"/>
      <c r="I35" s="341"/>
      <c r="J35" s="341"/>
      <c r="K35" s="341"/>
      <c r="L35" s="341"/>
      <c r="M35" s="341"/>
      <c r="N35" s="341"/>
      <c r="O35" s="341"/>
      <c r="P35" s="341"/>
      <c r="Q35" s="341"/>
      <c r="R35" s="341"/>
      <c r="S35" s="341"/>
      <c r="T35" s="341"/>
      <c r="U35" s="341"/>
      <c r="V35" s="341"/>
      <c r="W35" s="341"/>
      <c r="X35" s="341"/>
      <c r="Y35" s="341"/>
      <c r="Z35" s="341"/>
      <c r="AA35" s="341"/>
      <c r="AB35" s="341"/>
      <c r="AC35" s="341"/>
      <c r="AD35" s="341"/>
      <c r="AE35" s="341"/>
      <c r="AF35" s="341"/>
      <c r="AG35" s="341"/>
      <c r="AH35" s="341"/>
      <c r="AI35" s="341"/>
      <c r="AJ35" s="310"/>
      <c r="AK35" s="319"/>
      <c r="AL35" s="246" t="s">
        <v>114</v>
      </c>
      <c r="AM35" s="80">
        <v>42005</v>
      </c>
      <c r="AN35" s="80">
        <v>42185</v>
      </c>
      <c r="AO35" s="319"/>
      <c r="AP35" s="319"/>
      <c r="AQ35" s="319"/>
      <c r="AR35" s="319"/>
      <c r="AS35" s="319"/>
      <c r="AT35" s="319"/>
      <c r="AU35" s="319"/>
      <c r="AV35" s="319"/>
      <c r="AW35" s="319"/>
      <c r="AX35" s="571"/>
      <c r="AY35" s="571"/>
      <c r="AZ35" s="571"/>
      <c r="BA35" s="571"/>
      <c r="BB35" s="571"/>
      <c r="BC35" s="571"/>
      <c r="BD35" s="571"/>
      <c r="BE35" s="571"/>
      <c r="BF35" s="571"/>
      <c r="BG35" s="571"/>
      <c r="BH35" s="571"/>
      <c r="BI35" s="571"/>
      <c r="BJ35" s="571"/>
      <c r="BK35" s="571"/>
      <c r="BL35" s="571"/>
      <c r="BM35" s="455"/>
      <c r="BN35" s="456"/>
      <c r="BO35" s="449"/>
      <c r="BP35" s="450"/>
      <c r="BQ35" s="449"/>
      <c r="BR35" s="450"/>
      <c r="BS35" s="449"/>
      <c r="BT35" s="450"/>
      <c r="BU35" s="363"/>
      <c r="BV35" s="341"/>
      <c r="BW35" s="341"/>
      <c r="BX35" s="341"/>
      <c r="BY35" s="341"/>
      <c r="BZ35" s="341"/>
      <c r="CA35" s="341"/>
      <c r="CB35" s="341"/>
      <c r="CC35" s="341"/>
      <c r="CD35" s="341"/>
      <c r="CE35" s="341"/>
      <c r="CF35" s="341"/>
      <c r="CG35" s="341"/>
      <c r="CH35" s="341"/>
      <c r="CI35" s="310"/>
      <c r="CJ35" s="321"/>
      <c r="CK35" s="341"/>
      <c r="CL35" s="341"/>
      <c r="CM35" s="341"/>
      <c r="CN35" s="341"/>
      <c r="CO35" s="341"/>
      <c r="CP35" s="341"/>
      <c r="CQ35" s="310"/>
      <c r="CR35" s="341"/>
      <c r="CS35" s="341"/>
      <c r="CT35" s="341"/>
      <c r="CU35" s="341"/>
      <c r="CV35" s="341"/>
      <c r="CW35" s="310"/>
      <c r="CX35" s="341"/>
      <c r="CY35" s="341"/>
      <c r="CZ35" s="341"/>
      <c r="DA35" s="341"/>
      <c r="DB35" s="310"/>
      <c r="DC35" s="341"/>
      <c r="DD35" s="310"/>
      <c r="DE35" s="310"/>
    </row>
    <row r="36" spans="1:110" s="4" customFormat="1" ht="54.75" customHeight="1">
      <c r="A36" s="582"/>
      <c r="B36" s="593"/>
      <c r="C36" s="589"/>
      <c r="D36" s="573" t="s">
        <v>464</v>
      </c>
      <c r="E36" s="213"/>
      <c r="F36" s="213"/>
      <c r="G36" s="80"/>
      <c r="H36" s="341"/>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310" t="s">
        <v>92</v>
      </c>
      <c r="AK36" s="319" t="s">
        <v>118</v>
      </c>
      <c r="AL36" s="246" t="s">
        <v>468</v>
      </c>
      <c r="AM36" s="80">
        <v>41443</v>
      </c>
      <c r="AN36" s="80" t="s">
        <v>511</v>
      </c>
      <c r="AO36" s="319"/>
      <c r="AP36" s="319"/>
      <c r="AQ36" s="319"/>
      <c r="AR36" s="319"/>
      <c r="AS36" s="319"/>
      <c r="AT36" s="319"/>
      <c r="AU36" s="319"/>
      <c r="AV36" s="319"/>
      <c r="AW36" s="319"/>
      <c r="AX36" s="571"/>
      <c r="AY36" s="571"/>
      <c r="AZ36" s="571"/>
      <c r="BA36" s="571"/>
      <c r="BB36" s="571"/>
      <c r="BC36" s="571"/>
      <c r="BD36" s="571"/>
      <c r="BE36" s="571"/>
      <c r="BF36" s="571"/>
      <c r="BG36" s="571"/>
      <c r="BH36" s="571"/>
      <c r="BI36" s="571"/>
      <c r="BJ36" s="571"/>
      <c r="BK36" s="571"/>
      <c r="BL36" s="571"/>
      <c r="BM36" s="455"/>
      <c r="BN36" s="456"/>
      <c r="BO36" s="449"/>
      <c r="BP36" s="450"/>
      <c r="BQ36" s="449"/>
      <c r="BR36" s="450"/>
      <c r="BS36" s="449"/>
      <c r="BT36" s="450"/>
      <c r="BU36" s="363"/>
      <c r="BV36" s="341">
        <v>1015515000</v>
      </c>
      <c r="BW36" s="341"/>
      <c r="BX36" s="341"/>
      <c r="BY36" s="341"/>
      <c r="BZ36" s="341"/>
      <c r="CA36" s="341"/>
      <c r="CB36" s="341"/>
      <c r="CC36" s="341"/>
      <c r="CD36" s="341"/>
      <c r="CE36" s="341"/>
      <c r="CF36" s="341"/>
      <c r="CG36" s="341"/>
      <c r="CH36" s="341">
        <f>SUM(BW36:CG39)</f>
        <v>0</v>
      </c>
      <c r="CI36" s="310">
        <f>CH36+BV36</f>
        <v>1015515000</v>
      </c>
      <c r="CJ36" s="321"/>
      <c r="CK36" s="341"/>
      <c r="CL36" s="341"/>
      <c r="CM36" s="341"/>
      <c r="CN36" s="341"/>
      <c r="CO36" s="341"/>
      <c r="CP36" s="341">
        <f>SUM(CK36:CO39)</f>
        <v>0</v>
      </c>
      <c r="CQ36" s="310">
        <f>CP36+CJ36</f>
        <v>0</v>
      </c>
      <c r="CR36" s="341">
        <v>60000000</v>
      </c>
      <c r="CS36" s="341"/>
      <c r="CT36" s="341"/>
      <c r="CU36" s="341"/>
      <c r="CV36" s="341">
        <f>SUM(CS36:CU39)</f>
        <v>0</v>
      </c>
      <c r="CW36" s="310">
        <f>CV36+CR36</f>
        <v>60000000</v>
      </c>
      <c r="CX36" s="341"/>
      <c r="CY36" s="341"/>
      <c r="CZ36" s="341"/>
      <c r="DA36" s="341">
        <f>SUM(CY36:CZ39)</f>
        <v>0</v>
      </c>
      <c r="DB36" s="310">
        <f>DA36+CX36</f>
        <v>0</v>
      </c>
      <c r="DC36" s="341"/>
      <c r="DD36" s="310">
        <f>DB36+CW36+CQ36+CI36+DC36</f>
        <v>1075515000</v>
      </c>
      <c r="DE36" s="310"/>
    </row>
    <row r="37" spans="1:110" s="4" customFormat="1" ht="60">
      <c r="A37" s="582"/>
      <c r="B37" s="593"/>
      <c r="C37" s="589"/>
      <c r="D37" s="584"/>
      <c r="E37" s="213"/>
      <c r="F37" s="80"/>
      <c r="G37" s="80"/>
      <c r="H37" s="341"/>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310"/>
      <c r="AK37" s="319"/>
      <c r="AL37" s="246" t="s">
        <v>250</v>
      </c>
      <c r="AM37" s="80">
        <v>41443</v>
      </c>
      <c r="AN37" s="80" t="s">
        <v>513</v>
      </c>
      <c r="AO37" s="319"/>
      <c r="AP37" s="319"/>
      <c r="AQ37" s="319"/>
      <c r="AR37" s="319"/>
      <c r="AS37" s="319"/>
      <c r="AT37" s="319"/>
      <c r="AU37" s="319"/>
      <c r="AV37" s="319"/>
      <c r="AW37" s="319"/>
      <c r="AX37" s="571"/>
      <c r="AY37" s="571"/>
      <c r="AZ37" s="571"/>
      <c r="BA37" s="571"/>
      <c r="BB37" s="571"/>
      <c r="BC37" s="571"/>
      <c r="BD37" s="571"/>
      <c r="BE37" s="571"/>
      <c r="BF37" s="571"/>
      <c r="BG37" s="571"/>
      <c r="BH37" s="571"/>
      <c r="BI37" s="571"/>
      <c r="BJ37" s="571"/>
      <c r="BK37" s="571"/>
      <c r="BL37" s="571"/>
      <c r="BM37" s="455"/>
      <c r="BN37" s="456"/>
      <c r="BO37" s="449"/>
      <c r="BP37" s="450"/>
      <c r="BQ37" s="449"/>
      <c r="BR37" s="450"/>
      <c r="BS37" s="449"/>
      <c r="BT37" s="450"/>
      <c r="BU37" s="363"/>
      <c r="BV37" s="341"/>
      <c r="BW37" s="341"/>
      <c r="BX37" s="341"/>
      <c r="BY37" s="341"/>
      <c r="BZ37" s="341"/>
      <c r="CA37" s="341"/>
      <c r="CB37" s="341"/>
      <c r="CC37" s="341"/>
      <c r="CD37" s="341"/>
      <c r="CE37" s="341"/>
      <c r="CF37" s="341"/>
      <c r="CG37" s="341"/>
      <c r="CH37" s="341"/>
      <c r="CI37" s="310"/>
      <c r="CJ37" s="321"/>
      <c r="CK37" s="341"/>
      <c r="CL37" s="341"/>
      <c r="CM37" s="341"/>
      <c r="CN37" s="341"/>
      <c r="CO37" s="341"/>
      <c r="CP37" s="341"/>
      <c r="CQ37" s="310"/>
      <c r="CR37" s="341"/>
      <c r="CS37" s="341"/>
      <c r="CT37" s="341"/>
      <c r="CU37" s="341"/>
      <c r="CV37" s="341"/>
      <c r="CW37" s="310"/>
      <c r="CX37" s="341"/>
      <c r="CY37" s="341"/>
      <c r="CZ37" s="341"/>
      <c r="DA37" s="341"/>
      <c r="DB37" s="310"/>
      <c r="DC37" s="341"/>
      <c r="DD37" s="310"/>
      <c r="DE37" s="310"/>
    </row>
    <row r="38" spans="1:110" s="4" customFormat="1" ht="48">
      <c r="A38" s="582"/>
      <c r="B38" s="593"/>
      <c r="C38" s="589"/>
      <c r="D38" s="584"/>
      <c r="E38" s="213"/>
      <c r="F38" s="213"/>
      <c r="G38" s="80"/>
      <c r="H38" s="341"/>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310"/>
      <c r="AK38" s="319"/>
      <c r="AL38" s="246" t="s">
        <v>115</v>
      </c>
      <c r="AM38" s="80">
        <v>41443</v>
      </c>
      <c r="AN38" s="80" t="s">
        <v>513</v>
      </c>
      <c r="AO38" s="319"/>
      <c r="AP38" s="319"/>
      <c r="AQ38" s="319"/>
      <c r="AR38" s="319"/>
      <c r="AS38" s="319"/>
      <c r="AT38" s="319"/>
      <c r="AU38" s="319"/>
      <c r="AV38" s="319"/>
      <c r="AW38" s="319"/>
      <c r="AX38" s="571"/>
      <c r="AY38" s="571"/>
      <c r="AZ38" s="571"/>
      <c r="BA38" s="571"/>
      <c r="BB38" s="571"/>
      <c r="BC38" s="571"/>
      <c r="BD38" s="571"/>
      <c r="BE38" s="571"/>
      <c r="BF38" s="571"/>
      <c r="BG38" s="571"/>
      <c r="BH38" s="571"/>
      <c r="BI38" s="571"/>
      <c r="BJ38" s="571"/>
      <c r="BK38" s="571"/>
      <c r="BL38" s="571"/>
      <c r="BM38" s="455"/>
      <c r="BN38" s="456"/>
      <c r="BO38" s="449"/>
      <c r="BP38" s="450"/>
      <c r="BQ38" s="449"/>
      <c r="BR38" s="450"/>
      <c r="BS38" s="449"/>
      <c r="BT38" s="450"/>
      <c r="BU38" s="363"/>
      <c r="BV38" s="341"/>
      <c r="BW38" s="341"/>
      <c r="BX38" s="341"/>
      <c r="BY38" s="341"/>
      <c r="BZ38" s="341"/>
      <c r="CA38" s="341"/>
      <c r="CB38" s="341"/>
      <c r="CC38" s="341"/>
      <c r="CD38" s="341"/>
      <c r="CE38" s="341"/>
      <c r="CF38" s="341"/>
      <c r="CG38" s="341"/>
      <c r="CH38" s="341"/>
      <c r="CI38" s="310"/>
      <c r="CJ38" s="321"/>
      <c r="CK38" s="341"/>
      <c r="CL38" s="341"/>
      <c r="CM38" s="341"/>
      <c r="CN38" s="341"/>
      <c r="CO38" s="341"/>
      <c r="CP38" s="341"/>
      <c r="CQ38" s="310"/>
      <c r="CR38" s="341"/>
      <c r="CS38" s="341"/>
      <c r="CT38" s="341"/>
      <c r="CU38" s="341"/>
      <c r="CV38" s="341"/>
      <c r="CW38" s="310"/>
      <c r="CX38" s="341"/>
      <c r="CY38" s="341"/>
      <c r="CZ38" s="341"/>
      <c r="DA38" s="341"/>
      <c r="DB38" s="310"/>
      <c r="DC38" s="341"/>
      <c r="DD38" s="310"/>
      <c r="DE38" s="310"/>
    </row>
    <row r="39" spans="1:110" s="4" customFormat="1" ht="48">
      <c r="A39" s="582"/>
      <c r="B39" s="593"/>
      <c r="C39" s="589"/>
      <c r="D39" s="574"/>
      <c r="E39" s="80"/>
      <c r="F39" s="213"/>
      <c r="G39" s="80"/>
      <c r="H39" s="341"/>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310"/>
      <c r="AK39" s="319"/>
      <c r="AL39" s="246" t="s">
        <v>116</v>
      </c>
      <c r="AM39" s="80">
        <v>41640</v>
      </c>
      <c r="AN39" s="80" t="s">
        <v>514</v>
      </c>
      <c r="AO39" s="319"/>
      <c r="AP39" s="319"/>
      <c r="AQ39" s="319"/>
      <c r="AR39" s="319"/>
      <c r="AS39" s="319"/>
      <c r="AT39" s="319"/>
      <c r="AU39" s="319"/>
      <c r="AV39" s="319"/>
      <c r="AW39" s="319"/>
      <c r="AX39" s="571"/>
      <c r="AY39" s="571"/>
      <c r="AZ39" s="571"/>
      <c r="BA39" s="571"/>
      <c r="BB39" s="571"/>
      <c r="BC39" s="571"/>
      <c r="BD39" s="571"/>
      <c r="BE39" s="571"/>
      <c r="BF39" s="571"/>
      <c r="BG39" s="571"/>
      <c r="BH39" s="571"/>
      <c r="BI39" s="571"/>
      <c r="BJ39" s="571"/>
      <c r="BK39" s="571"/>
      <c r="BL39" s="571"/>
      <c r="BM39" s="455"/>
      <c r="BN39" s="456"/>
      <c r="BO39" s="449"/>
      <c r="BP39" s="450"/>
      <c r="BQ39" s="449"/>
      <c r="BR39" s="450"/>
      <c r="BS39" s="449"/>
      <c r="BT39" s="450"/>
      <c r="BU39" s="363"/>
      <c r="BV39" s="341"/>
      <c r="BW39" s="341"/>
      <c r="BX39" s="341"/>
      <c r="BY39" s="341"/>
      <c r="BZ39" s="341"/>
      <c r="CA39" s="341"/>
      <c r="CB39" s="341"/>
      <c r="CC39" s="341"/>
      <c r="CD39" s="341"/>
      <c r="CE39" s="341"/>
      <c r="CF39" s="341"/>
      <c r="CG39" s="341"/>
      <c r="CH39" s="341"/>
      <c r="CI39" s="310"/>
      <c r="CJ39" s="321"/>
      <c r="CK39" s="341"/>
      <c r="CL39" s="341"/>
      <c r="CM39" s="341"/>
      <c r="CN39" s="341"/>
      <c r="CO39" s="341"/>
      <c r="CP39" s="341"/>
      <c r="CQ39" s="310"/>
      <c r="CR39" s="341"/>
      <c r="CS39" s="341"/>
      <c r="CT39" s="341"/>
      <c r="CU39" s="341"/>
      <c r="CV39" s="341"/>
      <c r="CW39" s="310"/>
      <c r="CX39" s="341"/>
      <c r="CY39" s="341"/>
      <c r="CZ39" s="341"/>
      <c r="DA39" s="341"/>
      <c r="DB39" s="310"/>
      <c r="DC39" s="341"/>
      <c r="DD39" s="310"/>
      <c r="DE39" s="310"/>
    </row>
    <row r="40" spans="1:110" s="4" customFormat="1" ht="66" customHeight="1">
      <c r="A40" s="582"/>
      <c r="B40" s="593"/>
      <c r="C40" s="589"/>
      <c r="D40" s="573" t="s">
        <v>465</v>
      </c>
      <c r="E40" s="213"/>
      <c r="F40" s="213"/>
      <c r="G40" s="213"/>
      <c r="H40" s="341"/>
      <c r="I40" s="341"/>
      <c r="J40" s="341"/>
      <c r="K40" s="341"/>
      <c r="L40" s="341"/>
      <c r="M40" s="341"/>
      <c r="N40" s="341"/>
      <c r="O40" s="341"/>
      <c r="P40" s="341"/>
      <c r="Q40" s="341"/>
      <c r="R40" s="341"/>
      <c r="S40" s="341"/>
      <c r="T40" s="341"/>
      <c r="U40" s="341"/>
      <c r="V40" s="341"/>
      <c r="W40" s="341"/>
      <c r="X40" s="341"/>
      <c r="Y40" s="341"/>
      <c r="Z40" s="341"/>
      <c r="AA40" s="341"/>
      <c r="AB40" s="341"/>
      <c r="AC40" s="341"/>
      <c r="AD40" s="341"/>
      <c r="AE40" s="341"/>
      <c r="AF40" s="341"/>
      <c r="AG40" s="341"/>
      <c r="AH40" s="341"/>
      <c r="AI40" s="341"/>
      <c r="AJ40" s="26" t="s">
        <v>101</v>
      </c>
      <c r="AK40" s="80" t="s">
        <v>106</v>
      </c>
      <c r="AL40" s="246" t="s">
        <v>469</v>
      </c>
      <c r="AM40" s="80">
        <v>41443</v>
      </c>
      <c r="AN40" s="80" t="s">
        <v>515</v>
      </c>
      <c r="AO40" s="319"/>
      <c r="AP40" s="319"/>
      <c r="AQ40" s="319"/>
      <c r="AR40" s="319"/>
      <c r="AS40" s="319"/>
      <c r="AT40" s="319"/>
      <c r="AU40" s="319"/>
      <c r="AV40" s="319"/>
      <c r="AW40" s="319"/>
      <c r="AX40" s="571"/>
      <c r="AY40" s="571"/>
      <c r="AZ40" s="571"/>
      <c r="BA40" s="571"/>
      <c r="BB40" s="571"/>
      <c r="BC40" s="571"/>
      <c r="BD40" s="571"/>
      <c r="BE40" s="571"/>
      <c r="BF40" s="571"/>
      <c r="BG40" s="571"/>
      <c r="BH40" s="571"/>
      <c r="BI40" s="571"/>
      <c r="BJ40" s="571"/>
      <c r="BK40" s="571"/>
      <c r="BL40" s="571"/>
      <c r="BM40" s="455"/>
      <c r="BN40" s="456"/>
      <c r="BO40" s="449"/>
      <c r="BP40" s="450"/>
      <c r="BQ40" s="449"/>
      <c r="BR40" s="450"/>
      <c r="BS40" s="449"/>
      <c r="BT40" s="450"/>
      <c r="BU40" s="231"/>
      <c r="BV40" s="29">
        <v>5795515000</v>
      </c>
      <c r="BW40" s="23"/>
      <c r="BX40" s="23"/>
      <c r="BY40" s="23"/>
      <c r="BZ40" s="23"/>
      <c r="CA40" s="23"/>
      <c r="CB40" s="23"/>
      <c r="CC40" s="23"/>
      <c r="CD40" s="23"/>
      <c r="CE40" s="23"/>
      <c r="CF40" s="23"/>
      <c r="CG40" s="23"/>
      <c r="CH40" s="29">
        <f>SUM(BW40:CG40)</f>
        <v>0</v>
      </c>
      <c r="CI40" s="26">
        <f>CH40+BV40</f>
        <v>5795515000</v>
      </c>
      <c r="CJ40" s="401"/>
      <c r="CK40" s="23"/>
      <c r="CL40" s="23"/>
      <c r="CM40" s="23"/>
      <c r="CN40" s="23"/>
      <c r="CO40" s="23"/>
      <c r="CP40" s="29">
        <f>SUM(CK40:CO40)</f>
        <v>0</v>
      </c>
      <c r="CQ40" s="26">
        <f>CP40+CJ40</f>
        <v>0</v>
      </c>
      <c r="CR40" s="29">
        <v>407000000</v>
      </c>
      <c r="CS40" s="23"/>
      <c r="CT40" s="23"/>
      <c r="CU40" s="23"/>
      <c r="CV40" s="29">
        <f>SUM(CS40:CU40)</f>
        <v>0</v>
      </c>
      <c r="CW40" s="26">
        <f>CV40+CR40</f>
        <v>407000000</v>
      </c>
      <c r="CX40" s="29">
        <v>160000000</v>
      </c>
      <c r="CY40" s="23">
        <v>30000000</v>
      </c>
      <c r="CZ40" s="23">
        <v>80000000</v>
      </c>
      <c r="DA40" s="29">
        <f>SUM(CY40:CZ40)</f>
        <v>110000000</v>
      </c>
      <c r="DB40" s="26">
        <f>DA40+CX40</f>
        <v>270000000</v>
      </c>
      <c r="DC40" s="23"/>
      <c r="DD40" s="26">
        <f>DB40+CW40+CQ40+CI40+DC40</f>
        <v>6472515000</v>
      </c>
      <c r="DE40" s="26"/>
    </row>
    <row r="41" spans="1:110" s="4" customFormat="1" ht="48">
      <c r="A41" s="582"/>
      <c r="B41" s="593"/>
      <c r="C41" s="590"/>
      <c r="D41" s="574"/>
      <c r="E41" s="213"/>
      <c r="F41" s="213"/>
      <c r="G41" s="213"/>
      <c r="H41" s="341"/>
      <c r="I41" s="341"/>
      <c r="J41" s="341"/>
      <c r="K41" s="341"/>
      <c r="L41" s="341"/>
      <c r="M41" s="341"/>
      <c r="N41" s="341"/>
      <c r="O41" s="341"/>
      <c r="P41" s="341"/>
      <c r="Q41" s="341"/>
      <c r="R41" s="341"/>
      <c r="S41" s="341"/>
      <c r="T41" s="341"/>
      <c r="U41" s="341"/>
      <c r="V41" s="341"/>
      <c r="W41" s="341"/>
      <c r="X41" s="341"/>
      <c r="Y41" s="341"/>
      <c r="Z41" s="341"/>
      <c r="AA41" s="341"/>
      <c r="AB41" s="341"/>
      <c r="AC41" s="341"/>
      <c r="AD41" s="341"/>
      <c r="AE41" s="341"/>
      <c r="AF41" s="341"/>
      <c r="AG41" s="341"/>
      <c r="AH41" s="341"/>
      <c r="AI41" s="341"/>
      <c r="AJ41" s="26"/>
      <c r="AK41" s="80"/>
      <c r="AL41" s="246" t="s">
        <v>470</v>
      </c>
      <c r="AM41" s="80">
        <v>41456</v>
      </c>
      <c r="AN41" s="80" t="s">
        <v>516</v>
      </c>
      <c r="AO41" s="319"/>
      <c r="AP41" s="319"/>
      <c r="AQ41" s="319"/>
      <c r="AR41" s="319"/>
      <c r="AS41" s="319"/>
      <c r="AT41" s="319"/>
      <c r="AU41" s="319"/>
      <c r="AV41" s="319"/>
      <c r="AW41" s="319"/>
      <c r="AX41" s="571"/>
      <c r="AY41" s="571"/>
      <c r="AZ41" s="571"/>
      <c r="BA41" s="571"/>
      <c r="BB41" s="571"/>
      <c r="BC41" s="571"/>
      <c r="BD41" s="571"/>
      <c r="BE41" s="571"/>
      <c r="BF41" s="571"/>
      <c r="BG41" s="571"/>
      <c r="BH41" s="571"/>
      <c r="BI41" s="571"/>
      <c r="BJ41" s="571"/>
      <c r="BK41" s="571"/>
      <c r="BL41" s="571"/>
      <c r="BM41" s="457"/>
      <c r="BN41" s="458"/>
      <c r="BO41" s="451"/>
      <c r="BP41" s="452"/>
      <c r="BQ41" s="451"/>
      <c r="BR41" s="452"/>
      <c r="BS41" s="451"/>
      <c r="BT41" s="452"/>
      <c r="BU41" s="231"/>
      <c r="BV41" s="29"/>
      <c r="BW41" s="23"/>
      <c r="BX41" s="23"/>
      <c r="BY41" s="23"/>
      <c r="BZ41" s="23"/>
      <c r="CA41" s="23"/>
      <c r="CB41" s="23"/>
      <c r="CC41" s="23"/>
      <c r="CD41" s="23"/>
      <c r="CE41" s="23"/>
      <c r="CF41" s="23"/>
      <c r="CG41" s="23"/>
      <c r="CH41" s="29"/>
      <c r="CI41" s="26"/>
      <c r="CJ41" s="403"/>
      <c r="CK41" s="23"/>
      <c r="CL41" s="23"/>
      <c r="CM41" s="23"/>
      <c r="CN41" s="23"/>
      <c r="CO41" s="23"/>
      <c r="CP41" s="29"/>
      <c r="CQ41" s="26"/>
      <c r="CR41" s="29"/>
      <c r="CS41" s="23"/>
      <c r="CT41" s="23"/>
      <c r="CU41" s="23"/>
      <c r="CV41" s="29"/>
      <c r="CW41" s="26"/>
      <c r="CX41" s="29"/>
      <c r="CY41" s="23"/>
      <c r="CZ41" s="23"/>
      <c r="DA41" s="29"/>
      <c r="DB41" s="26"/>
      <c r="DC41" s="23"/>
      <c r="DD41" s="26"/>
      <c r="DE41" s="26"/>
    </row>
    <row r="42" spans="1:110" s="4" customFormat="1" ht="33" customHeight="1">
      <c r="A42" s="582"/>
      <c r="B42" s="593"/>
      <c r="C42" s="588" t="s">
        <v>251</v>
      </c>
      <c r="D42" s="573" t="s">
        <v>471</v>
      </c>
      <c r="E42" s="213"/>
      <c r="F42" s="80"/>
      <c r="G42" s="80"/>
      <c r="H42" s="341"/>
      <c r="I42" s="341"/>
      <c r="J42" s="341"/>
      <c r="K42" s="341"/>
      <c r="L42" s="341"/>
      <c r="M42" s="341"/>
      <c r="N42" s="341"/>
      <c r="O42" s="341"/>
      <c r="P42" s="341"/>
      <c r="Q42" s="341"/>
      <c r="R42" s="341"/>
      <c r="S42" s="341"/>
      <c r="T42" s="341"/>
      <c r="U42" s="341"/>
      <c r="V42" s="341"/>
      <c r="W42" s="341"/>
      <c r="X42" s="341"/>
      <c r="Y42" s="341"/>
      <c r="Z42" s="341"/>
      <c r="AA42" s="341"/>
      <c r="AB42" s="341"/>
      <c r="AC42" s="341"/>
      <c r="AD42" s="341"/>
      <c r="AE42" s="341"/>
      <c r="AF42" s="341"/>
      <c r="AG42" s="341"/>
      <c r="AH42" s="341"/>
      <c r="AI42" s="341"/>
      <c r="AJ42" s="319" t="s">
        <v>90</v>
      </c>
      <c r="AK42" s="319" t="s">
        <v>111</v>
      </c>
      <c r="AL42" s="246" t="s">
        <v>472</v>
      </c>
      <c r="AM42" s="80">
        <v>41443</v>
      </c>
      <c r="AN42" s="80">
        <v>41607</v>
      </c>
      <c r="AO42" s="319">
        <v>30120000</v>
      </c>
      <c r="AP42" s="319">
        <v>27610000</v>
      </c>
      <c r="AQ42" s="319">
        <f>AO42-AP42</f>
        <v>2510000</v>
      </c>
      <c r="AR42" s="319">
        <v>30120000</v>
      </c>
      <c r="AS42" s="319">
        <v>27610000</v>
      </c>
      <c r="AT42" s="319">
        <f>AR42-AS42</f>
        <v>2510000</v>
      </c>
      <c r="AU42" s="319">
        <v>30120000</v>
      </c>
      <c r="AV42" s="319">
        <v>27610000</v>
      </c>
      <c r="AW42" s="319">
        <f>AU42-AV42</f>
        <v>2510000</v>
      </c>
      <c r="AX42" s="571"/>
      <c r="AY42" s="571"/>
      <c r="AZ42" s="571"/>
      <c r="BA42" s="571"/>
      <c r="BB42" s="571"/>
      <c r="BC42" s="571"/>
      <c r="BD42" s="571"/>
      <c r="BE42" s="571"/>
      <c r="BF42" s="571"/>
      <c r="BG42" s="571"/>
      <c r="BH42" s="571"/>
      <c r="BI42" s="571"/>
      <c r="BJ42" s="571"/>
      <c r="BK42" s="571"/>
      <c r="BL42" s="571"/>
      <c r="BM42" s="453">
        <v>30120000</v>
      </c>
      <c r="BN42" s="454"/>
      <c r="BO42" s="447">
        <v>63252000</v>
      </c>
      <c r="BP42" s="448"/>
      <c r="BQ42" s="447">
        <v>60880050</v>
      </c>
      <c r="BR42" s="448"/>
      <c r="BS42" s="447">
        <f>SUM(BM42:BR44)</f>
        <v>154252050</v>
      </c>
      <c r="BT42" s="448"/>
      <c r="BU42" s="363">
        <f>6000000000-56342</f>
        <v>5999943658</v>
      </c>
      <c r="BV42" s="341"/>
      <c r="BW42" s="341"/>
      <c r="BX42" s="341"/>
      <c r="BY42" s="341"/>
      <c r="BZ42" s="341"/>
      <c r="CA42" s="341"/>
      <c r="CB42" s="341"/>
      <c r="CC42" s="341"/>
      <c r="CD42" s="341"/>
      <c r="CE42" s="341"/>
      <c r="CF42" s="341"/>
      <c r="CG42" s="341"/>
      <c r="CH42" s="341">
        <f>SUM(BW42:CG44)</f>
        <v>0</v>
      </c>
      <c r="CI42" s="310">
        <f>CH42+BV42</f>
        <v>0</v>
      </c>
      <c r="CJ42" s="321"/>
      <c r="CK42" s="341"/>
      <c r="CL42" s="341"/>
      <c r="CM42" s="341"/>
      <c r="CN42" s="341"/>
      <c r="CO42" s="341"/>
      <c r="CP42" s="341">
        <f>SUM(CK42:CO44)</f>
        <v>0</v>
      </c>
      <c r="CQ42" s="310">
        <f>CP42+CJ42</f>
        <v>0</v>
      </c>
      <c r="CR42" s="341"/>
      <c r="CS42" s="341"/>
      <c r="CT42" s="341"/>
      <c r="CU42" s="341"/>
      <c r="CV42" s="341">
        <f>SUM(CS42:CU44)</f>
        <v>0</v>
      </c>
      <c r="CW42" s="310">
        <f>CV42+CR42</f>
        <v>0</v>
      </c>
      <c r="CX42" s="341"/>
      <c r="CY42" s="341"/>
      <c r="CZ42" s="341"/>
      <c r="DA42" s="341">
        <f>SUM(CY42:CZ44)</f>
        <v>0</v>
      </c>
      <c r="DB42" s="310">
        <f>DA42+CX42</f>
        <v>0</v>
      </c>
      <c r="DC42" s="341"/>
      <c r="DD42" s="310">
        <f>DB42+CW42+CQ42+CI42+DC42</f>
        <v>0</v>
      </c>
      <c r="DE42" s="310"/>
    </row>
    <row r="43" spans="1:110" s="4" customFormat="1" ht="60">
      <c r="A43" s="582"/>
      <c r="B43" s="593"/>
      <c r="C43" s="589"/>
      <c r="D43" s="584"/>
      <c r="E43" s="213"/>
      <c r="F43" s="213"/>
      <c r="G43" s="213"/>
      <c r="H43" s="341"/>
      <c r="I43" s="341"/>
      <c r="J43" s="341"/>
      <c r="K43" s="341"/>
      <c r="L43" s="341"/>
      <c r="M43" s="341"/>
      <c r="N43" s="341"/>
      <c r="O43" s="341"/>
      <c r="P43" s="341"/>
      <c r="Q43" s="341"/>
      <c r="R43" s="341"/>
      <c r="S43" s="341"/>
      <c r="T43" s="341"/>
      <c r="U43" s="341"/>
      <c r="V43" s="341"/>
      <c r="W43" s="341"/>
      <c r="X43" s="341"/>
      <c r="Y43" s="341"/>
      <c r="Z43" s="341"/>
      <c r="AA43" s="341"/>
      <c r="AB43" s="341"/>
      <c r="AC43" s="341"/>
      <c r="AD43" s="341"/>
      <c r="AE43" s="341"/>
      <c r="AF43" s="341"/>
      <c r="AG43" s="341"/>
      <c r="AH43" s="341"/>
      <c r="AI43" s="341"/>
      <c r="AJ43" s="319"/>
      <c r="AK43" s="319"/>
      <c r="AL43" s="246" t="s">
        <v>473</v>
      </c>
      <c r="AM43" s="80">
        <v>41443</v>
      </c>
      <c r="AN43" s="80">
        <v>41628</v>
      </c>
      <c r="AO43" s="319"/>
      <c r="AP43" s="319"/>
      <c r="AQ43" s="319"/>
      <c r="AR43" s="319"/>
      <c r="AS43" s="319"/>
      <c r="AT43" s="319"/>
      <c r="AU43" s="319"/>
      <c r="AV43" s="319"/>
      <c r="AW43" s="319"/>
      <c r="AX43" s="571"/>
      <c r="AY43" s="571"/>
      <c r="AZ43" s="571"/>
      <c r="BA43" s="571"/>
      <c r="BB43" s="571"/>
      <c r="BC43" s="571"/>
      <c r="BD43" s="571"/>
      <c r="BE43" s="571"/>
      <c r="BF43" s="571"/>
      <c r="BG43" s="571"/>
      <c r="BH43" s="571"/>
      <c r="BI43" s="571"/>
      <c r="BJ43" s="571"/>
      <c r="BK43" s="571"/>
      <c r="BL43" s="571"/>
      <c r="BM43" s="455"/>
      <c r="BN43" s="456"/>
      <c r="BO43" s="449"/>
      <c r="BP43" s="450"/>
      <c r="BQ43" s="449"/>
      <c r="BR43" s="450"/>
      <c r="BS43" s="449"/>
      <c r="BT43" s="450"/>
      <c r="BU43" s="363"/>
      <c r="BV43" s="341"/>
      <c r="BW43" s="341"/>
      <c r="BX43" s="341"/>
      <c r="BY43" s="341"/>
      <c r="BZ43" s="341"/>
      <c r="CA43" s="341"/>
      <c r="CB43" s="341"/>
      <c r="CC43" s="341"/>
      <c r="CD43" s="341"/>
      <c r="CE43" s="341"/>
      <c r="CF43" s="341"/>
      <c r="CG43" s="341"/>
      <c r="CH43" s="341"/>
      <c r="CI43" s="310"/>
      <c r="CJ43" s="321"/>
      <c r="CK43" s="341"/>
      <c r="CL43" s="341"/>
      <c r="CM43" s="341"/>
      <c r="CN43" s="341"/>
      <c r="CO43" s="341"/>
      <c r="CP43" s="341"/>
      <c r="CQ43" s="310"/>
      <c r="CR43" s="341"/>
      <c r="CS43" s="341"/>
      <c r="CT43" s="341"/>
      <c r="CU43" s="341"/>
      <c r="CV43" s="341"/>
      <c r="CW43" s="310"/>
      <c r="CX43" s="341"/>
      <c r="CY43" s="341"/>
      <c r="CZ43" s="341"/>
      <c r="DA43" s="341"/>
      <c r="DB43" s="310"/>
      <c r="DC43" s="341"/>
      <c r="DD43" s="310"/>
      <c r="DE43" s="310"/>
    </row>
    <row r="44" spans="1:110" s="4" customFormat="1" ht="72">
      <c r="A44" s="582"/>
      <c r="B44" s="594"/>
      <c r="C44" s="590"/>
      <c r="D44" s="574"/>
      <c r="E44" s="213"/>
      <c r="F44" s="213"/>
      <c r="G44" s="213"/>
      <c r="H44" s="341"/>
      <c r="I44" s="341"/>
      <c r="J44" s="341"/>
      <c r="K44" s="341"/>
      <c r="L44" s="341"/>
      <c r="M44" s="341"/>
      <c r="N44" s="341"/>
      <c r="O44" s="341"/>
      <c r="P44" s="341"/>
      <c r="Q44" s="341"/>
      <c r="R44" s="341"/>
      <c r="S44" s="341"/>
      <c r="T44" s="341"/>
      <c r="U44" s="341"/>
      <c r="V44" s="341"/>
      <c r="W44" s="341"/>
      <c r="X44" s="341"/>
      <c r="Y44" s="341"/>
      <c r="Z44" s="341"/>
      <c r="AA44" s="341"/>
      <c r="AB44" s="341"/>
      <c r="AC44" s="341"/>
      <c r="AD44" s="341"/>
      <c r="AE44" s="341"/>
      <c r="AF44" s="341"/>
      <c r="AG44" s="341"/>
      <c r="AH44" s="341"/>
      <c r="AI44" s="341"/>
      <c r="AJ44" s="319"/>
      <c r="AK44" s="319"/>
      <c r="AL44" s="246" t="s">
        <v>474</v>
      </c>
      <c r="AM44" s="80">
        <v>41443</v>
      </c>
      <c r="AN44" s="80">
        <v>41628</v>
      </c>
      <c r="AO44" s="319"/>
      <c r="AP44" s="319"/>
      <c r="AQ44" s="319"/>
      <c r="AR44" s="319"/>
      <c r="AS44" s="319"/>
      <c r="AT44" s="319"/>
      <c r="AU44" s="319"/>
      <c r="AV44" s="319"/>
      <c r="AW44" s="319"/>
      <c r="AX44" s="572"/>
      <c r="AY44" s="572"/>
      <c r="AZ44" s="572"/>
      <c r="BA44" s="572"/>
      <c r="BB44" s="572"/>
      <c r="BC44" s="572"/>
      <c r="BD44" s="572"/>
      <c r="BE44" s="572"/>
      <c r="BF44" s="572"/>
      <c r="BG44" s="572"/>
      <c r="BH44" s="572"/>
      <c r="BI44" s="572"/>
      <c r="BJ44" s="572"/>
      <c r="BK44" s="572"/>
      <c r="BL44" s="572"/>
      <c r="BM44" s="457"/>
      <c r="BN44" s="458"/>
      <c r="BO44" s="451"/>
      <c r="BP44" s="452"/>
      <c r="BQ44" s="451"/>
      <c r="BR44" s="452"/>
      <c r="BS44" s="451"/>
      <c r="BT44" s="452"/>
      <c r="BU44" s="363"/>
      <c r="BV44" s="341"/>
      <c r="BW44" s="341"/>
      <c r="BX44" s="341"/>
      <c r="BY44" s="341"/>
      <c r="BZ44" s="341"/>
      <c r="CA44" s="341"/>
      <c r="CB44" s="341"/>
      <c r="CC44" s="341"/>
      <c r="CD44" s="341"/>
      <c r="CE44" s="341"/>
      <c r="CF44" s="341"/>
      <c r="CG44" s="341"/>
      <c r="CH44" s="341"/>
      <c r="CI44" s="310"/>
      <c r="CJ44" s="321"/>
      <c r="CK44" s="341"/>
      <c r="CL44" s="341"/>
      <c r="CM44" s="341"/>
      <c r="CN44" s="341"/>
      <c r="CO44" s="341"/>
      <c r="CP44" s="341"/>
      <c r="CQ44" s="310"/>
      <c r="CR44" s="341"/>
      <c r="CS44" s="341"/>
      <c r="CT44" s="341"/>
      <c r="CU44" s="341"/>
      <c r="CV44" s="341"/>
      <c r="CW44" s="310"/>
      <c r="CX44" s="341"/>
      <c r="CY44" s="341"/>
      <c r="CZ44" s="341"/>
      <c r="DA44" s="341"/>
      <c r="DB44" s="310"/>
      <c r="DC44" s="341"/>
      <c r="DD44" s="310"/>
      <c r="DE44" s="310"/>
    </row>
    <row r="45" spans="1:110" s="34" customFormat="1" ht="11.1" customHeight="1">
      <c r="A45" s="582"/>
      <c r="B45" s="473" t="s">
        <v>134</v>
      </c>
      <c r="C45" s="591"/>
      <c r="D45" s="474"/>
      <c r="E45" s="230"/>
      <c r="F45" s="230"/>
      <c r="G45" s="230"/>
      <c r="H45" s="232"/>
      <c r="I45" s="232"/>
      <c r="J45" s="232"/>
      <c r="K45" s="232"/>
      <c r="L45" s="232"/>
      <c r="M45" s="232"/>
      <c r="N45" s="232"/>
      <c r="O45" s="232"/>
      <c r="P45" s="232"/>
      <c r="Q45" s="232"/>
      <c r="R45" s="232"/>
      <c r="S45" s="232"/>
      <c r="T45" s="232"/>
      <c r="U45" s="232"/>
      <c r="V45" s="232"/>
      <c r="W45" s="232"/>
      <c r="X45" s="232"/>
      <c r="Y45" s="232"/>
      <c r="Z45" s="232"/>
      <c r="AA45" s="232"/>
      <c r="AB45" s="232"/>
      <c r="AC45" s="232"/>
      <c r="AD45" s="232"/>
      <c r="AE45" s="232"/>
      <c r="AF45" s="232"/>
      <c r="AG45" s="232"/>
      <c r="AH45" s="232"/>
      <c r="AI45" s="232"/>
      <c r="AJ45" s="232"/>
      <c r="AK45" s="232"/>
      <c r="AL45" s="247"/>
      <c r="AM45" s="232"/>
      <c r="AN45" s="232"/>
      <c r="AO45" s="230">
        <f t="shared" ref="AO45:AW45" si="0">SUM(AO9:AO44)</f>
        <v>3351023973</v>
      </c>
      <c r="AP45" s="293">
        <f t="shared" si="0"/>
        <v>490607722</v>
      </c>
      <c r="AQ45" s="293">
        <f t="shared" si="0"/>
        <v>2860416251</v>
      </c>
      <c r="AR45" s="293">
        <f t="shared" si="0"/>
        <v>3351023973</v>
      </c>
      <c r="AS45" s="293">
        <f t="shared" si="0"/>
        <v>510175635</v>
      </c>
      <c r="AT45" s="293">
        <f t="shared" si="0"/>
        <v>2840848338</v>
      </c>
      <c r="AU45" s="292">
        <f t="shared" si="0"/>
        <v>3351023973</v>
      </c>
      <c r="AV45" s="292">
        <f t="shared" si="0"/>
        <v>490607722</v>
      </c>
      <c r="AW45" s="292">
        <f t="shared" si="0"/>
        <v>2860416251</v>
      </c>
      <c r="AX45" s="230"/>
      <c r="AY45" s="230"/>
      <c r="AZ45" s="230"/>
      <c r="BA45" s="230"/>
      <c r="BB45" s="230"/>
      <c r="BC45" s="230"/>
      <c r="BD45" s="230"/>
      <c r="BE45" s="230"/>
      <c r="BF45" s="230"/>
      <c r="BG45" s="230"/>
      <c r="BH45" s="230"/>
      <c r="BI45" s="230"/>
      <c r="BJ45" s="230"/>
      <c r="BK45" s="230"/>
      <c r="BL45" s="230"/>
      <c r="BM45" s="473">
        <f>SUM(BM9:BM44)</f>
        <v>3351023973</v>
      </c>
      <c r="BN45" s="474"/>
      <c r="BO45" s="473">
        <f>SUM(BO9:BO44)</f>
        <v>7147593763</v>
      </c>
      <c r="BP45" s="474"/>
      <c r="BQ45" s="473">
        <f>SUM(BQ9:BQ44)</f>
        <v>4501325922</v>
      </c>
      <c r="BR45" s="474"/>
      <c r="BS45" s="473">
        <f>SUM(BM45:BR45)</f>
        <v>14999943658</v>
      </c>
      <c r="BT45" s="474"/>
      <c r="BU45" s="45">
        <f>SUM(BU9:BU44)</f>
        <v>14999943658</v>
      </c>
      <c r="BV45" s="45">
        <f t="shared" ref="BV45:CH45" si="1">SUM(BV9:BV40)</f>
        <v>7507060000</v>
      </c>
      <c r="BW45" s="45">
        <f t="shared" si="1"/>
        <v>0</v>
      </c>
      <c r="BX45" s="45">
        <f t="shared" si="1"/>
        <v>0</v>
      </c>
      <c r="BY45" s="45">
        <f t="shared" si="1"/>
        <v>0</v>
      </c>
      <c r="BZ45" s="45">
        <f t="shared" si="1"/>
        <v>0</v>
      </c>
      <c r="CA45" s="45">
        <f t="shared" si="1"/>
        <v>0</v>
      </c>
      <c r="CB45" s="45">
        <f t="shared" si="1"/>
        <v>0</v>
      </c>
      <c r="CC45" s="45">
        <f t="shared" si="1"/>
        <v>0</v>
      </c>
      <c r="CD45" s="45">
        <f t="shared" si="1"/>
        <v>0</v>
      </c>
      <c r="CE45" s="45">
        <f t="shared" si="1"/>
        <v>0</v>
      </c>
      <c r="CF45" s="45">
        <f t="shared" si="1"/>
        <v>0</v>
      </c>
      <c r="CG45" s="45">
        <f t="shared" si="1"/>
        <v>0</v>
      </c>
      <c r="CH45" s="45">
        <f t="shared" si="1"/>
        <v>0</v>
      </c>
      <c r="CI45" s="232">
        <f>CH45+BV45</f>
        <v>7507060000</v>
      </c>
      <c r="CJ45" s="180">
        <f t="shared" ref="CJ45:DD45" si="2">SUM(CJ9:CJ40)</f>
        <v>600000000</v>
      </c>
      <c r="CK45" s="180">
        <f t="shared" si="2"/>
        <v>0</v>
      </c>
      <c r="CL45" s="180">
        <f t="shared" si="2"/>
        <v>0</v>
      </c>
      <c r="CM45" s="180">
        <f t="shared" si="2"/>
        <v>0</v>
      </c>
      <c r="CN45" s="180">
        <f t="shared" si="2"/>
        <v>0</v>
      </c>
      <c r="CO45" s="180">
        <f t="shared" si="2"/>
        <v>0</v>
      </c>
      <c r="CP45" s="180">
        <f t="shared" si="2"/>
        <v>0</v>
      </c>
      <c r="CQ45" s="180">
        <f t="shared" si="2"/>
        <v>600000000</v>
      </c>
      <c r="CR45" s="45">
        <f t="shared" si="2"/>
        <v>627000000</v>
      </c>
      <c r="CS45" s="45">
        <f t="shared" si="2"/>
        <v>0</v>
      </c>
      <c r="CT45" s="45">
        <f t="shared" si="2"/>
        <v>0</v>
      </c>
      <c r="CU45" s="45">
        <f t="shared" si="2"/>
        <v>0</v>
      </c>
      <c r="CV45" s="45">
        <f t="shared" si="2"/>
        <v>0</v>
      </c>
      <c r="CW45" s="45">
        <f t="shared" si="2"/>
        <v>627000000</v>
      </c>
      <c r="CX45" s="45">
        <f t="shared" si="2"/>
        <v>210000000</v>
      </c>
      <c r="CY45" s="45">
        <f t="shared" si="2"/>
        <v>30000000</v>
      </c>
      <c r="CZ45" s="45">
        <f t="shared" si="2"/>
        <v>80000000</v>
      </c>
      <c r="DA45" s="45">
        <f t="shared" si="2"/>
        <v>110000000</v>
      </c>
      <c r="DB45" s="45">
        <f t="shared" si="2"/>
        <v>320000000</v>
      </c>
      <c r="DC45" s="45">
        <f t="shared" si="2"/>
        <v>0</v>
      </c>
      <c r="DD45" s="45">
        <f t="shared" si="2"/>
        <v>9054060000</v>
      </c>
      <c r="DE45" s="180"/>
      <c r="DF45" s="90">
        <f>DD45-BU45</f>
        <v>-5945883658</v>
      </c>
    </row>
    <row r="46" spans="1:110" s="4" customFormat="1" ht="44.1" customHeight="1">
      <c r="A46" s="582"/>
      <c r="B46" s="607" t="s">
        <v>385</v>
      </c>
      <c r="C46" s="588" t="s">
        <v>252</v>
      </c>
      <c r="D46" s="573" t="s">
        <v>218</v>
      </c>
      <c r="E46" s="310">
        <v>500000000</v>
      </c>
      <c r="F46" s="310">
        <v>500000000</v>
      </c>
      <c r="G46" s="310">
        <v>500000000</v>
      </c>
      <c r="H46" s="321"/>
      <c r="I46" s="321"/>
      <c r="J46" s="321"/>
      <c r="K46" s="321"/>
      <c r="L46" s="339">
        <v>20</v>
      </c>
      <c r="M46" s="339">
        <v>40</v>
      </c>
      <c r="N46" s="339">
        <v>40</v>
      </c>
      <c r="O46" s="339">
        <f>SUM(L46:N49)</f>
        <v>100</v>
      </c>
      <c r="P46" s="321"/>
      <c r="Q46" s="321"/>
      <c r="R46" s="321"/>
      <c r="S46" s="321"/>
      <c r="T46" s="321"/>
      <c r="U46" s="321"/>
      <c r="V46" s="321"/>
      <c r="W46" s="321"/>
      <c r="X46" s="321"/>
      <c r="Y46" s="321"/>
      <c r="Z46" s="321"/>
      <c r="AA46" s="321"/>
      <c r="AB46" s="321"/>
      <c r="AC46" s="321"/>
      <c r="AD46" s="321"/>
      <c r="AE46" s="321"/>
      <c r="AF46" s="321"/>
      <c r="AG46" s="321"/>
      <c r="AH46" s="321"/>
      <c r="AI46" s="321"/>
      <c r="AJ46" s="364" t="s">
        <v>27</v>
      </c>
      <c r="AK46" s="418" t="s">
        <v>30</v>
      </c>
      <c r="AL46" s="15" t="s">
        <v>257</v>
      </c>
      <c r="AM46" s="26">
        <v>41414</v>
      </c>
      <c r="AN46" s="26">
        <v>41432</v>
      </c>
      <c r="AO46" s="310">
        <v>500000000</v>
      </c>
      <c r="AP46" s="310">
        <v>30200000</v>
      </c>
      <c r="AQ46" s="310">
        <f>AO46-AP46</f>
        <v>469800000</v>
      </c>
      <c r="AR46" s="310">
        <v>500000000</v>
      </c>
      <c r="AS46" s="319">
        <f>32000000+19000000</f>
        <v>51000000</v>
      </c>
      <c r="AT46" s="310">
        <f>AR46-AS46</f>
        <v>449000000</v>
      </c>
      <c r="AU46" s="310">
        <v>500000000</v>
      </c>
      <c r="AV46" s="310">
        <v>30200000</v>
      </c>
      <c r="AW46" s="310">
        <f>AU46-AV46</f>
        <v>469800000</v>
      </c>
      <c r="AX46" s="364"/>
      <c r="AY46" s="65"/>
      <c r="AZ46" s="65"/>
      <c r="BA46" s="65"/>
      <c r="BB46" s="65"/>
      <c r="BC46" s="65"/>
      <c r="BD46" s="65"/>
      <c r="BE46" s="65"/>
      <c r="BF46" s="65"/>
      <c r="BG46" s="65"/>
      <c r="BH46" s="65"/>
      <c r="BI46" s="65"/>
      <c r="BJ46" s="65"/>
      <c r="BK46" s="65"/>
      <c r="BL46" s="65"/>
      <c r="BM46" s="405">
        <v>5563978</v>
      </c>
      <c r="BN46" s="405">
        <v>500000000</v>
      </c>
      <c r="BO46" s="360">
        <v>9145163</v>
      </c>
      <c r="BP46" s="360">
        <v>500000000</v>
      </c>
      <c r="BQ46" s="360">
        <v>8680550</v>
      </c>
      <c r="BR46" s="360">
        <v>500000000</v>
      </c>
      <c r="BS46" s="360">
        <f>BM46+BO46+BQ46</f>
        <v>23389691</v>
      </c>
      <c r="BT46" s="405">
        <f>BN46+BP46+BR46</f>
        <v>1500000000</v>
      </c>
      <c r="BU46" s="341">
        <f>BS46+BT46</f>
        <v>1523389691</v>
      </c>
      <c r="BV46" s="360">
        <v>800000000</v>
      </c>
      <c r="BW46" s="341"/>
      <c r="BX46" s="341"/>
      <c r="BY46" s="341"/>
      <c r="BZ46" s="341"/>
      <c r="CA46" s="310"/>
      <c r="CB46" s="310"/>
      <c r="CC46" s="310"/>
      <c r="CD46" s="310"/>
      <c r="CE46" s="310"/>
      <c r="CF46" s="310"/>
      <c r="CG46" s="310"/>
      <c r="CH46" s="341">
        <f>SUM(BW46:CG47)</f>
        <v>0</v>
      </c>
      <c r="CI46" s="341">
        <f>CH46+BV46</f>
        <v>800000000</v>
      </c>
      <c r="CJ46" s="341">
        <v>300000000</v>
      </c>
      <c r="CK46" s="341"/>
      <c r="CL46" s="341"/>
      <c r="CM46" s="341"/>
      <c r="CN46" s="341"/>
      <c r="CO46" s="341"/>
      <c r="CP46" s="341">
        <f>SUM(CK46:CO47)</f>
        <v>0</v>
      </c>
      <c r="CQ46" s="341">
        <f>CP46+CJ46</f>
        <v>300000000</v>
      </c>
      <c r="CR46" s="341">
        <v>135000000</v>
      </c>
      <c r="CS46" s="341"/>
      <c r="CT46" s="341"/>
      <c r="CU46" s="341"/>
      <c r="CV46" s="341">
        <f>SUM(CS46:CU47)</f>
        <v>0</v>
      </c>
      <c r="CW46" s="341">
        <f>CV46+CR46</f>
        <v>135000000</v>
      </c>
      <c r="CX46" s="341">
        <v>90000000</v>
      </c>
      <c r="CY46" s="341">
        <v>45000000</v>
      </c>
      <c r="CZ46" s="341">
        <v>45000000</v>
      </c>
      <c r="DA46" s="341">
        <f>SUM(CY46:CZ47)</f>
        <v>90000000</v>
      </c>
      <c r="DB46" s="341">
        <f>DA46+CX46</f>
        <v>180000000</v>
      </c>
      <c r="DC46" s="341"/>
      <c r="DD46" s="341">
        <f>DB46+CW46+CQ46+CI46+DC46</f>
        <v>1415000000</v>
      </c>
      <c r="DE46" s="322" t="s">
        <v>156</v>
      </c>
    </row>
    <row r="47" spans="1:110" s="4" customFormat="1" ht="36">
      <c r="A47" s="582"/>
      <c r="B47" s="608"/>
      <c r="C47" s="589"/>
      <c r="D47" s="584"/>
      <c r="E47" s="310"/>
      <c r="F47" s="310"/>
      <c r="G47" s="310"/>
      <c r="H47" s="321"/>
      <c r="I47" s="321"/>
      <c r="J47" s="321"/>
      <c r="K47" s="321"/>
      <c r="L47" s="339"/>
      <c r="M47" s="339"/>
      <c r="N47" s="339"/>
      <c r="O47" s="339"/>
      <c r="P47" s="321"/>
      <c r="Q47" s="321"/>
      <c r="R47" s="321"/>
      <c r="S47" s="321"/>
      <c r="T47" s="321"/>
      <c r="U47" s="321"/>
      <c r="V47" s="321"/>
      <c r="W47" s="321"/>
      <c r="X47" s="321"/>
      <c r="Y47" s="321"/>
      <c r="Z47" s="321"/>
      <c r="AA47" s="321"/>
      <c r="AB47" s="321"/>
      <c r="AC47" s="321"/>
      <c r="AD47" s="321"/>
      <c r="AE47" s="321"/>
      <c r="AF47" s="321"/>
      <c r="AG47" s="321"/>
      <c r="AH47" s="321"/>
      <c r="AI47" s="321"/>
      <c r="AJ47" s="365"/>
      <c r="AK47" s="419"/>
      <c r="AL47" s="15" t="s">
        <v>253</v>
      </c>
      <c r="AM47" s="26">
        <v>41435</v>
      </c>
      <c r="AN47" s="26">
        <v>41628</v>
      </c>
      <c r="AO47" s="310"/>
      <c r="AP47" s="310"/>
      <c r="AQ47" s="310"/>
      <c r="AR47" s="310"/>
      <c r="AS47" s="319"/>
      <c r="AT47" s="310"/>
      <c r="AU47" s="310"/>
      <c r="AV47" s="310"/>
      <c r="AW47" s="310"/>
      <c r="AX47" s="365"/>
      <c r="AY47" s="131"/>
      <c r="AZ47" s="131"/>
      <c r="BA47" s="131"/>
      <c r="BB47" s="131"/>
      <c r="BC47" s="131"/>
      <c r="BD47" s="131"/>
      <c r="BE47" s="131"/>
      <c r="BF47" s="131"/>
      <c r="BG47" s="131"/>
      <c r="BH47" s="131"/>
      <c r="BI47" s="131"/>
      <c r="BJ47" s="131"/>
      <c r="BK47" s="131"/>
      <c r="BL47" s="131"/>
      <c r="BM47" s="408"/>
      <c r="BN47" s="408"/>
      <c r="BO47" s="362"/>
      <c r="BP47" s="362"/>
      <c r="BQ47" s="362"/>
      <c r="BR47" s="361"/>
      <c r="BS47" s="361"/>
      <c r="BT47" s="406"/>
      <c r="BU47" s="341"/>
      <c r="BV47" s="361"/>
      <c r="BW47" s="341"/>
      <c r="BX47" s="341"/>
      <c r="BY47" s="341"/>
      <c r="BZ47" s="341"/>
      <c r="CA47" s="310"/>
      <c r="CB47" s="310"/>
      <c r="CC47" s="310"/>
      <c r="CD47" s="310"/>
      <c r="CE47" s="310"/>
      <c r="CF47" s="310"/>
      <c r="CG47" s="310"/>
      <c r="CH47" s="341"/>
      <c r="CI47" s="341"/>
      <c r="CJ47" s="341"/>
      <c r="CK47" s="341"/>
      <c r="CL47" s="341"/>
      <c r="CM47" s="341"/>
      <c r="CN47" s="341"/>
      <c r="CO47" s="341"/>
      <c r="CP47" s="341"/>
      <c r="CQ47" s="341"/>
      <c r="CR47" s="341"/>
      <c r="CS47" s="341"/>
      <c r="CT47" s="341"/>
      <c r="CU47" s="341"/>
      <c r="CV47" s="341"/>
      <c r="CW47" s="341"/>
      <c r="CX47" s="341"/>
      <c r="CY47" s="341"/>
      <c r="CZ47" s="341"/>
      <c r="DA47" s="341"/>
      <c r="DB47" s="341"/>
      <c r="DC47" s="341"/>
      <c r="DD47" s="341"/>
      <c r="DE47" s="323"/>
    </row>
    <row r="48" spans="1:110" s="4" customFormat="1" ht="48">
      <c r="A48" s="582"/>
      <c r="B48" s="608"/>
      <c r="C48" s="589"/>
      <c r="D48" s="584"/>
      <c r="E48" s="310"/>
      <c r="F48" s="310"/>
      <c r="G48" s="310"/>
      <c r="H48" s="321"/>
      <c r="I48" s="321"/>
      <c r="J48" s="321"/>
      <c r="K48" s="321"/>
      <c r="L48" s="339"/>
      <c r="M48" s="339"/>
      <c r="N48" s="339"/>
      <c r="O48" s="339"/>
      <c r="P48" s="321"/>
      <c r="Q48" s="321"/>
      <c r="R48" s="321"/>
      <c r="S48" s="321"/>
      <c r="T48" s="321"/>
      <c r="U48" s="321"/>
      <c r="V48" s="321"/>
      <c r="W48" s="321"/>
      <c r="X48" s="321"/>
      <c r="Y48" s="321"/>
      <c r="Z48" s="321"/>
      <c r="AA48" s="321"/>
      <c r="AB48" s="321"/>
      <c r="AC48" s="321"/>
      <c r="AD48" s="321"/>
      <c r="AE48" s="321"/>
      <c r="AF48" s="321"/>
      <c r="AG48" s="321"/>
      <c r="AH48" s="321"/>
      <c r="AI48" s="321"/>
      <c r="AJ48" s="365"/>
      <c r="AK48" s="419"/>
      <c r="AL48" s="15" t="s">
        <v>254</v>
      </c>
      <c r="AM48" s="26">
        <v>41487</v>
      </c>
      <c r="AN48" s="26">
        <v>41628</v>
      </c>
      <c r="AO48" s="310"/>
      <c r="AP48" s="310"/>
      <c r="AQ48" s="310"/>
      <c r="AR48" s="310"/>
      <c r="AS48" s="319"/>
      <c r="AT48" s="310"/>
      <c r="AU48" s="310"/>
      <c r="AV48" s="310"/>
      <c r="AW48" s="310"/>
      <c r="AX48" s="365"/>
      <c r="AY48" s="131"/>
      <c r="AZ48" s="131"/>
      <c r="BA48" s="131"/>
      <c r="BB48" s="131"/>
      <c r="BC48" s="131"/>
      <c r="BD48" s="131"/>
      <c r="BE48" s="131"/>
      <c r="BF48" s="131"/>
      <c r="BG48" s="131"/>
      <c r="BH48" s="131"/>
      <c r="BI48" s="131"/>
      <c r="BJ48" s="131"/>
      <c r="BK48" s="131"/>
      <c r="BL48" s="131"/>
      <c r="BM48" s="408"/>
      <c r="BN48" s="408"/>
      <c r="BO48" s="362"/>
      <c r="BP48" s="362"/>
      <c r="BQ48" s="117"/>
      <c r="BR48" s="117"/>
      <c r="BS48" s="117"/>
      <c r="BT48" s="135"/>
      <c r="BU48" s="29"/>
      <c r="BV48" s="117"/>
      <c r="BW48" s="29"/>
      <c r="BX48" s="29"/>
      <c r="BY48" s="29"/>
      <c r="BZ48" s="29"/>
      <c r="CA48" s="26"/>
      <c r="CB48" s="26"/>
      <c r="CC48" s="26"/>
      <c r="CD48" s="26"/>
      <c r="CE48" s="26"/>
      <c r="CF48" s="26"/>
      <c r="CG48" s="26"/>
      <c r="CH48" s="29"/>
      <c r="CI48" s="29"/>
      <c r="CJ48" s="29"/>
      <c r="CK48" s="29"/>
      <c r="CL48" s="29"/>
      <c r="CM48" s="29"/>
      <c r="CN48" s="29"/>
      <c r="CO48" s="29"/>
      <c r="CP48" s="29"/>
      <c r="CQ48" s="29"/>
      <c r="CR48" s="29"/>
      <c r="CS48" s="29"/>
      <c r="CT48" s="29"/>
      <c r="CU48" s="29"/>
      <c r="CV48" s="29"/>
      <c r="CW48" s="29"/>
      <c r="CX48" s="29"/>
      <c r="CY48" s="29"/>
      <c r="CZ48" s="29"/>
      <c r="DA48" s="29"/>
      <c r="DB48" s="29"/>
      <c r="DC48" s="29"/>
      <c r="DD48" s="29"/>
      <c r="DE48" s="126"/>
    </row>
    <row r="49" spans="1:109" s="4" customFormat="1" ht="36">
      <c r="A49" s="582"/>
      <c r="B49" s="608"/>
      <c r="C49" s="590"/>
      <c r="D49" s="574"/>
      <c r="E49" s="310"/>
      <c r="F49" s="310"/>
      <c r="G49" s="310"/>
      <c r="H49" s="321"/>
      <c r="I49" s="321"/>
      <c r="J49" s="321"/>
      <c r="K49" s="321"/>
      <c r="L49" s="339"/>
      <c r="M49" s="339"/>
      <c r="N49" s="339"/>
      <c r="O49" s="339"/>
      <c r="P49" s="321"/>
      <c r="Q49" s="321"/>
      <c r="R49" s="321"/>
      <c r="S49" s="321"/>
      <c r="T49" s="321"/>
      <c r="U49" s="321"/>
      <c r="V49" s="321"/>
      <c r="W49" s="321"/>
      <c r="X49" s="321"/>
      <c r="Y49" s="321"/>
      <c r="Z49" s="321"/>
      <c r="AA49" s="321"/>
      <c r="AB49" s="321"/>
      <c r="AC49" s="321"/>
      <c r="AD49" s="321"/>
      <c r="AE49" s="321"/>
      <c r="AF49" s="321"/>
      <c r="AG49" s="321"/>
      <c r="AH49" s="321"/>
      <c r="AI49" s="321"/>
      <c r="AJ49" s="366"/>
      <c r="AK49" s="420"/>
      <c r="AL49" s="15" t="s">
        <v>255</v>
      </c>
      <c r="AM49" s="26">
        <v>41519</v>
      </c>
      <c r="AN49" s="26">
        <v>41628</v>
      </c>
      <c r="AO49" s="310"/>
      <c r="AP49" s="310"/>
      <c r="AQ49" s="310"/>
      <c r="AR49" s="310"/>
      <c r="AS49" s="319"/>
      <c r="AT49" s="310"/>
      <c r="AU49" s="310"/>
      <c r="AV49" s="310"/>
      <c r="AW49" s="310"/>
      <c r="AX49" s="366"/>
      <c r="AY49" s="137"/>
      <c r="AZ49" s="137"/>
      <c r="BA49" s="137"/>
      <c r="BB49" s="137"/>
      <c r="BC49" s="137"/>
      <c r="BD49" s="137"/>
      <c r="BE49" s="137"/>
      <c r="BF49" s="137"/>
      <c r="BG49" s="137"/>
      <c r="BH49" s="137"/>
      <c r="BI49" s="137"/>
      <c r="BJ49" s="137"/>
      <c r="BK49" s="137"/>
      <c r="BL49" s="137"/>
      <c r="BM49" s="406"/>
      <c r="BN49" s="406"/>
      <c r="BO49" s="361"/>
      <c r="BP49" s="361"/>
      <c r="BQ49" s="117"/>
      <c r="BR49" s="117"/>
      <c r="BS49" s="117"/>
      <c r="BT49" s="135"/>
      <c r="BU49" s="29"/>
      <c r="BV49" s="117"/>
      <c r="BW49" s="29"/>
      <c r="BX49" s="29"/>
      <c r="BY49" s="29"/>
      <c r="BZ49" s="29"/>
      <c r="CA49" s="26"/>
      <c r="CB49" s="26"/>
      <c r="CC49" s="26"/>
      <c r="CD49" s="26"/>
      <c r="CE49" s="26"/>
      <c r="CF49" s="26"/>
      <c r="CG49" s="26"/>
      <c r="CH49" s="29"/>
      <c r="CI49" s="29"/>
      <c r="CJ49" s="29"/>
      <c r="CK49" s="29"/>
      <c r="CL49" s="29"/>
      <c r="CM49" s="29"/>
      <c r="CN49" s="29"/>
      <c r="CO49" s="29"/>
      <c r="CP49" s="29"/>
      <c r="CQ49" s="29"/>
      <c r="CR49" s="29"/>
      <c r="CS49" s="29"/>
      <c r="CT49" s="29"/>
      <c r="CU49" s="29"/>
      <c r="CV49" s="29"/>
      <c r="CW49" s="29"/>
      <c r="CX49" s="29"/>
      <c r="CY49" s="29"/>
      <c r="CZ49" s="29"/>
      <c r="DA49" s="29"/>
      <c r="DB49" s="29"/>
      <c r="DC49" s="29"/>
      <c r="DD49" s="29"/>
      <c r="DE49" s="126"/>
    </row>
    <row r="50" spans="1:109" s="4" customFormat="1" ht="44.1" customHeight="1">
      <c r="A50" s="582"/>
      <c r="B50" s="608"/>
      <c r="C50" s="588" t="s">
        <v>256</v>
      </c>
      <c r="D50" s="573" t="s">
        <v>219</v>
      </c>
      <c r="E50" s="310">
        <v>517553333</v>
      </c>
      <c r="F50" s="310">
        <v>517553333</v>
      </c>
      <c r="G50" s="310">
        <v>517553333</v>
      </c>
      <c r="H50" s="321"/>
      <c r="I50" s="321"/>
      <c r="J50" s="321"/>
      <c r="K50" s="321"/>
      <c r="L50" s="339">
        <v>14</v>
      </c>
      <c r="M50" s="339">
        <v>28</v>
      </c>
      <c r="N50" s="339">
        <v>28</v>
      </c>
      <c r="O50" s="339">
        <f>SUM(L50:N53)</f>
        <v>70</v>
      </c>
      <c r="P50" s="321"/>
      <c r="Q50" s="321"/>
      <c r="R50" s="321"/>
      <c r="S50" s="321"/>
      <c r="T50" s="321"/>
      <c r="U50" s="321"/>
      <c r="V50" s="321"/>
      <c r="W50" s="321"/>
      <c r="X50" s="321"/>
      <c r="Y50" s="321"/>
      <c r="Z50" s="321"/>
      <c r="AA50" s="321"/>
      <c r="AB50" s="321"/>
      <c r="AC50" s="321"/>
      <c r="AD50" s="321"/>
      <c r="AE50" s="321"/>
      <c r="AF50" s="321"/>
      <c r="AG50" s="321"/>
      <c r="AH50" s="321"/>
      <c r="AI50" s="321"/>
      <c r="AJ50" s="364" t="s">
        <v>93</v>
      </c>
      <c r="AK50" s="418" t="s">
        <v>30</v>
      </c>
      <c r="AL50" s="15" t="s">
        <v>259</v>
      </c>
      <c r="AM50" s="26">
        <v>41414</v>
      </c>
      <c r="AN50" s="26">
        <v>41432</v>
      </c>
      <c r="AO50" s="310">
        <v>517553333</v>
      </c>
      <c r="AP50" s="310">
        <v>159000000</v>
      </c>
      <c r="AQ50" s="310">
        <f>AO50-AP50</f>
        <v>358553333</v>
      </c>
      <c r="AR50" s="310">
        <v>517553333</v>
      </c>
      <c r="AS50" s="319">
        <v>72500000</v>
      </c>
      <c r="AT50" s="310">
        <f>AR50-AS50</f>
        <v>445053333</v>
      </c>
      <c r="AU50" s="310">
        <v>517553333</v>
      </c>
      <c r="AV50" s="310">
        <v>159000000</v>
      </c>
      <c r="AW50" s="310">
        <f>AU50-AV50</f>
        <v>358553333</v>
      </c>
      <c r="AX50" s="65"/>
      <c r="AY50" s="65"/>
      <c r="AZ50" s="65"/>
      <c r="BA50" s="65"/>
      <c r="BB50" s="65"/>
      <c r="BC50" s="65"/>
      <c r="BD50" s="65"/>
      <c r="BE50" s="65"/>
      <c r="BF50" s="65"/>
      <c r="BG50" s="65"/>
      <c r="BH50" s="65"/>
      <c r="BI50" s="65"/>
      <c r="BJ50" s="65"/>
      <c r="BK50" s="65"/>
      <c r="BL50" s="65"/>
      <c r="BM50" s="405">
        <v>5563978</v>
      </c>
      <c r="BN50" s="405">
        <v>517553333</v>
      </c>
      <c r="BO50" s="360">
        <v>9145163</v>
      </c>
      <c r="BP50" s="360">
        <v>517553333</v>
      </c>
      <c r="BQ50" s="360">
        <v>8680550</v>
      </c>
      <c r="BR50" s="360">
        <v>517553333</v>
      </c>
      <c r="BS50" s="360">
        <f>BM50+BO50+BQ50</f>
        <v>23389691</v>
      </c>
      <c r="BT50" s="405">
        <f>BN50+BP50+BR50</f>
        <v>1552659999</v>
      </c>
      <c r="BU50" s="341">
        <f>BS50+BT50</f>
        <v>1576049690</v>
      </c>
      <c r="BV50" s="360">
        <v>800000000</v>
      </c>
      <c r="BW50" s="341"/>
      <c r="BX50" s="341"/>
      <c r="BY50" s="341"/>
      <c r="BZ50" s="341"/>
      <c r="CA50" s="310"/>
      <c r="CB50" s="310"/>
      <c r="CC50" s="310"/>
      <c r="CD50" s="310"/>
      <c r="CE50" s="310"/>
      <c r="CF50" s="310"/>
      <c r="CG50" s="310"/>
      <c r="CH50" s="341">
        <f>SUM(BW50:CG51)</f>
        <v>0</v>
      </c>
      <c r="CI50" s="341">
        <f>CH50+BV50</f>
        <v>800000000</v>
      </c>
      <c r="CJ50" s="341">
        <v>350000000</v>
      </c>
      <c r="CK50" s="341"/>
      <c r="CL50" s="341"/>
      <c r="CM50" s="341"/>
      <c r="CN50" s="341"/>
      <c r="CO50" s="341"/>
      <c r="CP50" s="341">
        <f>SUM(CK50:CO51)</f>
        <v>0</v>
      </c>
      <c r="CQ50" s="341">
        <f>CP50+CJ50</f>
        <v>350000000</v>
      </c>
      <c r="CR50" s="341">
        <v>195000000</v>
      </c>
      <c r="CS50" s="341"/>
      <c r="CT50" s="341"/>
      <c r="CU50" s="341"/>
      <c r="CV50" s="341">
        <f>SUM(CS50:CU51)</f>
        <v>0</v>
      </c>
      <c r="CW50" s="341">
        <f>CV50+CR50</f>
        <v>195000000</v>
      </c>
      <c r="CX50" s="341">
        <v>207000000</v>
      </c>
      <c r="CY50" s="341">
        <v>75000000</v>
      </c>
      <c r="CZ50" s="341">
        <v>132000000</v>
      </c>
      <c r="DA50" s="341">
        <f>SUM(CY50:CZ51)</f>
        <v>207000000</v>
      </c>
      <c r="DB50" s="341">
        <f>DA50+CX50</f>
        <v>414000000</v>
      </c>
      <c r="DC50" s="341"/>
      <c r="DD50" s="341">
        <f>DB50+CW50+CQ50+CI50+DC50</f>
        <v>1759000000</v>
      </c>
      <c r="DE50" s="346" t="s">
        <v>157</v>
      </c>
    </row>
    <row r="51" spans="1:109" s="4" customFormat="1" ht="48">
      <c r="A51" s="582"/>
      <c r="B51" s="608"/>
      <c r="C51" s="589"/>
      <c r="D51" s="584"/>
      <c r="E51" s="310"/>
      <c r="F51" s="310"/>
      <c r="G51" s="310"/>
      <c r="H51" s="321"/>
      <c r="I51" s="321"/>
      <c r="J51" s="321"/>
      <c r="K51" s="321"/>
      <c r="L51" s="339"/>
      <c r="M51" s="339"/>
      <c r="N51" s="339"/>
      <c r="O51" s="339"/>
      <c r="P51" s="321"/>
      <c r="Q51" s="321"/>
      <c r="R51" s="321"/>
      <c r="S51" s="321"/>
      <c r="T51" s="321"/>
      <c r="U51" s="321"/>
      <c r="V51" s="321"/>
      <c r="W51" s="321"/>
      <c r="X51" s="321"/>
      <c r="Y51" s="321"/>
      <c r="Z51" s="321"/>
      <c r="AA51" s="321"/>
      <c r="AB51" s="321"/>
      <c r="AC51" s="321"/>
      <c r="AD51" s="321"/>
      <c r="AE51" s="321"/>
      <c r="AF51" s="321"/>
      <c r="AG51" s="321"/>
      <c r="AH51" s="321"/>
      <c r="AI51" s="321"/>
      <c r="AJ51" s="365"/>
      <c r="AK51" s="419"/>
      <c r="AL51" s="15" t="s">
        <v>258</v>
      </c>
      <c r="AM51" s="26">
        <v>41435</v>
      </c>
      <c r="AN51" s="26">
        <v>41628</v>
      </c>
      <c r="AO51" s="310"/>
      <c r="AP51" s="310"/>
      <c r="AQ51" s="310"/>
      <c r="AR51" s="310"/>
      <c r="AS51" s="319"/>
      <c r="AT51" s="310"/>
      <c r="AU51" s="310"/>
      <c r="AV51" s="310"/>
      <c r="AW51" s="310"/>
      <c r="AX51" s="137"/>
      <c r="AY51" s="137"/>
      <c r="AZ51" s="137"/>
      <c r="BA51" s="137"/>
      <c r="BB51" s="137"/>
      <c r="BC51" s="137"/>
      <c r="BD51" s="137"/>
      <c r="BE51" s="137"/>
      <c r="BF51" s="137"/>
      <c r="BG51" s="137"/>
      <c r="BH51" s="137"/>
      <c r="BI51" s="137"/>
      <c r="BJ51" s="137"/>
      <c r="BK51" s="137"/>
      <c r="BL51" s="137"/>
      <c r="BM51" s="406"/>
      <c r="BN51" s="406"/>
      <c r="BO51" s="361"/>
      <c r="BP51" s="361"/>
      <c r="BQ51" s="361"/>
      <c r="BR51" s="361"/>
      <c r="BS51" s="361"/>
      <c r="BT51" s="406"/>
      <c r="BU51" s="341"/>
      <c r="BV51" s="361"/>
      <c r="BW51" s="341"/>
      <c r="BX51" s="341"/>
      <c r="BY51" s="341"/>
      <c r="BZ51" s="341"/>
      <c r="CA51" s="310"/>
      <c r="CB51" s="310"/>
      <c r="CC51" s="310"/>
      <c r="CD51" s="310"/>
      <c r="CE51" s="310"/>
      <c r="CF51" s="310"/>
      <c r="CG51" s="310"/>
      <c r="CH51" s="341"/>
      <c r="CI51" s="341"/>
      <c r="CJ51" s="341"/>
      <c r="CK51" s="341"/>
      <c r="CL51" s="341"/>
      <c r="CM51" s="341"/>
      <c r="CN51" s="341"/>
      <c r="CO51" s="341"/>
      <c r="CP51" s="341"/>
      <c r="CQ51" s="341"/>
      <c r="CR51" s="341"/>
      <c r="CS51" s="341"/>
      <c r="CT51" s="341"/>
      <c r="CU51" s="341"/>
      <c r="CV51" s="341"/>
      <c r="CW51" s="341"/>
      <c r="CX51" s="341"/>
      <c r="CY51" s="341"/>
      <c r="CZ51" s="341"/>
      <c r="DA51" s="341"/>
      <c r="DB51" s="341"/>
      <c r="DC51" s="341"/>
      <c r="DD51" s="341"/>
      <c r="DE51" s="346"/>
    </row>
    <row r="52" spans="1:109" s="4" customFormat="1" ht="48">
      <c r="A52" s="582"/>
      <c r="B52" s="608"/>
      <c r="C52" s="589"/>
      <c r="D52" s="584"/>
      <c r="E52" s="310"/>
      <c r="F52" s="310"/>
      <c r="G52" s="310"/>
      <c r="H52" s="321"/>
      <c r="I52" s="321"/>
      <c r="J52" s="321"/>
      <c r="K52" s="321"/>
      <c r="L52" s="339"/>
      <c r="M52" s="339"/>
      <c r="N52" s="339"/>
      <c r="O52" s="339"/>
      <c r="P52" s="321"/>
      <c r="Q52" s="321"/>
      <c r="R52" s="321"/>
      <c r="S52" s="321"/>
      <c r="T52" s="321"/>
      <c r="U52" s="321"/>
      <c r="V52" s="321"/>
      <c r="W52" s="321"/>
      <c r="X52" s="321"/>
      <c r="Y52" s="321"/>
      <c r="Z52" s="321"/>
      <c r="AA52" s="321"/>
      <c r="AB52" s="321"/>
      <c r="AC52" s="321"/>
      <c r="AD52" s="321"/>
      <c r="AE52" s="321"/>
      <c r="AF52" s="321"/>
      <c r="AG52" s="321"/>
      <c r="AH52" s="321"/>
      <c r="AI52" s="321"/>
      <c r="AJ52" s="365"/>
      <c r="AK52" s="419"/>
      <c r="AL52" s="15" t="s">
        <v>254</v>
      </c>
      <c r="AM52" s="26">
        <v>41487</v>
      </c>
      <c r="AN52" s="26">
        <v>41628</v>
      </c>
      <c r="AO52" s="310"/>
      <c r="AP52" s="310"/>
      <c r="AQ52" s="310"/>
      <c r="AR52" s="310"/>
      <c r="AS52" s="319"/>
      <c r="AT52" s="310"/>
      <c r="AU52" s="310"/>
      <c r="AV52" s="310"/>
      <c r="AW52" s="310"/>
      <c r="AX52" s="131"/>
      <c r="AY52" s="131"/>
      <c r="AZ52" s="131"/>
      <c r="BA52" s="131"/>
      <c r="BB52" s="131"/>
      <c r="BC52" s="131"/>
      <c r="BD52" s="131"/>
      <c r="BE52" s="131"/>
      <c r="BF52" s="131"/>
      <c r="BG52" s="131"/>
      <c r="BH52" s="131"/>
      <c r="BI52" s="131"/>
      <c r="BJ52" s="131"/>
      <c r="BK52" s="131"/>
      <c r="BL52" s="131"/>
      <c r="BM52" s="135"/>
      <c r="BN52" s="135"/>
      <c r="BO52" s="117"/>
      <c r="BP52" s="117"/>
      <c r="BQ52" s="117"/>
      <c r="BR52" s="117"/>
      <c r="BS52" s="117"/>
      <c r="BT52" s="135"/>
      <c r="BU52" s="29"/>
      <c r="BV52" s="117"/>
      <c r="BW52" s="29"/>
      <c r="BX52" s="29"/>
      <c r="BY52" s="29"/>
      <c r="BZ52" s="29"/>
      <c r="CA52" s="26"/>
      <c r="CB52" s="26"/>
      <c r="CC52" s="26"/>
      <c r="CD52" s="26"/>
      <c r="CE52" s="26"/>
      <c r="CF52" s="26"/>
      <c r="CG52" s="26"/>
      <c r="CH52" s="29"/>
      <c r="CI52" s="29"/>
      <c r="CJ52" s="29"/>
      <c r="CK52" s="29"/>
      <c r="CL52" s="29"/>
      <c r="CM52" s="29"/>
      <c r="CN52" s="29"/>
      <c r="CO52" s="29"/>
      <c r="CP52" s="29"/>
      <c r="CQ52" s="29"/>
      <c r="CR52" s="29"/>
      <c r="CS52" s="29"/>
      <c r="CT52" s="29"/>
      <c r="CU52" s="29"/>
      <c r="CV52" s="29"/>
      <c r="CW52" s="29"/>
      <c r="CX52" s="29"/>
      <c r="CY52" s="29"/>
      <c r="CZ52" s="29"/>
      <c r="DA52" s="29"/>
      <c r="DB52" s="29"/>
      <c r="DC52" s="29"/>
      <c r="DD52" s="29"/>
      <c r="DE52" s="96"/>
    </row>
    <row r="53" spans="1:109" s="4" customFormat="1" ht="36">
      <c r="A53" s="582"/>
      <c r="B53" s="608"/>
      <c r="C53" s="590"/>
      <c r="D53" s="574"/>
      <c r="E53" s="310"/>
      <c r="F53" s="310"/>
      <c r="G53" s="310"/>
      <c r="H53" s="321"/>
      <c r="I53" s="321"/>
      <c r="J53" s="321"/>
      <c r="K53" s="321"/>
      <c r="L53" s="339"/>
      <c r="M53" s="339"/>
      <c r="N53" s="339"/>
      <c r="O53" s="339"/>
      <c r="P53" s="321"/>
      <c r="Q53" s="321"/>
      <c r="R53" s="321"/>
      <c r="S53" s="321"/>
      <c r="T53" s="321"/>
      <c r="U53" s="321"/>
      <c r="V53" s="321"/>
      <c r="W53" s="321"/>
      <c r="X53" s="321"/>
      <c r="Y53" s="321"/>
      <c r="Z53" s="321"/>
      <c r="AA53" s="321"/>
      <c r="AB53" s="321"/>
      <c r="AC53" s="321"/>
      <c r="AD53" s="321"/>
      <c r="AE53" s="321"/>
      <c r="AF53" s="321"/>
      <c r="AG53" s="321"/>
      <c r="AH53" s="321"/>
      <c r="AI53" s="321"/>
      <c r="AJ53" s="366"/>
      <c r="AK53" s="420"/>
      <c r="AL53" s="15" t="s">
        <v>255</v>
      </c>
      <c r="AM53" s="26">
        <v>41519</v>
      </c>
      <c r="AN53" s="26">
        <v>41628</v>
      </c>
      <c r="AO53" s="310"/>
      <c r="AP53" s="310"/>
      <c r="AQ53" s="310"/>
      <c r="AR53" s="310"/>
      <c r="AS53" s="319"/>
      <c r="AT53" s="310"/>
      <c r="AU53" s="310"/>
      <c r="AV53" s="310"/>
      <c r="AW53" s="310"/>
      <c r="AX53" s="131"/>
      <c r="AY53" s="131"/>
      <c r="AZ53" s="131"/>
      <c r="BA53" s="131"/>
      <c r="BB53" s="131"/>
      <c r="BC53" s="131"/>
      <c r="BD53" s="131"/>
      <c r="BE53" s="131"/>
      <c r="BF53" s="131"/>
      <c r="BG53" s="131"/>
      <c r="BH53" s="131"/>
      <c r="BI53" s="131"/>
      <c r="BJ53" s="131"/>
      <c r="BK53" s="131"/>
      <c r="BL53" s="131"/>
      <c r="BM53" s="135"/>
      <c r="BN53" s="135"/>
      <c r="BO53" s="117"/>
      <c r="BP53" s="117"/>
      <c r="BQ53" s="117"/>
      <c r="BR53" s="117"/>
      <c r="BS53" s="117"/>
      <c r="BT53" s="135"/>
      <c r="BU53" s="29"/>
      <c r="BV53" s="117"/>
      <c r="BW53" s="29"/>
      <c r="BX53" s="29"/>
      <c r="BY53" s="29"/>
      <c r="BZ53" s="29"/>
      <c r="CA53" s="26"/>
      <c r="CB53" s="26"/>
      <c r="CC53" s="26"/>
      <c r="CD53" s="26"/>
      <c r="CE53" s="26"/>
      <c r="CF53" s="26"/>
      <c r="CG53" s="26"/>
      <c r="CH53" s="29"/>
      <c r="CI53" s="29"/>
      <c r="CJ53" s="29"/>
      <c r="CK53" s="29"/>
      <c r="CL53" s="29"/>
      <c r="CM53" s="29"/>
      <c r="CN53" s="29"/>
      <c r="CO53" s="29"/>
      <c r="CP53" s="29"/>
      <c r="CQ53" s="29"/>
      <c r="CR53" s="29"/>
      <c r="CS53" s="29"/>
      <c r="CT53" s="29"/>
      <c r="CU53" s="29"/>
      <c r="CV53" s="29"/>
      <c r="CW53" s="29"/>
      <c r="CX53" s="29"/>
      <c r="CY53" s="29"/>
      <c r="CZ53" s="29"/>
      <c r="DA53" s="29"/>
      <c r="DB53" s="29"/>
      <c r="DC53" s="29"/>
      <c r="DD53" s="29"/>
      <c r="DE53" s="96"/>
    </row>
    <row r="54" spans="1:109" s="4" customFormat="1" ht="44.1" customHeight="1">
      <c r="A54" s="582"/>
      <c r="B54" s="608"/>
      <c r="C54" s="588" t="s">
        <v>260</v>
      </c>
      <c r="D54" s="573" t="s">
        <v>261</v>
      </c>
      <c r="E54" s="310">
        <v>477495000</v>
      </c>
      <c r="F54" s="310">
        <v>551772000</v>
      </c>
      <c r="G54" s="310">
        <v>618393000</v>
      </c>
      <c r="H54" s="321"/>
      <c r="I54" s="321"/>
      <c r="J54" s="321"/>
      <c r="K54" s="321"/>
      <c r="L54" s="339"/>
      <c r="M54" s="467">
        <v>90</v>
      </c>
      <c r="N54" s="467">
        <v>90</v>
      </c>
      <c r="O54" s="339">
        <f>SUM(L54:N56)</f>
        <v>180</v>
      </c>
      <c r="P54" s="321"/>
      <c r="Q54" s="321"/>
      <c r="R54" s="321"/>
      <c r="S54" s="321"/>
      <c r="T54" s="321"/>
      <c r="U54" s="321"/>
      <c r="V54" s="321"/>
      <c r="W54" s="321"/>
      <c r="X54" s="321"/>
      <c r="Y54" s="321"/>
      <c r="Z54" s="321"/>
      <c r="AA54" s="321"/>
      <c r="AB54" s="321"/>
      <c r="AC54" s="321"/>
      <c r="AD54" s="321"/>
      <c r="AE54" s="321"/>
      <c r="AF54" s="321"/>
      <c r="AG54" s="321"/>
      <c r="AH54" s="321"/>
      <c r="AI54" s="321"/>
      <c r="AJ54" s="364" t="s">
        <v>94</v>
      </c>
      <c r="AK54" s="418" t="s">
        <v>31</v>
      </c>
      <c r="AL54" s="15" t="s">
        <v>262</v>
      </c>
      <c r="AM54" s="26">
        <v>41414</v>
      </c>
      <c r="AN54" s="26">
        <v>41547</v>
      </c>
      <c r="AO54" s="310">
        <v>477495000</v>
      </c>
      <c r="AP54" s="310">
        <v>0</v>
      </c>
      <c r="AQ54" s="310">
        <f>AO54-AP54</f>
        <v>477495000</v>
      </c>
      <c r="AR54" s="310">
        <v>477495000</v>
      </c>
      <c r="AS54" s="319">
        <v>0</v>
      </c>
      <c r="AT54" s="310">
        <f>AR54-AS54</f>
        <v>477495000</v>
      </c>
      <c r="AU54" s="310">
        <v>477495000</v>
      </c>
      <c r="AV54" s="310">
        <v>0</v>
      </c>
      <c r="AW54" s="310">
        <f>AU54-AV54</f>
        <v>477495000</v>
      </c>
      <c r="AX54" s="65"/>
      <c r="AY54" s="65"/>
      <c r="AZ54" s="65"/>
      <c r="BA54" s="65"/>
      <c r="BB54" s="65"/>
      <c r="BC54" s="65"/>
      <c r="BD54" s="65"/>
      <c r="BE54" s="65"/>
      <c r="BF54" s="65"/>
      <c r="BG54" s="65"/>
      <c r="BH54" s="65"/>
      <c r="BI54" s="65"/>
      <c r="BJ54" s="65"/>
      <c r="BK54" s="65"/>
      <c r="BL54" s="65"/>
      <c r="BM54" s="405">
        <v>5563978</v>
      </c>
      <c r="BN54" s="405">
        <v>477495000</v>
      </c>
      <c r="BO54" s="360">
        <v>9145163</v>
      </c>
      <c r="BP54" s="360">
        <v>551772000</v>
      </c>
      <c r="BQ54" s="360">
        <v>8680550</v>
      </c>
      <c r="BR54" s="360">
        <v>618393000</v>
      </c>
      <c r="BS54" s="360">
        <f>BM54+BO54+BQ54</f>
        <v>23389691</v>
      </c>
      <c r="BT54" s="405">
        <f>BN54+BP54+BR54</f>
        <v>1647660000</v>
      </c>
      <c r="BU54" s="341">
        <f>BS54+BT54</f>
        <v>1671049691</v>
      </c>
      <c r="BV54" s="360">
        <v>797947200</v>
      </c>
      <c r="BW54" s="341"/>
      <c r="BX54" s="341"/>
      <c r="BY54" s="341"/>
      <c r="BZ54" s="341"/>
      <c r="CA54" s="341"/>
      <c r="CB54" s="341"/>
      <c r="CC54" s="341"/>
      <c r="CD54" s="341"/>
      <c r="CE54" s="341"/>
      <c r="CF54" s="341"/>
      <c r="CG54" s="341"/>
      <c r="CH54" s="341">
        <f>SUM(BW54:CG55)</f>
        <v>0</v>
      </c>
      <c r="CI54" s="341">
        <f>CH54+BV54</f>
        <v>797947200</v>
      </c>
      <c r="CJ54" s="341">
        <v>432000000</v>
      </c>
      <c r="CK54" s="341"/>
      <c r="CL54" s="341"/>
      <c r="CM54" s="341"/>
      <c r="CN54" s="341"/>
      <c r="CO54" s="341"/>
      <c r="CP54" s="341">
        <f>SUM(CK54:CO55)</f>
        <v>0</v>
      </c>
      <c r="CQ54" s="341">
        <f>CP54+CJ54</f>
        <v>432000000</v>
      </c>
      <c r="CR54" s="341">
        <v>100000000</v>
      </c>
      <c r="CS54" s="341"/>
      <c r="CT54" s="341"/>
      <c r="CU54" s="341"/>
      <c r="CV54" s="341">
        <f>SUM(CS54:CU55)</f>
        <v>0</v>
      </c>
      <c r="CW54" s="341">
        <f>CV54+CR54</f>
        <v>100000000</v>
      </c>
      <c r="CX54" s="341">
        <v>120000000</v>
      </c>
      <c r="CY54" s="341">
        <v>58000000</v>
      </c>
      <c r="CZ54" s="341">
        <v>62000000</v>
      </c>
      <c r="DA54" s="341">
        <f>SUM(CY54:CZ55)</f>
        <v>120000000</v>
      </c>
      <c r="DB54" s="341">
        <f>DA54+CX54</f>
        <v>240000000</v>
      </c>
      <c r="DC54" s="341"/>
      <c r="DD54" s="341">
        <f>DB54+CW54+CQ54+CI54+DC54</f>
        <v>1569947200</v>
      </c>
      <c r="DE54" s="346" t="s">
        <v>158</v>
      </c>
    </row>
    <row r="55" spans="1:109" s="4" customFormat="1" ht="60">
      <c r="A55" s="582"/>
      <c r="B55" s="608"/>
      <c r="C55" s="589"/>
      <c r="D55" s="584"/>
      <c r="E55" s="310"/>
      <c r="F55" s="310"/>
      <c r="G55" s="310"/>
      <c r="H55" s="321"/>
      <c r="I55" s="321"/>
      <c r="J55" s="321"/>
      <c r="K55" s="321"/>
      <c r="L55" s="339"/>
      <c r="M55" s="468"/>
      <c r="N55" s="468"/>
      <c r="O55" s="339"/>
      <c r="P55" s="321"/>
      <c r="Q55" s="321"/>
      <c r="R55" s="321"/>
      <c r="S55" s="321"/>
      <c r="T55" s="321"/>
      <c r="U55" s="321"/>
      <c r="V55" s="321"/>
      <c r="W55" s="321"/>
      <c r="X55" s="321"/>
      <c r="Y55" s="321"/>
      <c r="Z55" s="321"/>
      <c r="AA55" s="321"/>
      <c r="AB55" s="321"/>
      <c r="AC55" s="321"/>
      <c r="AD55" s="321"/>
      <c r="AE55" s="321"/>
      <c r="AF55" s="321"/>
      <c r="AG55" s="321"/>
      <c r="AH55" s="321"/>
      <c r="AI55" s="321"/>
      <c r="AJ55" s="365"/>
      <c r="AK55" s="419"/>
      <c r="AL55" s="15" t="s">
        <v>263</v>
      </c>
      <c r="AM55" s="26">
        <v>41414</v>
      </c>
      <c r="AN55" s="26">
        <v>41453</v>
      </c>
      <c r="AO55" s="310"/>
      <c r="AP55" s="310"/>
      <c r="AQ55" s="310"/>
      <c r="AR55" s="310"/>
      <c r="AS55" s="319"/>
      <c r="AT55" s="310"/>
      <c r="AU55" s="310"/>
      <c r="AV55" s="310"/>
      <c r="AW55" s="310"/>
      <c r="AX55" s="137"/>
      <c r="AY55" s="137"/>
      <c r="AZ55" s="137"/>
      <c r="BA55" s="137"/>
      <c r="BB55" s="137"/>
      <c r="BC55" s="137"/>
      <c r="BD55" s="137"/>
      <c r="BE55" s="137"/>
      <c r="BF55" s="137"/>
      <c r="BG55" s="137"/>
      <c r="BH55" s="137"/>
      <c r="BI55" s="137"/>
      <c r="BJ55" s="137"/>
      <c r="BK55" s="137"/>
      <c r="BL55" s="137"/>
      <c r="BM55" s="406"/>
      <c r="BN55" s="406"/>
      <c r="BO55" s="361"/>
      <c r="BP55" s="361"/>
      <c r="BQ55" s="361"/>
      <c r="BR55" s="361"/>
      <c r="BS55" s="361"/>
      <c r="BT55" s="406"/>
      <c r="BU55" s="341"/>
      <c r="BV55" s="361"/>
      <c r="BW55" s="341"/>
      <c r="BX55" s="341"/>
      <c r="BY55" s="341"/>
      <c r="BZ55" s="341"/>
      <c r="CA55" s="341"/>
      <c r="CB55" s="341"/>
      <c r="CC55" s="341"/>
      <c r="CD55" s="341"/>
      <c r="CE55" s="341"/>
      <c r="CF55" s="341"/>
      <c r="CG55" s="341"/>
      <c r="CH55" s="341"/>
      <c r="CI55" s="341"/>
      <c r="CJ55" s="341"/>
      <c r="CK55" s="341"/>
      <c r="CL55" s="341"/>
      <c r="CM55" s="341"/>
      <c r="CN55" s="341"/>
      <c r="CO55" s="341"/>
      <c r="CP55" s="341"/>
      <c r="CQ55" s="341"/>
      <c r="CR55" s="341"/>
      <c r="CS55" s="341"/>
      <c r="CT55" s="341"/>
      <c r="CU55" s="341"/>
      <c r="CV55" s="341"/>
      <c r="CW55" s="341"/>
      <c r="CX55" s="341"/>
      <c r="CY55" s="341"/>
      <c r="CZ55" s="341"/>
      <c r="DA55" s="341"/>
      <c r="DB55" s="341"/>
      <c r="DC55" s="341"/>
      <c r="DD55" s="341"/>
      <c r="DE55" s="346"/>
    </row>
    <row r="56" spans="1:109" s="4" customFormat="1" ht="36">
      <c r="A56" s="582"/>
      <c r="B56" s="608"/>
      <c r="C56" s="590"/>
      <c r="D56" s="574"/>
      <c r="E56" s="310"/>
      <c r="F56" s="310"/>
      <c r="G56" s="310"/>
      <c r="H56" s="321"/>
      <c r="I56" s="321"/>
      <c r="J56" s="321"/>
      <c r="K56" s="321"/>
      <c r="L56" s="339"/>
      <c r="M56" s="469"/>
      <c r="N56" s="469"/>
      <c r="O56" s="339"/>
      <c r="P56" s="321"/>
      <c r="Q56" s="321"/>
      <c r="R56" s="321"/>
      <c r="S56" s="321"/>
      <c r="T56" s="321"/>
      <c r="U56" s="321"/>
      <c r="V56" s="321"/>
      <c r="W56" s="321"/>
      <c r="X56" s="321"/>
      <c r="Y56" s="321"/>
      <c r="Z56" s="321"/>
      <c r="AA56" s="321"/>
      <c r="AB56" s="321"/>
      <c r="AC56" s="321"/>
      <c r="AD56" s="321"/>
      <c r="AE56" s="321"/>
      <c r="AF56" s="321"/>
      <c r="AG56" s="321"/>
      <c r="AH56" s="321"/>
      <c r="AI56" s="321"/>
      <c r="AJ56" s="366"/>
      <c r="AK56" s="420"/>
      <c r="AL56" s="15" t="s">
        <v>255</v>
      </c>
      <c r="AM56" s="26">
        <v>41518</v>
      </c>
      <c r="AN56" s="26">
        <v>41628</v>
      </c>
      <c r="AO56" s="310"/>
      <c r="AP56" s="310"/>
      <c r="AQ56" s="310"/>
      <c r="AR56" s="310"/>
      <c r="AS56" s="319"/>
      <c r="AT56" s="310"/>
      <c r="AU56" s="310"/>
      <c r="AV56" s="310"/>
      <c r="AW56" s="310"/>
      <c r="AX56" s="131"/>
      <c r="AY56" s="131"/>
      <c r="AZ56" s="131"/>
      <c r="BA56" s="131"/>
      <c r="BB56" s="131"/>
      <c r="BC56" s="131"/>
      <c r="BD56" s="131"/>
      <c r="BE56" s="131"/>
      <c r="BF56" s="131"/>
      <c r="BG56" s="131"/>
      <c r="BH56" s="131"/>
      <c r="BI56" s="131"/>
      <c r="BJ56" s="131"/>
      <c r="BK56" s="131"/>
      <c r="BL56" s="131"/>
      <c r="BM56" s="135"/>
      <c r="BN56" s="135"/>
      <c r="BO56" s="117"/>
      <c r="BP56" s="117"/>
      <c r="BQ56" s="117"/>
      <c r="BR56" s="117"/>
      <c r="BS56" s="117"/>
      <c r="BT56" s="135"/>
      <c r="BU56" s="29"/>
      <c r="BV56" s="117"/>
      <c r="BW56" s="29"/>
      <c r="BX56" s="29"/>
      <c r="BY56" s="29"/>
      <c r="BZ56" s="29"/>
      <c r="CA56" s="29"/>
      <c r="CB56" s="29"/>
      <c r="CC56" s="29"/>
      <c r="CD56" s="29"/>
      <c r="CE56" s="29"/>
      <c r="CF56" s="29"/>
      <c r="CG56" s="29"/>
      <c r="CH56" s="29"/>
      <c r="CI56" s="29"/>
      <c r="CJ56" s="29"/>
      <c r="CK56" s="29"/>
      <c r="CL56" s="29"/>
      <c r="CM56" s="29"/>
      <c r="CN56" s="29"/>
      <c r="CO56" s="29"/>
      <c r="CP56" s="29"/>
      <c r="CQ56" s="29"/>
      <c r="CR56" s="29"/>
      <c r="CS56" s="29"/>
      <c r="CT56" s="29"/>
      <c r="CU56" s="29"/>
      <c r="CV56" s="29"/>
      <c r="CW56" s="29"/>
      <c r="CX56" s="29"/>
      <c r="CY56" s="29"/>
      <c r="CZ56" s="29"/>
      <c r="DA56" s="29"/>
      <c r="DB56" s="29"/>
      <c r="DC56" s="29"/>
      <c r="DD56" s="29"/>
      <c r="DE56" s="96"/>
    </row>
    <row r="57" spans="1:109" s="4" customFormat="1" ht="44.1" customHeight="1">
      <c r="A57" s="582"/>
      <c r="B57" s="608"/>
      <c r="C57" s="588" t="s">
        <v>264</v>
      </c>
      <c r="D57" s="573" t="s">
        <v>265</v>
      </c>
      <c r="E57" s="310">
        <v>1333000000</v>
      </c>
      <c r="F57" s="310">
        <v>1333000000</v>
      </c>
      <c r="G57" s="310">
        <v>1333000000</v>
      </c>
      <c r="H57" s="321"/>
      <c r="I57" s="321"/>
      <c r="J57" s="321"/>
      <c r="K57" s="321"/>
      <c r="L57" s="347">
        <v>71</v>
      </c>
      <c r="M57" s="328"/>
      <c r="N57" s="347">
        <v>29</v>
      </c>
      <c r="O57" s="347">
        <f>SUM(L57:N60)</f>
        <v>100</v>
      </c>
      <c r="P57" s="321"/>
      <c r="Q57" s="321"/>
      <c r="R57" s="321"/>
      <c r="S57" s="321"/>
      <c r="T57" s="321"/>
      <c r="U57" s="321"/>
      <c r="V57" s="321"/>
      <c r="W57" s="321"/>
      <c r="X57" s="321"/>
      <c r="Y57" s="321"/>
      <c r="Z57" s="321"/>
      <c r="AA57" s="321"/>
      <c r="AB57" s="321"/>
      <c r="AC57" s="321"/>
      <c r="AD57" s="321"/>
      <c r="AE57" s="321"/>
      <c r="AF57" s="321"/>
      <c r="AG57" s="321"/>
      <c r="AH57" s="321"/>
      <c r="AI57" s="321"/>
      <c r="AJ57" s="364" t="s">
        <v>95</v>
      </c>
      <c r="AK57" s="418" t="s">
        <v>32</v>
      </c>
      <c r="AL57" s="15" t="s">
        <v>266</v>
      </c>
      <c r="AM57" s="26">
        <v>41414</v>
      </c>
      <c r="AN57" s="26">
        <v>41432</v>
      </c>
      <c r="AO57" s="310">
        <v>1333000000</v>
      </c>
      <c r="AP57" s="310">
        <v>8000000</v>
      </c>
      <c r="AQ57" s="310">
        <f>AO57-AP57</f>
        <v>1325000000</v>
      </c>
      <c r="AR57" s="310">
        <v>1333000000</v>
      </c>
      <c r="AS57" s="319">
        <f>8000000+486003300+62000000+151000000</f>
        <v>707003300</v>
      </c>
      <c r="AT57" s="310">
        <f>AR57-AS57</f>
        <v>625996700</v>
      </c>
      <c r="AU57" s="310">
        <v>1333000000</v>
      </c>
      <c r="AV57" s="310">
        <v>8000000</v>
      </c>
      <c r="AW57" s="310">
        <f>AU57-AV57</f>
        <v>1325000000</v>
      </c>
      <c r="AX57" s="65"/>
      <c r="AY57" s="65"/>
      <c r="AZ57" s="65"/>
      <c r="BA57" s="65"/>
      <c r="BB57" s="65"/>
      <c r="BC57" s="65"/>
      <c r="BD57" s="65"/>
      <c r="BE57" s="65"/>
      <c r="BF57" s="65"/>
      <c r="BG57" s="65"/>
      <c r="BH57" s="65"/>
      <c r="BI57" s="65"/>
      <c r="BJ57" s="65"/>
      <c r="BK57" s="65"/>
      <c r="BL57" s="65"/>
      <c r="BM57" s="405">
        <v>5563978</v>
      </c>
      <c r="BN57" s="405">
        <v>1333000000</v>
      </c>
      <c r="BO57" s="360">
        <v>9145163</v>
      </c>
      <c r="BP57" s="360">
        <v>1333000000</v>
      </c>
      <c r="BQ57" s="360">
        <v>8680550</v>
      </c>
      <c r="BR57" s="360">
        <v>1333000000</v>
      </c>
      <c r="BS57" s="360">
        <f>BM57+BO57+BQ57</f>
        <v>23389691</v>
      </c>
      <c r="BT57" s="405">
        <f>BN57+BP57+BR57</f>
        <v>3999000000</v>
      </c>
      <c r="BU57" s="341">
        <f>BS57+BT57</f>
        <v>4022389691</v>
      </c>
      <c r="BV57" s="360">
        <v>2100000420</v>
      </c>
      <c r="BW57" s="341"/>
      <c r="BX57" s="341"/>
      <c r="BY57" s="341"/>
      <c r="BZ57" s="341"/>
      <c r="CA57" s="341"/>
      <c r="CB57" s="341"/>
      <c r="CC57" s="341"/>
      <c r="CD57" s="341"/>
      <c r="CE57" s="341"/>
      <c r="CF57" s="341"/>
      <c r="CG57" s="341"/>
      <c r="CH57" s="341">
        <f>SUM(BW57:CG58)</f>
        <v>0</v>
      </c>
      <c r="CI57" s="341">
        <f>CH57+BV57</f>
        <v>2100000420</v>
      </c>
      <c r="CJ57" s="341">
        <v>3110000000</v>
      </c>
      <c r="CK57" s="341"/>
      <c r="CL57" s="341"/>
      <c r="CM57" s="341"/>
      <c r="CN57" s="341"/>
      <c r="CO57" s="341"/>
      <c r="CP57" s="341">
        <f>SUM(CK57:CO58)</f>
        <v>0</v>
      </c>
      <c r="CQ57" s="341">
        <f>CP57+CJ57</f>
        <v>3110000000</v>
      </c>
      <c r="CR57" s="341">
        <v>300000000</v>
      </c>
      <c r="CS57" s="341"/>
      <c r="CT57" s="341"/>
      <c r="CU57" s="341"/>
      <c r="CV57" s="341">
        <f>SUM(CS57:CU58)</f>
        <v>0</v>
      </c>
      <c r="CW57" s="341">
        <f>CV57+CR57</f>
        <v>300000000</v>
      </c>
      <c r="CX57" s="341">
        <v>1200000000</v>
      </c>
      <c r="CY57" s="341">
        <v>150000000</v>
      </c>
      <c r="CZ57" s="341">
        <v>150000000</v>
      </c>
      <c r="DA57" s="341">
        <f>SUM(CY57:CZ58)</f>
        <v>300000000</v>
      </c>
      <c r="DB57" s="341">
        <f>DA57+CX57</f>
        <v>1500000000</v>
      </c>
      <c r="DC57" s="341"/>
      <c r="DD57" s="341">
        <f>DB57+CW57+CQ57+CI57+DC57</f>
        <v>7010000420</v>
      </c>
      <c r="DE57" s="310" t="s">
        <v>159</v>
      </c>
    </row>
    <row r="58" spans="1:109" s="4" customFormat="1" ht="48">
      <c r="A58" s="582"/>
      <c r="B58" s="608"/>
      <c r="C58" s="589"/>
      <c r="D58" s="584"/>
      <c r="E58" s="310"/>
      <c r="F58" s="310"/>
      <c r="G58" s="310"/>
      <c r="H58" s="321"/>
      <c r="I58" s="321"/>
      <c r="J58" s="321"/>
      <c r="K58" s="321"/>
      <c r="L58" s="347"/>
      <c r="M58" s="328"/>
      <c r="N58" s="347"/>
      <c r="O58" s="347"/>
      <c r="P58" s="321"/>
      <c r="Q58" s="321"/>
      <c r="R58" s="321"/>
      <c r="S58" s="321"/>
      <c r="T58" s="321"/>
      <c r="U58" s="321"/>
      <c r="V58" s="321"/>
      <c r="W58" s="321"/>
      <c r="X58" s="321"/>
      <c r="Y58" s="321"/>
      <c r="Z58" s="321"/>
      <c r="AA58" s="321"/>
      <c r="AB58" s="321"/>
      <c r="AC58" s="321"/>
      <c r="AD58" s="321"/>
      <c r="AE58" s="321"/>
      <c r="AF58" s="321"/>
      <c r="AG58" s="321"/>
      <c r="AH58" s="321"/>
      <c r="AI58" s="321"/>
      <c r="AJ58" s="365"/>
      <c r="AK58" s="419"/>
      <c r="AL58" s="15" t="s">
        <v>267</v>
      </c>
      <c r="AM58" s="26">
        <v>41435</v>
      </c>
      <c r="AN58" s="26">
        <v>41628</v>
      </c>
      <c r="AO58" s="310"/>
      <c r="AP58" s="310"/>
      <c r="AQ58" s="310"/>
      <c r="AR58" s="310"/>
      <c r="AS58" s="319"/>
      <c r="AT58" s="310"/>
      <c r="AU58" s="310"/>
      <c r="AV58" s="310"/>
      <c r="AW58" s="310"/>
      <c r="AX58" s="137"/>
      <c r="AY58" s="137"/>
      <c r="AZ58" s="137"/>
      <c r="BA58" s="137"/>
      <c r="BB58" s="137"/>
      <c r="BC58" s="137"/>
      <c r="BD58" s="137"/>
      <c r="BE58" s="137"/>
      <c r="BF58" s="137"/>
      <c r="BG58" s="137"/>
      <c r="BH58" s="137"/>
      <c r="BI58" s="137"/>
      <c r="BJ58" s="137"/>
      <c r="BK58" s="137"/>
      <c r="BL58" s="137"/>
      <c r="BM58" s="406"/>
      <c r="BN58" s="406"/>
      <c r="BO58" s="361"/>
      <c r="BP58" s="361"/>
      <c r="BQ58" s="361"/>
      <c r="BR58" s="361"/>
      <c r="BS58" s="361"/>
      <c r="BT58" s="406"/>
      <c r="BU58" s="341"/>
      <c r="BV58" s="361"/>
      <c r="BW58" s="341"/>
      <c r="BX58" s="341"/>
      <c r="BY58" s="341"/>
      <c r="BZ58" s="341"/>
      <c r="CA58" s="341"/>
      <c r="CB58" s="341"/>
      <c r="CC58" s="341"/>
      <c r="CD58" s="341"/>
      <c r="CE58" s="341"/>
      <c r="CF58" s="341"/>
      <c r="CG58" s="341"/>
      <c r="CH58" s="341"/>
      <c r="CI58" s="341"/>
      <c r="CJ58" s="341"/>
      <c r="CK58" s="341"/>
      <c r="CL58" s="341"/>
      <c r="CM58" s="341"/>
      <c r="CN58" s="341"/>
      <c r="CO58" s="341"/>
      <c r="CP58" s="341"/>
      <c r="CQ58" s="341"/>
      <c r="CR58" s="341"/>
      <c r="CS58" s="341"/>
      <c r="CT58" s="341"/>
      <c r="CU58" s="341"/>
      <c r="CV58" s="341"/>
      <c r="CW58" s="341"/>
      <c r="CX58" s="341"/>
      <c r="CY58" s="341"/>
      <c r="CZ58" s="341"/>
      <c r="DA58" s="341"/>
      <c r="DB58" s="341"/>
      <c r="DC58" s="341"/>
      <c r="DD58" s="341"/>
      <c r="DE58" s="346"/>
    </row>
    <row r="59" spans="1:109" s="4" customFormat="1" ht="48">
      <c r="A59" s="582"/>
      <c r="B59" s="608"/>
      <c r="C59" s="589"/>
      <c r="D59" s="584"/>
      <c r="E59" s="310"/>
      <c r="F59" s="310"/>
      <c r="G59" s="310"/>
      <c r="H59" s="321"/>
      <c r="I59" s="321"/>
      <c r="J59" s="321"/>
      <c r="K59" s="321"/>
      <c r="L59" s="347"/>
      <c r="M59" s="328"/>
      <c r="N59" s="347"/>
      <c r="O59" s="347"/>
      <c r="P59" s="321"/>
      <c r="Q59" s="321"/>
      <c r="R59" s="321"/>
      <c r="S59" s="321"/>
      <c r="T59" s="321"/>
      <c r="U59" s="321"/>
      <c r="V59" s="321"/>
      <c r="W59" s="321"/>
      <c r="X59" s="321"/>
      <c r="Y59" s="321"/>
      <c r="Z59" s="321"/>
      <c r="AA59" s="321"/>
      <c r="AB59" s="321"/>
      <c r="AC59" s="321"/>
      <c r="AD59" s="321"/>
      <c r="AE59" s="321"/>
      <c r="AF59" s="321"/>
      <c r="AG59" s="321"/>
      <c r="AH59" s="321"/>
      <c r="AI59" s="321"/>
      <c r="AJ59" s="365"/>
      <c r="AK59" s="419"/>
      <c r="AL59" s="15" t="s">
        <v>254</v>
      </c>
      <c r="AM59" s="26">
        <v>41487</v>
      </c>
      <c r="AN59" s="26">
        <v>41628</v>
      </c>
      <c r="AO59" s="310"/>
      <c r="AP59" s="310"/>
      <c r="AQ59" s="310"/>
      <c r="AR59" s="310"/>
      <c r="AS59" s="319"/>
      <c r="AT59" s="310"/>
      <c r="AU59" s="310"/>
      <c r="AV59" s="310"/>
      <c r="AW59" s="310"/>
      <c r="AX59" s="131"/>
      <c r="AY59" s="131"/>
      <c r="AZ59" s="131"/>
      <c r="BA59" s="131"/>
      <c r="BB59" s="131"/>
      <c r="BC59" s="131"/>
      <c r="BD59" s="131"/>
      <c r="BE59" s="131"/>
      <c r="BF59" s="131"/>
      <c r="BG59" s="131"/>
      <c r="BH59" s="131"/>
      <c r="BI59" s="131"/>
      <c r="BJ59" s="131"/>
      <c r="BK59" s="131"/>
      <c r="BL59" s="131"/>
      <c r="BM59" s="135"/>
      <c r="BN59" s="135"/>
      <c r="BO59" s="117"/>
      <c r="BP59" s="117"/>
      <c r="BQ59" s="117"/>
      <c r="BR59" s="117"/>
      <c r="BS59" s="117"/>
      <c r="BT59" s="135"/>
      <c r="BU59" s="29"/>
      <c r="BV59" s="117"/>
      <c r="BW59" s="29"/>
      <c r="BX59" s="29"/>
      <c r="BY59" s="29"/>
      <c r="BZ59" s="29"/>
      <c r="CA59" s="29"/>
      <c r="CB59" s="29"/>
      <c r="CC59" s="29"/>
      <c r="CD59" s="29"/>
      <c r="CE59" s="29"/>
      <c r="CF59" s="29"/>
      <c r="CG59" s="29"/>
      <c r="CH59" s="29"/>
      <c r="CI59" s="29"/>
      <c r="CJ59" s="29"/>
      <c r="CK59" s="29"/>
      <c r="CL59" s="29"/>
      <c r="CM59" s="29"/>
      <c r="CN59" s="29"/>
      <c r="CO59" s="29"/>
      <c r="CP59" s="29"/>
      <c r="CQ59" s="29"/>
      <c r="CR59" s="29"/>
      <c r="CS59" s="29"/>
      <c r="CT59" s="29"/>
      <c r="CU59" s="29"/>
      <c r="CV59" s="29"/>
      <c r="CW59" s="29"/>
      <c r="CX59" s="29"/>
      <c r="CY59" s="29"/>
      <c r="CZ59" s="29"/>
      <c r="DA59" s="29"/>
      <c r="DB59" s="29"/>
      <c r="DC59" s="29"/>
      <c r="DD59" s="29"/>
      <c r="DE59" s="123"/>
    </row>
    <row r="60" spans="1:109" s="4" customFormat="1" ht="36">
      <c r="A60" s="582"/>
      <c r="B60" s="608"/>
      <c r="C60" s="590"/>
      <c r="D60" s="574"/>
      <c r="E60" s="310"/>
      <c r="F60" s="310"/>
      <c r="G60" s="310"/>
      <c r="H60" s="321"/>
      <c r="I60" s="321"/>
      <c r="J60" s="321"/>
      <c r="K60" s="321"/>
      <c r="L60" s="347"/>
      <c r="M60" s="328"/>
      <c r="N60" s="347"/>
      <c r="O60" s="347"/>
      <c r="P60" s="321"/>
      <c r="Q60" s="321"/>
      <c r="R60" s="321"/>
      <c r="S60" s="321"/>
      <c r="T60" s="321"/>
      <c r="U60" s="321"/>
      <c r="V60" s="321"/>
      <c r="W60" s="321"/>
      <c r="X60" s="321"/>
      <c r="Y60" s="321"/>
      <c r="Z60" s="321"/>
      <c r="AA60" s="321"/>
      <c r="AB60" s="321"/>
      <c r="AC60" s="321"/>
      <c r="AD60" s="321"/>
      <c r="AE60" s="321"/>
      <c r="AF60" s="321"/>
      <c r="AG60" s="321"/>
      <c r="AH60" s="321"/>
      <c r="AI60" s="321"/>
      <c r="AJ60" s="366"/>
      <c r="AK60" s="420"/>
      <c r="AL60" s="15" t="s">
        <v>268</v>
      </c>
      <c r="AM60" s="26">
        <v>41519</v>
      </c>
      <c r="AN60" s="26">
        <v>41628</v>
      </c>
      <c r="AO60" s="310"/>
      <c r="AP60" s="310"/>
      <c r="AQ60" s="310"/>
      <c r="AR60" s="310"/>
      <c r="AS60" s="319"/>
      <c r="AT60" s="310"/>
      <c r="AU60" s="310"/>
      <c r="AV60" s="310"/>
      <c r="AW60" s="310"/>
      <c r="AX60" s="131"/>
      <c r="AY60" s="131"/>
      <c r="AZ60" s="131"/>
      <c r="BA60" s="131"/>
      <c r="BB60" s="131"/>
      <c r="BC60" s="131"/>
      <c r="BD60" s="131"/>
      <c r="BE60" s="131"/>
      <c r="BF60" s="131"/>
      <c r="BG60" s="131"/>
      <c r="BH60" s="131"/>
      <c r="BI60" s="131"/>
      <c r="BJ60" s="131"/>
      <c r="BK60" s="131"/>
      <c r="BL60" s="131"/>
      <c r="BM60" s="135"/>
      <c r="BN60" s="135"/>
      <c r="BO60" s="117"/>
      <c r="BP60" s="117"/>
      <c r="BQ60" s="117"/>
      <c r="BR60" s="117"/>
      <c r="BS60" s="117"/>
      <c r="BT60" s="135"/>
      <c r="BU60" s="29"/>
      <c r="BV60" s="117"/>
      <c r="BW60" s="29"/>
      <c r="BX60" s="29"/>
      <c r="BY60" s="29"/>
      <c r="BZ60" s="29"/>
      <c r="CA60" s="29"/>
      <c r="CB60" s="29"/>
      <c r="CC60" s="29"/>
      <c r="CD60" s="29"/>
      <c r="CE60" s="29"/>
      <c r="CF60" s="29"/>
      <c r="CG60" s="29"/>
      <c r="CH60" s="29"/>
      <c r="CI60" s="29"/>
      <c r="CJ60" s="29"/>
      <c r="CK60" s="29"/>
      <c r="CL60" s="29"/>
      <c r="CM60" s="29"/>
      <c r="CN60" s="29"/>
      <c r="CO60" s="29"/>
      <c r="CP60" s="29"/>
      <c r="CQ60" s="29"/>
      <c r="CR60" s="29"/>
      <c r="CS60" s="29"/>
      <c r="CT60" s="29"/>
      <c r="CU60" s="29"/>
      <c r="CV60" s="29"/>
      <c r="CW60" s="29"/>
      <c r="CX60" s="29"/>
      <c r="CY60" s="29"/>
      <c r="CZ60" s="29"/>
      <c r="DA60" s="29"/>
      <c r="DB60" s="29"/>
      <c r="DC60" s="29"/>
      <c r="DD60" s="29"/>
      <c r="DE60" s="123"/>
    </row>
    <row r="61" spans="1:109" s="4" customFormat="1" ht="44.1" customHeight="1">
      <c r="A61" s="582"/>
      <c r="B61" s="608"/>
      <c r="C61" s="588" t="s">
        <v>273</v>
      </c>
      <c r="D61" s="573" t="s">
        <v>269</v>
      </c>
      <c r="E61" s="310">
        <v>715000000</v>
      </c>
      <c r="F61" s="310">
        <v>715000000</v>
      </c>
      <c r="G61" s="310">
        <v>715000000</v>
      </c>
      <c r="H61" s="321"/>
      <c r="I61" s="321"/>
      <c r="J61" s="321"/>
      <c r="K61" s="321"/>
      <c r="L61" s="328"/>
      <c r="M61" s="328"/>
      <c r="N61" s="328"/>
      <c r="O61" s="328"/>
      <c r="P61" s="321"/>
      <c r="Q61" s="321"/>
      <c r="R61" s="321"/>
      <c r="S61" s="321"/>
      <c r="T61" s="321"/>
      <c r="U61" s="321"/>
      <c r="V61" s="321"/>
      <c r="W61" s="321"/>
      <c r="X61" s="321"/>
      <c r="Y61" s="321"/>
      <c r="Z61" s="321"/>
      <c r="AA61" s="321"/>
      <c r="AB61" s="321"/>
      <c r="AC61" s="321"/>
      <c r="AD61" s="321"/>
      <c r="AE61" s="321"/>
      <c r="AF61" s="321"/>
      <c r="AG61" s="321"/>
      <c r="AH61" s="321"/>
      <c r="AI61" s="321"/>
      <c r="AJ61" s="364" t="s">
        <v>96</v>
      </c>
      <c r="AK61" s="364" t="s">
        <v>33</v>
      </c>
      <c r="AL61" s="15" t="s">
        <v>271</v>
      </c>
      <c r="AM61" s="26">
        <v>41414</v>
      </c>
      <c r="AN61" s="26">
        <v>41432</v>
      </c>
      <c r="AO61" s="364">
        <f>715000000+160000000</f>
        <v>875000000</v>
      </c>
      <c r="AP61" s="364">
        <v>307000000</v>
      </c>
      <c r="AQ61" s="364">
        <f>AO61-AP61</f>
        <v>568000000</v>
      </c>
      <c r="AR61" s="364">
        <f>715000000+160000000</f>
        <v>875000000</v>
      </c>
      <c r="AS61" s="418">
        <f>307000000+177000000+54000000</f>
        <v>538000000</v>
      </c>
      <c r="AT61" s="364">
        <f>AR61-AS61</f>
        <v>337000000</v>
      </c>
      <c r="AU61" s="364">
        <f>715000000+160000000</f>
        <v>875000000</v>
      </c>
      <c r="AV61" s="364">
        <v>307000000</v>
      </c>
      <c r="AW61" s="364">
        <f>AU61-AV61</f>
        <v>568000000</v>
      </c>
      <c r="AX61" s="65"/>
      <c r="AY61" s="65"/>
      <c r="AZ61" s="65"/>
      <c r="BA61" s="65"/>
      <c r="BB61" s="65"/>
      <c r="BC61" s="65"/>
      <c r="BD61" s="65"/>
      <c r="BE61" s="65"/>
      <c r="BF61" s="65"/>
      <c r="BG61" s="65"/>
      <c r="BH61" s="65"/>
      <c r="BI61" s="65"/>
      <c r="BJ61" s="65"/>
      <c r="BK61" s="65"/>
      <c r="BL61" s="65"/>
      <c r="BM61" s="405">
        <v>4600738</v>
      </c>
      <c r="BN61" s="405">
        <v>715000000</v>
      </c>
      <c r="BO61" s="360">
        <v>7453623</v>
      </c>
      <c r="BP61" s="360">
        <v>715000000</v>
      </c>
      <c r="BQ61" s="360">
        <v>7067949</v>
      </c>
      <c r="BR61" s="360">
        <v>715000000</v>
      </c>
      <c r="BS61" s="360">
        <f>BM61+BO61+BQ61</f>
        <v>19122310</v>
      </c>
      <c r="BT61" s="405">
        <f>BN61+BP61+BR61</f>
        <v>2145000000</v>
      </c>
      <c r="BU61" s="341">
        <f>BS61+BT61</f>
        <v>2164122310</v>
      </c>
      <c r="BV61" s="360">
        <v>1200000060</v>
      </c>
      <c r="BW61" s="341"/>
      <c r="BX61" s="341"/>
      <c r="BY61" s="341"/>
      <c r="BZ61" s="341"/>
      <c r="CA61" s="310"/>
      <c r="CB61" s="310"/>
      <c r="CC61" s="310"/>
      <c r="CD61" s="310"/>
      <c r="CE61" s="310"/>
      <c r="CF61" s="310"/>
      <c r="CG61" s="310"/>
      <c r="CH61" s="341">
        <f>SUM(BW61:CG62)</f>
        <v>0</v>
      </c>
      <c r="CI61" s="341">
        <f>CH61+BV61</f>
        <v>1200000060</v>
      </c>
      <c r="CJ61" s="341">
        <v>800000000</v>
      </c>
      <c r="CK61" s="341"/>
      <c r="CL61" s="341"/>
      <c r="CM61" s="341"/>
      <c r="CN61" s="341"/>
      <c r="CO61" s="341"/>
      <c r="CP61" s="341">
        <f>SUM(CK61:CO62)</f>
        <v>0</v>
      </c>
      <c r="CQ61" s="341">
        <f>CP61+CJ61</f>
        <v>800000000</v>
      </c>
      <c r="CR61" s="341">
        <v>300000000</v>
      </c>
      <c r="CS61" s="341"/>
      <c r="CT61" s="341"/>
      <c r="CU61" s="341"/>
      <c r="CV61" s="341">
        <f>SUM(CS61:CU62)</f>
        <v>0</v>
      </c>
      <c r="CW61" s="341">
        <f>CV61+CR61</f>
        <v>300000000</v>
      </c>
      <c r="CX61" s="341">
        <v>84000000</v>
      </c>
      <c r="CY61" s="341">
        <v>45000000</v>
      </c>
      <c r="CZ61" s="341">
        <v>80000000</v>
      </c>
      <c r="DA61" s="341">
        <f>SUM(CY61:CZ62)</f>
        <v>125000000</v>
      </c>
      <c r="DB61" s="341">
        <f>DA61+CX61</f>
        <v>209000000</v>
      </c>
      <c r="DC61" s="341"/>
      <c r="DD61" s="341">
        <f>DB61+CW61+CQ61+CI61+DC61</f>
        <v>2509000060</v>
      </c>
      <c r="DE61" s="322" t="s">
        <v>160</v>
      </c>
    </row>
    <row r="62" spans="1:109" s="4" customFormat="1" ht="48">
      <c r="A62" s="582"/>
      <c r="B62" s="608"/>
      <c r="C62" s="589"/>
      <c r="D62" s="584"/>
      <c r="E62" s="310"/>
      <c r="F62" s="310"/>
      <c r="G62" s="310"/>
      <c r="H62" s="321"/>
      <c r="I62" s="321"/>
      <c r="J62" s="321"/>
      <c r="K62" s="321"/>
      <c r="L62" s="328"/>
      <c r="M62" s="328"/>
      <c r="N62" s="328"/>
      <c r="O62" s="328"/>
      <c r="P62" s="321"/>
      <c r="Q62" s="321"/>
      <c r="R62" s="321"/>
      <c r="S62" s="321"/>
      <c r="T62" s="321"/>
      <c r="U62" s="321"/>
      <c r="V62" s="321"/>
      <c r="W62" s="321"/>
      <c r="X62" s="321"/>
      <c r="Y62" s="321"/>
      <c r="Z62" s="321"/>
      <c r="AA62" s="321"/>
      <c r="AB62" s="321"/>
      <c r="AC62" s="321"/>
      <c r="AD62" s="321"/>
      <c r="AE62" s="321"/>
      <c r="AF62" s="321"/>
      <c r="AG62" s="321"/>
      <c r="AH62" s="321"/>
      <c r="AI62" s="321"/>
      <c r="AJ62" s="365"/>
      <c r="AK62" s="365"/>
      <c r="AL62" s="15" t="s">
        <v>272</v>
      </c>
      <c r="AM62" s="26">
        <v>41435</v>
      </c>
      <c r="AN62" s="26">
        <v>41628</v>
      </c>
      <c r="AO62" s="365"/>
      <c r="AP62" s="365"/>
      <c r="AQ62" s="365"/>
      <c r="AR62" s="365"/>
      <c r="AS62" s="419"/>
      <c r="AT62" s="365"/>
      <c r="AU62" s="365"/>
      <c r="AV62" s="365"/>
      <c r="AW62" s="365"/>
      <c r="AX62" s="137"/>
      <c r="AY62" s="137"/>
      <c r="AZ62" s="137"/>
      <c r="BA62" s="137"/>
      <c r="BB62" s="137"/>
      <c r="BC62" s="137"/>
      <c r="BD62" s="137"/>
      <c r="BE62" s="137"/>
      <c r="BF62" s="137"/>
      <c r="BG62" s="137"/>
      <c r="BH62" s="137"/>
      <c r="BI62" s="137"/>
      <c r="BJ62" s="137"/>
      <c r="BK62" s="137"/>
      <c r="BL62" s="137"/>
      <c r="BM62" s="406"/>
      <c r="BN62" s="406"/>
      <c r="BO62" s="361"/>
      <c r="BP62" s="361"/>
      <c r="BQ62" s="361"/>
      <c r="BR62" s="361"/>
      <c r="BS62" s="361"/>
      <c r="BT62" s="406"/>
      <c r="BU62" s="341"/>
      <c r="BV62" s="361"/>
      <c r="BW62" s="341"/>
      <c r="BX62" s="341"/>
      <c r="BY62" s="341"/>
      <c r="BZ62" s="341"/>
      <c r="CA62" s="310"/>
      <c r="CB62" s="310"/>
      <c r="CC62" s="310"/>
      <c r="CD62" s="310"/>
      <c r="CE62" s="310"/>
      <c r="CF62" s="310"/>
      <c r="CG62" s="310"/>
      <c r="CH62" s="341"/>
      <c r="CI62" s="341"/>
      <c r="CJ62" s="341"/>
      <c r="CK62" s="341"/>
      <c r="CL62" s="341"/>
      <c r="CM62" s="341"/>
      <c r="CN62" s="341"/>
      <c r="CO62" s="341"/>
      <c r="CP62" s="341"/>
      <c r="CQ62" s="341"/>
      <c r="CR62" s="341"/>
      <c r="CS62" s="341"/>
      <c r="CT62" s="341"/>
      <c r="CU62" s="341"/>
      <c r="CV62" s="341"/>
      <c r="CW62" s="341"/>
      <c r="CX62" s="341"/>
      <c r="CY62" s="341"/>
      <c r="CZ62" s="341"/>
      <c r="DA62" s="341"/>
      <c r="DB62" s="341"/>
      <c r="DC62" s="341"/>
      <c r="DD62" s="341"/>
      <c r="DE62" s="324"/>
    </row>
    <row r="63" spans="1:109" s="4" customFormat="1" ht="48">
      <c r="A63" s="582"/>
      <c r="B63" s="608"/>
      <c r="C63" s="589"/>
      <c r="D63" s="584"/>
      <c r="E63" s="310"/>
      <c r="F63" s="310"/>
      <c r="G63" s="310"/>
      <c r="H63" s="321"/>
      <c r="I63" s="321"/>
      <c r="J63" s="321"/>
      <c r="K63" s="321"/>
      <c r="L63" s="328"/>
      <c r="M63" s="328"/>
      <c r="N63" s="328"/>
      <c r="O63" s="328"/>
      <c r="P63" s="321"/>
      <c r="Q63" s="321"/>
      <c r="R63" s="321"/>
      <c r="S63" s="321"/>
      <c r="T63" s="321"/>
      <c r="U63" s="321"/>
      <c r="V63" s="321"/>
      <c r="W63" s="321"/>
      <c r="X63" s="321"/>
      <c r="Y63" s="321"/>
      <c r="Z63" s="321"/>
      <c r="AA63" s="321"/>
      <c r="AB63" s="321"/>
      <c r="AC63" s="321"/>
      <c r="AD63" s="321"/>
      <c r="AE63" s="321"/>
      <c r="AF63" s="321"/>
      <c r="AG63" s="321"/>
      <c r="AH63" s="321"/>
      <c r="AI63" s="321"/>
      <c r="AJ63" s="365"/>
      <c r="AK63" s="365"/>
      <c r="AL63" s="15" t="s">
        <v>254</v>
      </c>
      <c r="AM63" s="26">
        <v>41487</v>
      </c>
      <c r="AN63" s="26">
        <v>41628</v>
      </c>
      <c r="AO63" s="365"/>
      <c r="AP63" s="365"/>
      <c r="AQ63" s="365"/>
      <c r="AR63" s="365"/>
      <c r="AS63" s="419"/>
      <c r="AT63" s="365"/>
      <c r="AU63" s="365"/>
      <c r="AV63" s="365"/>
      <c r="AW63" s="365"/>
      <c r="AX63" s="131"/>
      <c r="AY63" s="131"/>
      <c r="AZ63" s="131"/>
      <c r="BA63" s="131"/>
      <c r="BB63" s="131"/>
      <c r="BC63" s="131"/>
      <c r="BD63" s="131"/>
      <c r="BE63" s="131"/>
      <c r="BF63" s="131"/>
      <c r="BG63" s="131"/>
      <c r="BH63" s="131"/>
      <c r="BI63" s="131"/>
      <c r="BJ63" s="131"/>
      <c r="BK63" s="131"/>
      <c r="BL63" s="131"/>
      <c r="BM63" s="135"/>
      <c r="BN63" s="135"/>
      <c r="BO63" s="117"/>
      <c r="BP63" s="117"/>
      <c r="BQ63" s="117"/>
      <c r="BR63" s="117"/>
      <c r="BS63" s="117"/>
      <c r="BT63" s="135"/>
      <c r="BU63" s="29"/>
      <c r="BV63" s="117"/>
      <c r="BW63" s="29"/>
      <c r="BX63" s="29"/>
      <c r="BY63" s="29"/>
      <c r="BZ63" s="29"/>
      <c r="CA63" s="26"/>
      <c r="CB63" s="26"/>
      <c r="CC63" s="26"/>
      <c r="CD63" s="26"/>
      <c r="CE63" s="26"/>
      <c r="CF63" s="26"/>
      <c r="CG63" s="26"/>
      <c r="CH63" s="29"/>
      <c r="CI63" s="29"/>
      <c r="CJ63" s="29"/>
      <c r="CK63" s="29"/>
      <c r="CL63" s="29"/>
      <c r="CM63" s="29"/>
      <c r="CN63" s="29"/>
      <c r="CO63" s="29"/>
      <c r="CP63" s="29"/>
      <c r="CQ63" s="29"/>
      <c r="CR63" s="29"/>
      <c r="CS63" s="29"/>
      <c r="CT63" s="29"/>
      <c r="CU63" s="29"/>
      <c r="CV63" s="29"/>
      <c r="CW63" s="29"/>
      <c r="CX63" s="29"/>
      <c r="CY63" s="29"/>
      <c r="CZ63" s="29"/>
      <c r="DA63" s="29"/>
      <c r="DB63" s="29"/>
      <c r="DC63" s="29"/>
      <c r="DD63" s="29"/>
      <c r="DE63" s="124"/>
    </row>
    <row r="64" spans="1:109" s="4" customFormat="1" ht="36">
      <c r="A64" s="582"/>
      <c r="B64" s="608"/>
      <c r="C64" s="589"/>
      <c r="D64" s="574"/>
      <c r="E64" s="310"/>
      <c r="F64" s="310"/>
      <c r="G64" s="310"/>
      <c r="H64" s="321"/>
      <c r="I64" s="321"/>
      <c r="J64" s="321"/>
      <c r="K64" s="321"/>
      <c r="L64" s="328"/>
      <c r="M64" s="328"/>
      <c r="N64" s="328"/>
      <c r="O64" s="328"/>
      <c r="P64" s="321"/>
      <c r="Q64" s="321"/>
      <c r="R64" s="321"/>
      <c r="S64" s="321"/>
      <c r="T64" s="321"/>
      <c r="U64" s="321"/>
      <c r="V64" s="321"/>
      <c r="W64" s="321"/>
      <c r="X64" s="321"/>
      <c r="Y64" s="321"/>
      <c r="Z64" s="321"/>
      <c r="AA64" s="321"/>
      <c r="AB64" s="321"/>
      <c r="AC64" s="321"/>
      <c r="AD64" s="321"/>
      <c r="AE64" s="321"/>
      <c r="AF64" s="321"/>
      <c r="AG64" s="321"/>
      <c r="AH64" s="321"/>
      <c r="AI64" s="321"/>
      <c r="AJ64" s="366"/>
      <c r="AK64" s="366"/>
      <c r="AL64" s="15" t="s">
        <v>268</v>
      </c>
      <c r="AM64" s="26">
        <v>41519</v>
      </c>
      <c r="AN64" s="26">
        <v>41628</v>
      </c>
      <c r="AO64" s="365"/>
      <c r="AP64" s="365"/>
      <c r="AQ64" s="365"/>
      <c r="AR64" s="365"/>
      <c r="AS64" s="419"/>
      <c r="AT64" s="365"/>
      <c r="AU64" s="365"/>
      <c r="AV64" s="365"/>
      <c r="AW64" s="365"/>
      <c r="AX64" s="131"/>
      <c r="AY64" s="131"/>
      <c r="AZ64" s="131"/>
      <c r="BA64" s="131"/>
      <c r="BB64" s="131"/>
      <c r="BC64" s="131"/>
      <c r="BD64" s="131"/>
      <c r="BE64" s="131"/>
      <c r="BF64" s="131"/>
      <c r="BG64" s="131"/>
      <c r="BH64" s="131"/>
      <c r="BI64" s="131"/>
      <c r="BJ64" s="131"/>
      <c r="BK64" s="131"/>
      <c r="BL64" s="131"/>
      <c r="BM64" s="135"/>
      <c r="BN64" s="135"/>
      <c r="BO64" s="117"/>
      <c r="BP64" s="117"/>
      <c r="BQ64" s="117"/>
      <c r="BR64" s="117"/>
      <c r="BS64" s="117"/>
      <c r="BT64" s="135"/>
      <c r="BU64" s="29"/>
      <c r="BV64" s="117"/>
      <c r="BW64" s="29"/>
      <c r="BX64" s="29"/>
      <c r="BY64" s="29"/>
      <c r="BZ64" s="29"/>
      <c r="CA64" s="26"/>
      <c r="CB64" s="26"/>
      <c r="CC64" s="26"/>
      <c r="CD64" s="26"/>
      <c r="CE64" s="26"/>
      <c r="CF64" s="26"/>
      <c r="CG64" s="26"/>
      <c r="CH64" s="29"/>
      <c r="CI64" s="29"/>
      <c r="CJ64" s="29"/>
      <c r="CK64" s="29"/>
      <c r="CL64" s="29"/>
      <c r="CM64" s="29"/>
      <c r="CN64" s="29"/>
      <c r="CO64" s="29"/>
      <c r="CP64" s="29"/>
      <c r="CQ64" s="29"/>
      <c r="CR64" s="29"/>
      <c r="CS64" s="29"/>
      <c r="CT64" s="29"/>
      <c r="CU64" s="29"/>
      <c r="CV64" s="29"/>
      <c r="CW64" s="29"/>
      <c r="CX64" s="29"/>
      <c r="CY64" s="29"/>
      <c r="CZ64" s="29"/>
      <c r="DA64" s="29"/>
      <c r="DB64" s="29"/>
      <c r="DC64" s="29"/>
      <c r="DD64" s="29"/>
      <c r="DE64" s="124"/>
    </row>
    <row r="65" spans="1:109" s="4" customFormat="1" ht="44.1" customHeight="1">
      <c r="A65" s="582"/>
      <c r="B65" s="608"/>
      <c r="C65" s="589"/>
      <c r="D65" s="573" t="s">
        <v>270</v>
      </c>
      <c r="E65" s="310">
        <v>160000000</v>
      </c>
      <c r="F65" s="310">
        <v>160000000</v>
      </c>
      <c r="G65" s="310">
        <v>160000000</v>
      </c>
      <c r="H65" s="321"/>
      <c r="I65" s="321"/>
      <c r="J65" s="321"/>
      <c r="K65" s="321"/>
      <c r="L65" s="328"/>
      <c r="M65" s="328"/>
      <c r="N65" s="328"/>
      <c r="O65" s="328"/>
      <c r="P65" s="321"/>
      <c r="Q65" s="321"/>
      <c r="R65" s="321"/>
      <c r="S65" s="321"/>
      <c r="T65" s="321"/>
      <c r="U65" s="321"/>
      <c r="V65" s="321"/>
      <c r="W65" s="321"/>
      <c r="X65" s="321"/>
      <c r="Y65" s="321"/>
      <c r="Z65" s="321"/>
      <c r="AA65" s="321"/>
      <c r="AB65" s="321"/>
      <c r="AC65" s="321"/>
      <c r="AD65" s="321"/>
      <c r="AE65" s="321"/>
      <c r="AF65" s="321"/>
      <c r="AG65" s="321"/>
      <c r="AH65" s="321"/>
      <c r="AI65" s="321"/>
      <c r="AJ65" s="364" t="s">
        <v>27</v>
      </c>
      <c r="AK65" s="418" t="s">
        <v>34</v>
      </c>
      <c r="AL65" s="15" t="s">
        <v>274</v>
      </c>
      <c r="AM65" s="26">
        <v>41414</v>
      </c>
      <c r="AN65" s="26">
        <v>41432</v>
      </c>
      <c r="AO65" s="365"/>
      <c r="AP65" s="365"/>
      <c r="AQ65" s="365"/>
      <c r="AR65" s="365"/>
      <c r="AS65" s="419"/>
      <c r="AT65" s="365"/>
      <c r="AU65" s="365"/>
      <c r="AV65" s="365"/>
      <c r="AW65" s="365"/>
      <c r="AX65" s="65"/>
      <c r="AY65" s="65"/>
      <c r="AZ65" s="65"/>
      <c r="BA65" s="65"/>
      <c r="BB65" s="65"/>
      <c r="BC65" s="65"/>
      <c r="BD65" s="65"/>
      <c r="BE65" s="65"/>
      <c r="BF65" s="65"/>
      <c r="BG65" s="65"/>
      <c r="BH65" s="65"/>
      <c r="BI65" s="65"/>
      <c r="BJ65" s="65"/>
      <c r="BK65" s="65"/>
      <c r="BL65" s="65"/>
      <c r="BM65" s="405">
        <v>4600738</v>
      </c>
      <c r="BN65" s="405">
        <v>160000000</v>
      </c>
      <c r="BO65" s="360">
        <v>7453623</v>
      </c>
      <c r="BP65" s="360">
        <v>160000000</v>
      </c>
      <c r="BQ65" s="360">
        <v>7067949</v>
      </c>
      <c r="BR65" s="360">
        <v>160000000</v>
      </c>
      <c r="BS65" s="360">
        <f>BM65+BO65+BQ65</f>
        <v>19122310</v>
      </c>
      <c r="BT65" s="405">
        <f>BN65+BP65+BR65</f>
        <v>480000000</v>
      </c>
      <c r="BU65" s="341">
        <f>BS65+BT65</f>
        <v>499122310</v>
      </c>
      <c r="BV65" s="360">
        <v>300000060</v>
      </c>
      <c r="BW65" s="341"/>
      <c r="BX65" s="341"/>
      <c r="BY65" s="341"/>
      <c r="BZ65" s="341"/>
      <c r="CA65" s="310"/>
      <c r="CB65" s="310"/>
      <c r="CC65" s="310"/>
      <c r="CD65" s="310"/>
      <c r="CE65" s="310"/>
      <c r="CF65" s="310"/>
      <c r="CG65" s="310"/>
      <c r="CH65" s="341">
        <f>SUM(BW65:CG66)</f>
        <v>0</v>
      </c>
      <c r="CI65" s="341">
        <f>CH65+BV65</f>
        <v>300000060</v>
      </c>
      <c r="CJ65" s="341">
        <v>110000000</v>
      </c>
      <c r="CK65" s="341"/>
      <c r="CL65" s="341"/>
      <c r="CM65" s="341"/>
      <c r="CN65" s="341"/>
      <c r="CO65" s="341"/>
      <c r="CP65" s="341">
        <f>SUM(CK65:CO66)</f>
        <v>0</v>
      </c>
      <c r="CQ65" s="341">
        <f>CP65+CJ65</f>
        <v>110000000</v>
      </c>
      <c r="CR65" s="341">
        <v>30000000</v>
      </c>
      <c r="CS65" s="341"/>
      <c r="CT65" s="341"/>
      <c r="CU65" s="341"/>
      <c r="CV65" s="341">
        <f>SUM(CS65:CU66)</f>
        <v>0</v>
      </c>
      <c r="CW65" s="341">
        <f>CV65+CR65</f>
        <v>30000000</v>
      </c>
      <c r="CX65" s="341">
        <v>20000000</v>
      </c>
      <c r="CY65" s="341">
        <v>10000000</v>
      </c>
      <c r="CZ65" s="341">
        <v>50000000</v>
      </c>
      <c r="DA65" s="341">
        <f>SUM(CY65:CZ66)</f>
        <v>60000000</v>
      </c>
      <c r="DB65" s="341">
        <f>DA65+CX65</f>
        <v>80000000</v>
      </c>
      <c r="DC65" s="341"/>
      <c r="DD65" s="341">
        <f>DB65+CW65+CQ65+CI65+DC65</f>
        <v>520000060</v>
      </c>
      <c r="DE65" s="346" t="s">
        <v>161</v>
      </c>
    </row>
    <row r="66" spans="1:109" s="4" customFormat="1" ht="48">
      <c r="A66" s="582"/>
      <c r="B66" s="608"/>
      <c r="C66" s="589"/>
      <c r="D66" s="584"/>
      <c r="E66" s="310"/>
      <c r="F66" s="310"/>
      <c r="G66" s="310"/>
      <c r="H66" s="321"/>
      <c r="I66" s="321"/>
      <c r="J66" s="321"/>
      <c r="K66" s="321"/>
      <c r="L66" s="328"/>
      <c r="M66" s="328"/>
      <c r="N66" s="328"/>
      <c r="O66" s="328"/>
      <c r="P66" s="321"/>
      <c r="Q66" s="321"/>
      <c r="R66" s="321"/>
      <c r="S66" s="321"/>
      <c r="T66" s="321"/>
      <c r="U66" s="321"/>
      <c r="V66" s="321"/>
      <c r="W66" s="321"/>
      <c r="X66" s="321"/>
      <c r="Y66" s="321"/>
      <c r="Z66" s="321"/>
      <c r="AA66" s="321"/>
      <c r="AB66" s="321"/>
      <c r="AC66" s="321"/>
      <c r="AD66" s="321"/>
      <c r="AE66" s="321"/>
      <c r="AF66" s="321"/>
      <c r="AG66" s="321"/>
      <c r="AH66" s="321"/>
      <c r="AI66" s="321"/>
      <c r="AJ66" s="365"/>
      <c r="AK66" s="419"/>
      <c r="AL66" s="15" t="s">
        <v>453</v>
      </c>
      <c r="AM66" s="26">
        <v>41435</v>
      </c>
      <c r="AN66" s="26">
        <v>41628</v>
      </c>
      <c r="AO66" s="365"/>
      <c r="AP66" s="365"/>
      <c r="AQ66" s="365"/>
      <c r="AR66" s="365"/>
      <c r="AS66" s="419"/>
      <c r="AT66" s="365"/>
      <c r="AU66" s="365"/>
      <c r="AV66" s="365"/>
      <c r="AW66" s="365"/>
      <c r="AX66" s="137"/>
      <c r="AY66" s="137"/>
      <c r="AZ66" s="137"/>
      <c r="BA66" s="137"/>
      <c r="BB66" s="137"/>
      <c r="BC66" s="137"/>
      <c r="BD66" s="137"/>
      <c r="BE66" s="137"/>
      <c r="BF66" s="137"/>
      <c r="BG66" s="137"/>
      <c r="BH66" s="137"/>
      <c r="BI66" s="137"/>
      <c r="BJ66" s="137"/>
      <c r="BK66" s="137"/>
      <c r="BL66" s="137"/>
      <c r="BM66" s="406"/>
      <c r="BN66" s="406"/>
      <c r="BO66" s="361"/>
      <c r="BP66" s="361"/>
      <c r="BQ66" s="361"/>
      <c r="BR66" s="361"/>
      <c r="BS66" s="361"/>
      <c r="BT66" s="406"/>
      <c r="BU66" s="341"/>
      <c r="BV66" s="361"/>
      <c r="BW66" s="341"/>
      <c r="BX66" s="341"/>
      <c r="BY66" s="341"/>
      <c r="BZ66" s="341"/>
      <c r="CA66" s="310"/>
      <c r="CB66" s="310"/>
      <c r="CC66" s="310"/>
      <c r="CD66" s="310"/>
      <c r="CE66" s="310"/>
      <c r="CF66" s="310"/>
      <c r="CG66" s="310"/>
      <c r="CH66" s="341"/>
      <c r="CI66" s="341"/>
      <c r="CJ66" s="341"/>
      <c r="CK66" s="341"/>
      <c r="CL66" s="341"/>
      <c r="CM66" s="341"/>
      <c r="CN66" s="341"/>
      <c r="CO66" s="341"/>
      <c r="CP66" s="341"/>
      <c r="CQ66" s="341"/>
      <c r="CR66" s="341"/>
      <c r="CS66" s="341"/>
      <c r="CT66" s="341"/>
      <c r="CU66" s="341"/>
      <c r="CV66" s="341"/>
      <c r="CW66" s="341"/>
      <c r="CX66" s="341"/>
      <c r="CY66" s="341"/>
      <c r="CZ66" s="341"/>
      <c r="DA66" s="341"/>
      <c r="DB66" s="341"/>
      <c r="DC66" s="341"/>
      <c r="DD66" s="341"/>
      <c r="DE66" s="346"/>
    </row>
    <row r="67" spans="1:109" s="4" customFormat="1" ht="48">
      <c r="A67" s="582"/>
      <c r="B67" s="608"/>
      <c r="C67" s="589"/>
      <c r="D67" s="584"/>
      <c r="E67" s="310"/>
      <c r="F67" s="310"/>
      <c r="G67" s="310"/>
      <c r="H67" s="321"/>
      <c r="I67" s="321"/>
      <c r="J67" s="321"/>
      <c r="K67" s="321"/>
      <c r="L67" s="328"/>
      <c r="M67" s="328"/>
      <c r="N67" s="328"/>
      <c r="O67" s="328"/>
      <c r="P67" s="321"/>
      <c r="Q67" s="321"/>
      <c r="R67" s="321"/>
      <c r="S67" s="321"/>
      <c r="T67" s="321"/>
      <c r="U67" s="321"/>
      <c r="V67" s="321"/>
      <c r="W67" s="321"/>
      <c r="X67" s="321"/>
      <c r="Y67" s="321"/>
      <c r="Z67" s="321"/>
      <c r="AA67" s="321"/>
      <c r="AB67" s="321"/>
      <c r="AC67" s="321"/>
      <c r="AD67" s="321"/>
      <c r="AE67" s="321"/>
      <c r="AF67" s="321"/>
      <c r="AG67" s="321"/>
      <c r="AH67" s="321"/>
      <c r="AI67" s="321"/>
      <c r="AJ67" s="365"/>
      <c r="AK67" s="419"/>
      <c r="AL67" s="15" t="s">
        <v>254</v>
      </c>
      <c r="AM67" s="26">
        <v>41487</v>
      </c>
      <c r="AN67" s="26">
        <v>41628</v>
      </c>
      <c r="AO67" s="365"/>
      <c r="AP67" s="365"/>
      <c r="AQ67" s="365"/>
      <c r="AR67" s="365"/>
      <c r="AS67" s="419"/>
      <c r="AT67" s="365"/>
      <c r="AU67" s="365"/>
      <c r="AV67" s="365"/>
      <c r="AW67" s="365"/>
      <c r="AX67" s="131"/>
      <c r="AY67" s="131"/>
      <c r="AZ67" s="131"/>
      <c r="BA67" s="131"/>
      <c r="BB67" s="131"/>
      <c r="BC67" s="131"/>
      <c r="BD67" s="131"/>
      <c r="BE67" s="131"/>
      <c r="BF67" s="131"/>
      <c r="BG67" s="131"/>
      <c r="BH67" s="131"/>
      <c r="BI67" s="131"/>
      <c r="BJ67" s="131"/>
      <c r="BK67" s="131"/>
      <c r="BL67" s="131"/>
      <c r="BM67" s="135"/>
      <c r="BN67" s="135"/>
      <c r="BO67" s="117"/>
      <c r="BP67" s="117"/>
      <c r="BQ67" s="117"/>
      <c r="BR67" s="117"/>
      <c r="BS67" s="117"/>
      <c r="BT67" s="135"/>
      <c r="BU67" s="29"/>
      <c r="BV67" s="117"/>
      <c r="BW67" s="29"/>
      <c r="BX67" s="29"/>
      <c r="BY67" s="29"/>
      <c r="BZ67" s="29"/>
      <c r="CA67" s="26"/>
      <c r="CB67" s="26"/>
      <c r="CC67" s="26"/>
      <c r="CD67" s="26"/>
      <c r="CE67" s="26"/>
      <c r="CF67" s="26"/>
      <c r="CG67" s="26"/>
      <c r="CH67" s="29"/>
      <c r="CI67" s="29"/>
      <c r="CJ67" s="29"/>
      <c r="CK67" s="29"/>
      <c r="CL67" s="29"/>
      <c r="CM67" s="29"/>
      <c r="CN67" s="29"/>
      <c r="CO67" s="29"/>
      <c r="CP67" s="29"/>
      <c r="CQ67" s="29"/>
      <c r="CR67" s="29"/>
      <c r="CS67" s="29"/>
      <c r="CT67" s="29"/>
      <c r="CU67" s="29"/>
      <c r="CV67" s="29"/>
      <c r="CW67" s="29"/>
      <c r="CX67" s="29"/>
      <c r="CY67" s="29"/>
      <c r="CZ67" s="29"/>
      <c r="DA67" s="29"/>
      <c r="DB67" s="29"/>
      <c r="DC67" s="29"/>
      <c r="DD67" s="29"/>
      <c r="DE67" s="96"/>
    </row>
    <row r="68" spans="1:109" s="4" customFormat="1" ht="36">
      <c r="A68" s="582"/>
      <c r="B68" s="608"/>
      <c r="C68" s="590"/>
      <c r="D68" s="574"/>
      <c r="E68" s="310"/>
      <c r="F68" s="310"/>
      <c r="G68" s="310"/>
      <c r="H68" s="321"/>
      <c r="I68" s="321"/>
      <c r="J68" s="321"/>
      <c r="K68" s="321"/>
      <c r="L68" s="328"/>
      <c r="M68" s="328"/>
      <c r="N68" s="328"/>
      <c r="O68" s="328"/>
      <c r="P68" s="321"/>
      <c r="Q68" s="321"/>
      <c r="R68" s="321"/>
      <c r="S68" s="321"/>
      <c r="T68" s="321"/>
      <c r="U68" s="321"/>
      <c r="V68" s="321"/>
      <c r="W68" s="321"/>
      <c r="X68" s="321"/>
      <c r="Y68" s="321"/>
      <c r="Z68" s="321"/>
      <c r="AA68" s="321"/>
      <c r="AB68" s="321"/>
      <c r="AC68" s="321"/>
      <c r="AD68" s="321"/>
      <c r="AE68" s="321"/>
      <c r="AF68" s="321"/>
      <c r="AG68" s="321"/>
      <c r="AH68" s="321"/>
      <c r="AI68" s="321"/>
      <c r="AJ68" s="366"/>
      <c r="AK68" s="420"/>
      <c r="AL68" s="15" t="s">
        <v>255</v>
      </c>
      <c r="AM68" s="26">
        <v>41519</v>
      </c>
      <c r="AN68" s="26">
        <v>41628</v>
      </c>
      <c r="AO68" s="366"/>
      <c r="AP68" s="366"/>
      <c r="AQ68" s="366"/>
      <c r="AR68" s="366"/>
      <c r="AS68" s="420"/>
      <c r="AT68" s="366"/>
      <c r="AU68" s="366"/>
      <c r="AV68" s="366"/>
      <c r="AW68" s="366"/>
      <c r="AX68" s="131"/>
      <c r="AY68" s="131"/>
      <c r="AZ68" s="131"/>
      <c r="BA68" s="131"/>
      <c r="BB68" s="131"/>
      <c r="BC68" s="131"/>
      <c r="BD68" s="131"/>
      <c r="BE68" s="131"/>
      <c r="BF68" s="131"/>
      <c r="BG68" s="131"/>
      <c r="BH68" s="131"/>
      <c r="BI68" s="131"/>
      <c r="BJ68" s="131"/>
      <c r="BK68" s="131"/>
      <c r="BL68" s="131"/>
      <c r="BM68" s="135"/>
      <c r="BN68" s="135"/>
      <c r="BO68" s="117"/>
      <c r="BP68" s="117"/>
      <c r="BQ68" s="117"/>
      <c r="BR68" s="117"/>
      <c r="BS68" s="117"/>
      <c r="BT68" s="135"/>
      <c r="BU68" s="29"/>
      <c r="BV68" s="117"/>
      <c r="BW68" s="29"/>
      <c r="BX68" s="29"/>
      <c r="BY68" s="29"/>
      <c r="BZ68" s="29"/>
      <c r="CA68" s="26"/>
      <c r="CB68" s="26"/>
      <c r="CC68" s="26"/>
      <c r="CD68" s="26"/>
      <c r="CE68" s="26"/>
      <c r="CF68" s="26"/>
      <c r="CG68" s="26"/>
      <c r="CH68" s="29"/>
      <c r="CI68" s="29"/>
      <c r="CJ68" s="29"/>
      <c r="CK68" s="29"/>
      <c r="CL68" s="29"/>
      <c r="CM68" s="29"/>
      <c r="CN68" s="29"/>
      <c r="CO68" s="29"/>
      <c r="CP68" s="29"/>
      <c r="CQ68" s="29"/>
      <c r="CR68" s="29"/>
      <c r="CS68" s="29"/>
      <c r="CT68" s="29"/>
      <c r="CU68" s="29"/>
      <c r="CV68" s="29"/>
      <c r="CW68" s="29"/>
      <c r="CX68" s="29"/>
      <c r="CY68" s="29"/>
      <c r="CZ68" s="29"/>
      <c r="DA68" s="29"/>
      <c r="DB68" s="29"/>
      <c r="DC68" s="29"/>
      <c r="DD68" s="29"/>
      <c r="DE68" s="96"/>
    </row>
    <row r="69" spans="1:109" s="4" customFormat="1" ht="54.75" customHeight="1">
      <c r="A69" s="582"/>
      <c r="B69" s="608"/>
      <c r="C69" s="588" t="s">
        <v>275</v>
      </c>
      <c r="D69" s="573" t="s">
        <v>276</v>
      </c>
      <c r="E69" s="310">
        <v>171886667</v>
      </c>
      <c r="F69" s="310">
        <v>171886667</v>
      </c>
      <c r="G69" s="310">
        <v>171886667</v>
      </c>
      <c r="H69" s="321"/>
      <c r="I69" s="321"/>
      <c r="J69" s="321"/>
      <c r="K69" s="321"/>
      <c r="L69" s="339">
        <v>1</v>
      </c>
      <c r="M69" s="339">
        <v>1</v>
      </c>
      <c r="N69" s="339">
        <v>1</v>
      </c>
      <c r="O69" s="339">
        <f>SUM(L69:N72)</f>
        <v>3</v>
      </c>
      <c r="P69" s="321"/>
      <c r="Q69" s="321"/>
      <c r="R69" s="321"/>
      <c r="S69" s="321"/>
      <c r="T69" s="321"/>
      <c r="U69" s="321"/>
      <c r="V69" s="321"/>
      <c r="W69" s="321"/>
      <c r="X69" s="321"/>
      <c r="Y69" s="321"/>
      <c r="Z69" s="321"/>
      <c r="AA69" s="321"/>
      <c r="AB69" s="321"/>
      <c r="AC69" s="321"/>
      <c r="AD69" s="321"/>
      <c r="AE69" s="321"/>
      <c r="AF69" s="321"/>
      <c r="AG69" s="321"/>
      <c r="AH69" s="321"/>
      <c r="AI69" s="321"/>
      <c r="AJ69" s="364" t="s">
        <v>35</v>
      </c>
      <c r="AK69" s="418" t="s">
        <v>46</v>
      </c>
      <c r="AL69" s="15" t="s">
        <v>279</v>
      </c>
      <c r="AM69" s="26">
        <v>41414</v>
      </c>
      <c r="AN69" s="26">
        <v>41432</v>
      </c>
      <c r="AO69" s="310">
        <v>171886667</v>
      </c>
      <c r="AP69" s="310">
        <f>7600160</f>
        <v>7600160</v>
      </c>
      <c r="AQ69" s="310">
        <f>AO69-AP69</f>
        <v>164286507</v>
      </c>
      <c r="AR69" s="310">
        <v>171886667</v>
      </c>
      <c r="AS69" s="319">
        <f>256900+9931603+54000000+20000000</f>
        <v>84188503</v>
      </c>
      <c r="AT69" s="310">
        <f>AR69-AS69</f>
        <v>87698164</v>
      </c>
      <c r="AU69" s="310">
        <v>171886667</v>
      </c>
      <c r="AV69" s="310">
        <f>7600160</f>
        <v>7600160</v>
      </c>
      <c r="AW69" s="310">
        <f>AU69-AV69</f>
        <v>164286507</v>
      </c>
      <c r="AX69" s="65"/>
      <c r="AY69" s="65"/>
      <c r="AZ69" s="65"/>
      <c r="BA69" s="65"/>
      <c r="BB69" s="65"/>
      <c r="BC69" s="65"/>
      <c r="BD69" s="65"/>
      <c r="BE69" s="65"/>
      <c r="BF69" s="65"/>
      <c r="BG69" s="65"/>
      <c r="BH69" s="65"/>
      <c r="BI69" s="65"/>
      <c r="BJ69" s="65"/>
      <c r="BK69" s="65"/>
      <c r="BL69" s="65"/>
      <c r="BM69" s="405">
        <v>5100738</v>
      </c>
      <c r="BN69" s="405">
        <v>171886667</v>
      </c>
      <c r="BO69" s="360">
        <v>7953623</v>
      </c>
      <c r="BP69" s="360">
        <v>171886667</v>
      </c>
      <c r="BQ69" s="360">
        <v>7567949</v>
      </c>
      <c r="BR69" s="360">
        <v>171886667</v>
      </c>
      <c r="BS69" s="360">
        <f>BM69+BO69+BQ69</f>
        <v>20622310</v>
      </c>
      <c r="BT69" s="405">
        <f>BN69+BP69+BR69</f>
        <v>515660001</v>
      </c>
      <c r="BU69" s="341">
        <f>BS69+BT69</f>
        <v>536282311</v>
      </c>
      <c r="BV69" s="360">
        <v>175000000</v>
      </c>
      <c r="BW69" s="341"/>
      <c r="BX69" s="341"/>
      <c r="BY69" s="341"/>
      <c r="BZ69" s="341"/>
      <c r="CA69" s="310"/>
      <c r="CB69" s="310"/>
      <c r="CC69" s="310"/>
      <c r="CD69" s="310"/>
      <c r="CE69" s="310"/>
      <c r="CF69" s="310"/>
      <c r="CG69" s="310"/>
      <c r="CH69" s="341">
        <f>SUM(BW69:CG71)</f>
        <v>0</v>
      </c>
      <c r="CI69" s="310">
        <f>CH69+BV69</f>
        <v>175000000</v>
      </c>
      <c r="CJ69" s="341">
        <v>50000000</v>
      </c>
      <c r="CK69" s="341"/>
      <c r="CL69" s="341"/>
      <c r="CM69" s="341"/>
      <c r="CN69" s="341"/>
      <c r="CO69" s="341"/>
      <c r="CP69" s="341">
        <f>SUM(CK69:CO71)</f>
        <v>0</v>
      </c>
      <c r="CQ69" s="310">
        <f>CP69+CJ69</f>
        <v>50000000</v>
      </c>
      <c r="CR69" s="341">
        <v>55000000</v>
      </c>
      <c r="CS69" s="341"/>
      <c r="CT69" s="341"/>
      <c r="CU69" s="341"/>
      <c r="CV69" s="341">
        <f>SUM(CS69:CU71)</f>
        <v>0</v>
      </c>
      <c r="CW69" s="310">
        <f>CV69+CR69</f>
        <v>55000000</v>
      </c>
      <c r="CX69" s="341">
        <v>25000000</v>
      </c>
      <c r="CY69" s="341"/>
      <c r="CZ69" s="341"/>
      <c r="DA69" s="341">
        <f>SUM(CY69:CZ71)</f>
        <v>0</v>
      </c>
      <c r="DB69" s="310">
        <f>DA69+CX69</f>
        <v>25000000</v>
      </c>
      <c r="DC69" s="341"/>
      <c r="DD69" s="310">
        <f>DB69+CW69+CQ69+CI69+DC69</f>
        <v>305000000</v>
      </c>
      <c r="DE69" s="346" t="s">
        <v>413</v>
      </c>
    </row>
    <row r="70" spans="1:109" s="4" customFormat="1" ht="36">
      <c r="A70" s="582"/>
      <c r="B70" s="608"/>
      <c r="C70" s="589"/>
      <c r="D70" s="584"/>
      <c r="E70" s="310"/>
      <c r="F70" s="310"/>
      <c r="G70" s="310"/>
      <c r="H70" s="321"/>
      <c r="I70" s="321"/>
      <c r="J70" s="321"/>
      <c r="K70" s="321"/>
      <c r="L70" s="339"/>
      <c r="M70" s="339"/>
      <c r="N70" s="339"/>
      <c r="O70" s="339"/>
      <c r="P70" s="321"/>
      <c r="Q70" s="321"/>
      <c r="R70" s="321"/>
      <c r="S70" s="321"/>
      <c r="T70" s="321"/>
      <c r="U70" s="321"/>
      <c r="V70" s="321"/>
      <c r="W70" s="321"/>
      <c r="X70" s="321"/>
      <c r="Y70" s="321"/>
      <c r="Z70" s="321"/>
      <c r="AA70" s="321"/>
      <c r="AB70" s="321"/>
      <c r="AC70" s="321"/>
      <c r="AD70" s="321"/>
      <c r="AE70" s="321"/>
      <c r="AF70" s="321"/>
      <c r="AG70" s="321"/>
      <c r="AH70" s="321"/>
      <c r="AI70" s="321"/>
      <c r="AJ70" s="365"/>
      <c r="AK70" s="419"/>
      <c r="AL70" s="15" t="s">
        <v>280</v>
      </c>
      <c r="AM70" s="26">
        <v>41435</v>
      </c>
      <c r="AN70" s="26">
        <v>41628</v>
      </c>
      <c r="AO70" s="310"/>
      <c r="AP70" s="310"/>
      <c r="AQ70" s="310"/>
      <c r="AR70" s="310"/>
      <c r="AS70" s="319"/>
      <c r="AT70" s="310"/>
      <c r="AU70" s="310"/>
      <c r="AV70" s="310"/>
      <c r="AW70" s="310"/>
      <c r="AX70" s="131"/>
      <c r="AY70" s="131"/>
      <c r="AZ70" s="131"/>
      <c r="BA70" s="131"/>
      <c r="BB70" s="131"/>
      <c r="BC70" s="131"/>
      <c r="BD70" s="131"/>
      <c r="BE70" s="131"/>
      <c r="BF70" s="131"/>
      <c r="BG70" s="131"/>
      <c r="BH70" s="131"/>
      <c r="BI70" s="131"/>
      <c r="BJ70" s="131"/>
      <c r="BK70" s="131"/>
      <c r="BL70" s="131"/>
      <c r="BM70" s="408"/>
      <c r="BN70" s="408"/>
      <c r="BO70" s="362"/>
      <c r="BP70" s="362"/>
      <c r="BQ70" s="362"/>
      <c r="BR70" s="362"/>
      <c r="BS70" s="362"/>
      <c r="BT70" s="408"/>
      <c r="BU70" s="341"/>
      <c r="BV70" s="362"/>
      <c r="BW70" s="341"/>
      <c r="BX70" s="341"/>
      <c r="BY70" s="341"/>
      <c r="BZ70" s="341"/>
      <c r="CA70" s="310"/>
      <c r="CB70" s="310"/>
      <c r="CC70" s="310"/>
      <c r="CD70" s="310"/>
      <c r="CE70" s="310"/>
      <c r="CF70" s="310"/>
      <c r="CG70" s="310"/>
      <c r="CH70" s="341"/>
      <c r="CI70" s="310"/>
      <c r="CJ70" s="341"/>
      <c r="CK70" s="341"/>
      <c r="CL70" s="341"/>
      <c r="CM70" s="341"/>
      <c r="CN70" s="341"/>
      <c r="CO70" s="341"/>
      <c r="CP70" s="341"/>
      <c r="CQ70" s="310"/>
      <c r="CR70" s="341"/>
      <c r="CS70" s="341"/>
      <c r="CT70" s="341"/>
      <c r="CU70" s="341"/>
      <c r="CV70" s="341"/>
      <c r="CW70" s="310"/>
      <c r="CX70" s="341"/>
      <c r="CY70" s="341"/>
      <c r="CZ70" s="341"/>
      <c r="DA70" s="341"/>
      <c r="DB70" s="310"/>
      <c r="DC70" s="341"/>
      <c r="DD70" s="310"/>
      <c r="DE70" s="346"/>
    </row>
    <row r="71" spans="1:109" s="4" customFormat="1" ht="48">
      <c r="A71" s="582"/>
      <c r="B71" s="608"/>
      <c r="C71" s="589"/>
      <c r="D71" s="584"/>
      <c r="E71" s="310"/>
      <c r="F71" s="310"/>
      <c r="G71" s="310"/>
      <c r="H71" s="321"/>
      <c r="I71" s="321"/>
      <c r="J71" s="321"/>
      <c r="K71" s="321"/>
      <c r="L71" s="339"/>
      <c r="M71" s="339"/>
      <c r="N71" s="339"/>
      <c r="O71" s="339"/>
      <c r="P71" s="321"/>
      <c r="Q71" s="321"/>
      <c r="R71" s="321"/>
      <c r="S71" s="321"/>
      <c r="T71" s="321"/>
      <c r="U71" s="321"/>
      <c r="V71" s="321"/>
      <c r="W71" s="321"/>
      <c r="X71" s="321"/>
      <c r="Y71" s="321"/>
      <c r="Z71" s="321"/>
      <c r="AA71" s="321"/>
      <c r="AB71" s="321"/>
      <c r="AC71" s="321"/>
      <c r="AD71" s="321"/>
      <c r="AE71" s="321"/>
      <c r="AF71" s="321"/>
      <c r="AG71" s="321"/>
      <c r="AH71" s="321"/>
      <c r="AI71" s="321"/>
      <c r="AJ71" s="365"/>
      <c r="AK71" s="419"/>
      <c r="AL71" s="15" t="s">
        <v>254</v>
      </c>
      <c r="AM71" s="26">
        <v>41487</v>
      </c>
      <c r="AN71" s="26">
        <v>41628</v>
      </c>
      <c r="AO71" s="310"/>
      <c r="AP71" s="310"/>
      <c r="AQ71" s="310"/>
      <c r="AR71" s="310"/>
      <c r="AS71" s="319"/>
      <c r="AT71" s="310"/>
      <c r="AU71" s="310"/>
      <c r="AV71" s="310"/>
      <c r="AW71" s="310"/>
      <c r="AX71" s="137"/>
      <c r="AY71" s="137"/>
      <c r="AZ71" s="137"/>
      <c r="BA71" s="137"/>
      <c r="BB71" s="137"/>
      <c r="BC71" s="137"/>
      <c r="BD71" s="137"/>
      <c r="BE71" s="137"/>
      <c r="BF71" s="137"/>
      <c r="BG71" s="137"/>
      <c r="BH71" s="137"/>
      <c r="BI71" s="137"/>
      <c r="BJ71" s="137"/>
      <c r="BK71" s="137"/>
      <c r="BL71" s="137"/>
      <c r="BM71" s="406"/>
      <c r="BN71" s="406"/>
      <c r="BO71" s="361"/>
      <c r="BP71" s="361"/>
      <c r="BQ71" s="361"/>
      <c r="BR71" s="361"/>
      <c r="BS71" s="361"/>
      <c r="BT71" s="406"/>
      <c r="BU71" s="341"/>
      <c r="BV71" s="361"/>
      <c r="BW71" s="341"/>
      <c r="BX71" s="341"/>
      <c r="BY71" s="341"/>
      <c r="BZ71" s="341"/>
      <c r="CA71" s="310"/>
      <c r="CB71" s="310"/>
      <c r="CC71" s="310"/>
      <c r="CD71" s="310"/>
      <c r="CE71" s="310"/>
      <c r="CF71" s="310"/>
      <c r="CG71" s="310"/>
      <c r="CH71" s="341"/>
      <c r="CI71" s="310"/>
      <c r="CJ71" s="341"/>
      <c r="CK71" s="341"/>
      <c r="CL71" s="341"/>
      <c r="CM71" s="341"/>
      <c r="CN71" s="341"/>
      <c r="CO71" s="341"/>
      <c r="CP71" s="341"/>
      <c r="CQ71" s="310"/>
      <c r="CR71" s="341"/>
      <c r="CS71" s="341"/>
      <c r="CT71" s="341"/>
      <c r="CU71" s="341"/>
      <c r="CV71" s="341"/>
      <c r="CW71" s="310"/>
      <c r="CX71" s="341"/>
      <c r="CY71" s="341"/>
      <c r="CZ71" s="341"/>
      <c r="DA71" s="341"/>
      <c r="DB71" s="310"/>
      <c r="DC71" s="341"/>
      <c r="DD71" s="310"/>
      <c r="DE71" s="346"/>
    </row>
    <row r="72" spans="1:109" s="4" customFormat="1" ht="36">
      <c r="A72" s="582"/>
      <c r="B72" s="608"/>
      <c r="C72" s="589"/>
      <c r="D72" s="574"/>
      <c r="E72" s="310"/>
      <c r="F72" s="310"/>
      <c r="G72" s="310"/>
      <c r="H72" s="321"/>
      <c r="I72" s="321"/>
      <c r="J72" s="321"/>
      <c r="K72" s="321"/>
      <c r="L72" s="339"/>
      <c r="M72" s="339"/>
      <c r="N72" s="339"/>
      <c r="O72" s="339"/>
      <c r="P72" s="321"/>
      <c r="Q72" s="321"/>
      <c r="R72" s="321"/>
      <c r="S72" s="321"/>
      <c r="T72" s="321"/>
      <c r="U72" s="321"/>
      <c r="V72" s="321"/>
      <c r="W72" s="321"/>
      <c r="X72" s="321"/>
      <c r="Y72" s="321"/>
      <c r="Z72" s="321"/>
      <c r="AA72" s="321"/>
      <c r="AB72" s="321"/>
      <c r="AC72" s="321"/>
      <c r="AD72" s="321"/>
      <c r="AE72" s="321"/>
      <c r="AF72" s="321"/>
      <c r="AG72" s="321"/>
      <c r="AH72" s="321"/>
      <c r="AI72" s="321"/>
      <c r="AJ72" s="366"/>
      <c r="AK72" s="420"/>
      <c r="AL72" s="15" t="s">
        <v>268</v>
      </c>
      <c r="AM72" s="26">
        <v>41519</v>
      </c>
      <c r="AN72" s="26">
        <v>41628</v>
      </c>
      <c r="AO72" s="310"/>
      <c r="AP72" s="310"/>
      <c r="AQ72" s="310"/>
      <c r="AR72" s="310"/>
      <c r="AS72" s="319"/>
      <c r="AT72" s="310"/>
      <c r="AU72" s="310"/>
      <c r="AV72" s="310"/>
      <c r="AW72" s="310"/>
      <c r="AX72" s="131"/>
      <c r="AY72" s="131"/>
      <c r="AZ72" s="131"/>
      <c r="BA72" s="131"/>
      <c r="BB72" s="131"/>
      <c r="BC72" s="131"/>
      <c r="BD72" s="131"/>
      <c r="BE72" s="131"/>
      <c r="BF72" s="131"/>
      <c r="BG72" s="131"/>
      <c r="BH72" s="131"/>
      <c r="BI72" s="131"/>
      <c r="BJ72" s="131"/>
      <c r="BK72" s="131"/>
      <c r="BL72" s="131"/>
      <c r="BM72" s="135"/>
      <c r="BN72" s="135"/>
      <c r="BO72" s="117"/>
      <c r="BP72" s="117"/>
      <c r="BQ72" s="117"/>
      <c r="BR72" s="117"/>
      <c r="BS72" s="117"/>
      <c r="BT72" s="135"/>
      <c r="BU72" s="29"/>
      <c r="BV72" s="118"/>
      <c r="BW72" s="29"/>
      <c r="BX72" s="29"/>
      <c r="BY72" s="29"/>
      <c r="BZ72" s="29"/>
      <c r="CA72" s="26"/>
      <c r="CB72" s="26"/>
      <c r="CC72" s="26"/>
      <c r="CD72" s="26"/>
      <c r="CE72" s="26"/>
      <c r="CF72" s="26"/>
      <c r="CG72" s="26"/>
      <c r="CH72" s="29"/>
      <c r="CI72" s="26"/>
      <c r="CJ72" s="29"/>
      <c r="CK72" s="29"/>
      <c r="CL72" s="29"/>
      <c r="CM72" s="29"/>
      <c r="CN72" s="29"/>
      <c r="CO72" s="29"/>
      <c r="CP72" s="29"/>
      <c r="CQ72" s="26"/>
      <c r="CR72" s="29"/>
      <c r="CS72" s="29"/>
      <c r="CT72" s="29"/>
      <c r="CU72" s="29"/>
      <c r="CV72" s="29"/>
      <c r="CW72" s="26"/>
      <c r="CX72" s="29"/>
      <c r="CY72" s="29"/>
      <c r="CZ72" s="29"/>
      <c r="DA72" s="29"/>
      <c r="DB72" s="26"/>
      <c r="DC72" s="29"/>
      <c r="DD72" s="26"/>
      <c r="DE72" s="96"/>
    </row>
    <row r="73" spans="1:109" s="4" customFormat="1" ht="33" customHeight="1">
      <c r="A73" s="582"/>
      <c r="B73" s="608"/>
      <c r="C73" s="589"/>
      <c r="D73" s="573" t="s">
        <v>277</v>
      </c>
      <c r="E73" s="310">
        <v>64886666</v>
      </c>
      <c r="F73" s="310">
        <v>64886667</v>
      </c>
      <c r="G73" s="310">
        <v>64886667</v>
      </c>
      <c r="H73" s="321"/>
      <c r="I73" s="321"/>
      <c r="J73" s="321"/>
      <c r="K73" s="321"/>
      <c r="L73" s="339">
        <v>1</v>
      </c>
      <c r="M73" s="339"/>
      <c r="N73" s="339"/>
      <c r="O73" s="339">
        <f>SUM(L73:N74)</f>
        <v>1</v>
      </c>
      <c r="P73" s="321"/>
      <c r="Q73" s="321"/>
      <c r="R73" s="321"/>
      <c r="S73" s="321"/>
      <c r="T73" s="321"/>
      <c r="U73" s="321"/>
      <c r="V73" s="321"/>
      <c r="W73" s="321"/>
      <c r="X73" s="321"/>
      <c r="Y73" s="321"/>
      <c r="Z73" s="321"/>
      <c r="AA73" s="321"/>
      <c r="AB73" s="321"/>
      <c r="AC73" s="321"/>
      <c r="AD73" s="321"/>
      <c r="AE73" s="321"/>
      <c r="AF73" s="321"/>
      <c r="AG73" s="321"/>
      <c r="AH73" s="321"/>
      <c r="AI73" s="321"/>
      <c r="AJ73" s="364" t="s">
        <v>35</v>
      </c>
      <c r="AK73" s="418" t="s">
        <v>36</v>
      </c>
      <c r="AL73" s="15" t="s">
        <v>281</v>
      </c>
      <c r="AM73" s="26">
        <v>41414</v>
      </c>
      <c r="AN73" s="26">
        <v>41517</v>
      </c>
      <c r="AO73" s="310">
        <v>64886666</v>
      </c>
      <c r="AP73" s="310">
        <v>0</v>
      </c>
      <c r="AQ73" s="310">
        <f>AO73-AX73</f>
        <v>64886666</v>
      </c>
      <c r="AR73" s="310">
        <v>64886666</v>
      </c>
      <c r="AS73" s="319">
        <v>0</v>
      </c>
      <c r="AT73" s="310">
        <f>AR73-BA73</f>
        <v>64886666</v>
      </c>
      <c r="AU73" s="310">
        <v>64886666</v>
      </c>
      <c r="AV73" s="310">
        <v>0</v>
      </c>
      <c r="AW73" s="310">
        <f>AU73-BA73</f>
        <v>64886666</v>
      </c>
      <c r="AX73" s="65"/>
      <c r="AY73" s="65"/>
      <c r="AZ73" s="65"/>
      <c r="BA73" s="65"/>
      <c r="BB73" s="65"/>
      <c r="BC73" s="65"/>
      <c r="BD73" s="65"/>
      <c r="BE73" s="65"/>
      <c r="BF73" s="65"/>
      <c r="BG73" s="65"/>
      <c r="BH73" s="65"/>
      <c r="BI73" s="65"/>
      <c r="BJ73" s="65"/>
      <c r="BK73" s="65"/>
      <c r="BL73" s="65"/>
      <c r="BM73" s="122">
        <v>5100738</v>
      </c>
      <c r="BN73" s="122">
        <v>64886667</v>
      </c>
      <c r="BO73" s="116">
        <v>7953623</v>
      </c>
      <c r="BP73" s="116">
        <v>64886667</v>
      </c>
      <c r="BQ73" s="116">
        <v>7567949</v>
      </c>
      <c r="BR73" s="116">
        <v>64886667</v>
      </c>
      <c r="BS73" s="116">
        <f>BM73+BO73+BQ73</f>
        <v>20622310</v>
      </c>
      <c r="BT73" s="122">
        <f>BN73+BP73+BR73</f>
        <v>194660001</v>
      </c>
      <c r="BU73" s="29">
        <f>BS73+BT73</f>
        <v>215282311</v>
      </c>
      <c r="BV73" s="29">
        <v>30000000</v>
      </c>
      <c r="BW73" s="29"/>
      <c r="BX73" s="29"/>
      <c r="BY73" s="29"/>
      <c r="BZ73" s="29"/>
      <c r="CA73" s="26"/>
      <c r="CB73" s="26"/>
      <c r="CC73" s="26"/>
      <c r="CD73" s="26"/>
      <c r="CE73" s="26"/>
      <c r="CF73" s="26"/>
      <c r="CG73" s="26"/>
      <c r="CH73" s="29">
        <f>SUM(BW73:CG73)</f>
        <v>0</v>
      </c>
      <c r="CI73" s="26">
        <f>CH73+BV73</f>
        <v>30000000</v>
      </c>
      <c r="CJ73" s="26">
        <v>30000000</v>
      </c>
      <c r="CK73" s="120"/>
      <c r="CL73" s="120"/>
      <c r="CM73" s="120"/>
      <c r="CN73" s="120"/>
      <c r="CO73" s="120"/>
      <c r="CP73" s="29">
        <f>SUM(CK73:CO73)</f>
        <v>0</v>
      </c>
      <c r="CQ73" s="26">
        <f>CP73+CJ73</f>
        <v>30000000</v>
      </c>
      <c r="CR73" s="29">
        <v>24000000</v>
      </c>
      <c r="CS73" s="120"/>
      <c r="CT73" s="120"/>
      <c r="CU73" s="120"/>
      <c r="CV73" s="29">
        <f>SUM(CS73:CU73)</f>
        <v>0</v>
      </c>
      <c r="CW73" s="26">
        <f>CV73+CR73</f>
        <v>24000000</v>
      </c>
      <c r="CX73" s="29">
        <v>30000000</v>
      </c>
      <c r="CY73" s="120"/>
      <c r="CZ73" s="120"/>
      <c r="DA73" s="29">
        <f>SUM(CY73:CZ73)</f>
        <v>0</v>
      </c>
      <c r="DB73" s="26">
        <f>DA73+CX73</f>
        <v>30000000</v>
      </c>
      <c r="DC73" s="120"/>
      <c r="DD73" s="26">
        <f>DB73+CW73+CQ73+CI73+DC73</f>
        <v>114000000</v>
      </c>
      <c r="DE73" s="96" t="s">
        <v>162</v>
      </c>
    </row>
    <row r="74" spans="1:109" s="4" customFormat="1" ht="36">
      <c r="A74" s="582"/>
      <c r="B74" s="608"/>
      <c r="C74" s="589"/>
      <c r="D74" s="574"/>
      <c r="E74" s="310"/>
      <c r="F74" s="310"/>
      <c r="G74" s="310"/>
      <c r="H74" s="321"/>
      <c r="I74" s="321"/>
      <c r="J74" s="321"/>
      <c r="K74" s="321"/>
      <c r="L74" s="339"/>
      <c r="M74" s="339"/>
      <c r="N74" s="339"/>
      <c r="O74" s="339"/>
      <c r="P74" s="321"/>
      <c r="Q74" s="321"/>
      <c r="R74" s="321"/>
      <c r="S74" s="321"/>
      <c r="T74" s="321"/>
      <c r="U74" s="321"/>
      <c r="V74" s="321"/>
      <c r="W74" s="321"/>
      <c r="X74" s="321"/>
      <c r="Y74" s="321"/>
      <c r="Z74" s="321"/>
      <c r="AA74" s="321"/>
      <c r="AB74" s="321"/>
      <c r="AC74" s="321"/>
      <c r="AD74" s="321"/>
      <c r="AE74" s="321"/>
      <c r="AF74" s="321"/>
      <c r="AG74" s="321"/>
      <c r="AH74" s="321"/>
      <c r="AI74" s="321"/>
      <c r="AJ74" s="366"/>
      <c r="AK74" s="420"/>
      <c r="AL74" s="15" t="s">
        <v>255</v>
      </c>
      <c r="AM74" s="26">
        <v>41519</v>
      </c>
      <c r="AN74" s="26">
        <v>41628</v>
      </c>
      <c r="AO74" s="310"/>
      <c r="AP74" s="310"/>
      <c r="AQ74" s="310"/>
      <c r="AR74" s="310"/>
      <c r="AS74" s="319"/>
      <c r="AT74" s="310"/>
      <c r="AU74" s="310"/>
      <c r="AV74" s="310"/>
      <c r="AW74" s="310"/>
      <c r="AX74" s="131"/>
      <c r="AY74" s="131"/>
      <c r="AZ74" s="131"/>
      <c r="BA74" s="131"/>
      <c r="BB74" s="131"/>
      <c r="BC74" s="131"/>
      <c r="BD74" s="131"/>
      <c r="BE74" s="131"/>
      <c r="BF74" s="131"/>
      <c r="BG74" s="131"/>
      <c r="BH74" s="131"/>
      <c r="BI74" s="131"/>
      <c r="BJ74" s="131"/>
      <c r="BK74" s="131"/>
      <c r="BL74" s="131"/>
      <c r="BM74" s="135"/>
      <c r="BN74" s="135"/>
      <c r="BO74" s="117"/>
      <c r="BP74" s="117"/>
      <c r="BQ74" s="117"/>
      <c r="BR74" s="117"/>
      <c r="BS74" s="117"/>
      <c r="BT74" s="135"/>
      <c r="BU74" s="29"/>
      <c r="BV74" s="116"/>
      <c r="BW74" s="29"/>
      <c r="BX74" s="29"/>
      <c r="BY74" s="29"/>
      <c r="BZ74" s="29"/>
      <c r="CA74" s="26"/>
      <c r="CB74" s="26"/>
      <c r="CC74" s="26"/>
      <c r="CD74" s="26"/>
      <c r="CE74" s="26"/>
      <c r="CF74" s="26"/>
      <c r="CG74" s="26"/>
      <c r="CH74" s="29"/>
      <c r="CI74" s="26"/>
      <c r="CJ74" s="26"/>
      <c r="CK74" s="120"/>
      <c r="CL74" s="120"/>
      <c r="CM74" s="120"/>
      <c r="CN74" s="120"/>
      <c r="CO74" s="120"/>
      <c r="CP74" s="29"/>
      <c r="CQ74" s="26"/>
      <c r="CR74" s="29"/>
      <c r="CS74" s="120"/>
      <c r="CT74" s="120"/>
      <c r="CU74" s="120"/>
      <c r="CV74" s="29"/>
      <c r="CW74" s="26"/>
      <c r="CX74" s="29"/>
      <c r="CY74" s="120"/>
      <c r="CZ74" s="120"/>
      <c r="DA74" s="29"/>
      <c r="DB74" s="26"/>
      <c r="DC74" s="120"/>
      <c r="DD74" s="26"/>
      <c r="DE74" s="96"/>
    </row>
    <row r="75" spans="1:109" s="4" customFormat="1" ht="33" customHeight="1">
      <c r="A75" s="582"/>
      <c r="B75" s="608"/>
      <c r="C75" s="589"/>
      <c r="D75" s="573" t="s">
        <v>278</v>
      </c>
      <c r="E75" s="310">
        <v>300000000</v>
      </c>
      <c r="F75" s="310">
        <v>300000000</v>
      </c>
      <c r="G75" s="310">
        <v>300000000</v>
      </c>
      <c r="H75" s="321"/>
      <c r="I75" s="321"/>
      <c r="J75" s="321"/>
      <c r="K75" s="321"/>
      <c r="L75" s="339">
        <v>3</v>
      </c>
      <c r="M75" s="339">
        <v>6</v>
      </c>
      <c r="N75" s="339">
        <v>6</v>
      </c>
      <c r="O75" s="339">
        <f>SUM(L75:N77)</f>
        <v>15</v>
      </c>
      <c r="P75" s="321"/>
      <c r="Q75" s="321"/>
      <c r="R75" s="321"/>
      <c r="S75" s="321"/>
      <c r="T75" s="321"/>
      <c r="U75" s="321"/>
      <c r="V75" s="321"/>
      <c r="W75" s="321"/>
      <c r="X75" s="321"/>
      <c r="Y75" s="321"/>
      <c r="Z75" s="321"/>
      <c r="AA75" s="321"/>
      <c r="AB75" s="321"/>
      <c r="AC75" s="321"/>
      <c r="AD75" s="321"/>
      <c r="AE75" s="321"/>
      <c r="AF75" s="321"/>
      <c r="AG75" s="321"/>
      <c r="AH75" s="321"/>
      <c r="AI75" s="321"/>
      <c r="AJ75" s="364" t="s">
        <v>99</v>
      </c>
      <c r="AK75" s="418" t="s">
        <v>100</v>
      </c>
      <c r="AL75" s="15" t="s">
        <v>283</v>
      </c>
      <c r="AM75" s="26">
        <v>41414</v>
      </c>
      <c r="AN75" s="26">
        <v>41432</v>
      </c>
      <c r="AO75" s="310">
        <v>300000000</v>
      </c>
      <c r="AP75" s="310">
        <v>7500000</v>
      </c>
      <c r="AQ75" s="310">
        <f>AO75-AP75</f>
        <v>292500000</v>
      </c>
      <c r="AR75" s="310">
        <v>300000000</v>
      </c>
      <c r="AS75" s="319">
        <f>7500000+88500000</f>
        <v>96000000</v>
      </c>
      <c r="AT75" s="310">
        <f>AR75-AS75</f>
        <v>204000000</v>
      </c>
      <c r="AU75" s="310">
        <v>300000000</v>
      </c>
      <c r="AV75" s="310">
        <v>7500000</v>
      </c>
      <c r="AW75" s="310">
        <f>AU75-AV75</f>
        <v>292500000</v>
      </c>
      <c r="AX75" s="65"/>
      <c r="AY75" s="65"/>
      <c r="AZ75" s="65"/>
      <c r="BA75" s="65"/>
      <c r="BB75" s="65"/>
      <c r="BC75" s="65"/>
      <c r="BD75" s="65"/>
      <c r="BE75" s="65"/>
      <c r="BF75" s="65"/>
      <c r="BG75" s="65"/>
      <c r="BH75" s="65"/>
      <c r="BI75" s="65"/>
      <c r="BJ75" s="65"/>
      <c r="BK75" s="65"/>
      <c r="BL75" s="65"/>
      <c r="BM75" s="405">
        <v>4600738</v>
      </c>
      <c r="BN75" s="405">
        <v>300000000</v>
      </c>
      <c r="BO75" s="360">
        <v>7453623</v>
      </c>
      <c r="BP75" s="360">
        <v>300000000</v>
      </c>
      <c r="BQ75" s="360">
        <v>7067949</v>
      </c>
      <c r="BR75" s="360">
        <v>300000000</v>
      </c>
      <c r="BS75" s="360">
        <f>BM75+BO75+BQ75</f>
        <v>19122310</v>
      </c>
      <c r="BT75" s="405">
        <f>BN75+BP75+BR75</f>
        <v>900000000</v>
      </c>
      <c r="BU75" s="514">
        <f>BS75+BT75</f>
        <v>919122310</v>
      </c>
      <c r="BV75" s="360">
        <v>355000000</v>
      </c>
      <c r="BW75" s="341"/>
      <c r="BX75" s="341"/>
      <c r="BY75" s="341"/>
      <c r="BZ75" s="341"/>
      <c r="CA75" s="310"/>
      <c r="CB75" s="310"/>
      <c r="CC75" s="310"/>
      <c r="CD75" s="310"/>
      <c r="CE75" s="310"/>
      <c r="CF75" s="310"/>
      <c r="CG75" s="310"/>
      <c r="CH75" s="310">
        <f>SUM(BW75:CG76)</f>
        <v>0</v>
      </c>
      <c r="CI75" s="310">
        <f>CH75+BV75</f>
        <v>355000000</v>
      </c>
      <c r="CJ75" s="341">
        <v>100000000</v>
      </c>
      <c r="CK75" s="341"/>
      <c r="CL75" s="341"/>
      <c r="CM75" s="341"/>
      <c r="CN75" s="341"/>
      <c r="CO75" s="341"/>
      <c r="CP75" s="310">
        <f>SUM(CK75:CO76)</f>
        <v>0</v>
      </c>
      <c r="CQ75" s="310">
        <f>CP75+CJ75</f>
        <v>100000000</v>
      </c>
      <c r="CR75" s="341">
        <v>90000000</v>
      </c>
      <c r="CS75" s="341"/>
      <c r="CT75" s="341"/>
      <c r="CU75" s="341"/>
      <c r="CV75" s="310">
        <f>SUM(CS75:CU76)</f>
        <v>0</v>
      </c>
      <c r="CW75" s="310">
        <f>CV75+CR75</f>
        <v>90000000</v>
      </c>
      <c r="CX75" s="341">
        <v>30000000</v>
      </c>
      <c r="CY75" s="341">
        <v>10000000</v>
      </c>
      <c r="CZ75" s="341">
        <v>20000000</v>
      </c>
      <c r="DA75" s="310">
        <f>SUM(CY75:CZ76)</f>
        <v>30000000</v>
      </c>
      <c r="DB75" s="310">
        <f>DA75+CX75</f>
        <v>60000000</v>
      </c>
      <c r="DC75" s="341"/>
      <c r="DD75" s="310">
        <f>DB75+CW75+CQ75+CI75+DC75</f>
        <v>605000000</v>
      </c>
      <c r="DE75" s="346"/>
    </row>
    <row r="76" spans="1:109" s="4" customFormat="1" ht="36">
      <c r="A76" s="582"/>
      <c r="B76" s="608"/>
      <c r="C76" s="589"/>
      <c r="D76" s="584"/>
      <c r="E76" s="310"/>
      <c r="F76" s="310"/>
      <c r="G76" s="310"/>
      <c r="H76" s="321"/>
      <c r="I76" s="321"/>
      <c r="J76" s="321"/>
      <c r="K76" s="321"/>
      <c r="L76" s="339"/>
      <c r="M76" s="339"/>
      <c r="N76" s="339"/>
      <c r="O76" s="339"/>
      <c r="P76" s="321"/>
      <c r="Q76" s="321"/>
      <c r="R76" s="321"/>
      <c r="S76" s="321"/>
      <c r="T76" s="321"/>
      <c r="U76" s="321"/>
      <c r="V76" s="321"/>
      <c r="W76" s="321"/>
      <c r="X76" s="321"/>
      <c r="Y76" s="321"/>
      <c r="Z76" s="321"/>
      <c r="AA76" s="321"/>
      <c r="AB76" s="321"/>
      <c r="AC76" s="321"/>
      <c r="AD76" s="321"/>
      <c r="AE76" s="321"/>
      <c r="AF76" s="321"/>
      <c r="AG76" s="321"/>
      <c r="AH76" s="321"/>
      <c r="AI76" s="321"/>
      <c r="AJ76" s="365"/>
      <c r="AK76" s="419"/>
      <c r="AL76" s="15" t="s">
        <v>284</v>
      </c>
      <c r="AM76" s="26">
        <v>41435</v>
      </c>
      <c r="AN76" s="26">
        <v>41628</v>
      </c>
      <c r="AO76" s="310"/>
      <c r="AP76" s="310"/>
      <c r="AQ76" s="310"/>
      <c r="AR76" s="310"/>
      <c r="AS76" s="319"/>
      <c r="AT76" s="310"/>
      <c r="AU76" s="310"/>
      <c r="AV76" s="310"/>
      <c r="AW76" s="310"/>
      <c r="AX76" s="137"/>
      <c r="AY76" s="137"/>
      <c r="AZ76" s="137"/>
      <c r="BA76" s="137"/>
      <c r="BB76" s="137"/>
      <c r="BC76" s="137"/>
      <c r="BD76" s="137"/>
      <c r="BE76" s="137"/>
      <c r="BF76" s="137"/>
      <c r="BG76" s="137"/>
      <c r="BH76" s="137"/>
      <c r="BI76" s="137"/>
      <c r="BJ76" s="137"/>
      <c r="BK76" s="137"/>
      <c r="BL76" s="137"/>
      <c r="BM76" s="406"/>
      <c r="BN76" s="406"/>
      <c r="BO76" s="361"/>
      <c r="BP76" s="361"/>
      <c r="BQ76" s="361"/>
      <c r="BR76" s="361"/>
      <c r="BS76" s="361"/>
      <c r="BT76" s="406"/>
      <c r="BU76" s="514"/>
      <c r="BV76" s="361"/>
      <c r="BW76" s="341"/>
      <c r="BX76" s="341"/>
      <c r="BY76" s="341"/>
      <c r="BZ76" s="341"/>
      <c r="CA76" s="310"/>
      <c r="CB76" s="310"/>
      <c r="CC76" s="310"/>
      <c r="CD76" s="310"/>
      <c r="CE76" s="310"/>
      <c r="CF76" s="310"/>
      <c r="CG76" s="310"/>
      <c r="CH76" s="310"/>
      <c r="CI76" s="310"/>
      <c r="CJ76" s="341"/>
      <c r="CK76" s="341"/>
      <c r="CL76" s="341"/>
      <c r="CM76" s="341"/>
      <c r="CN76" s="341"/>
      <c r="CO76" s="341"/>
      <c r="CP76" s="310"/>
      <c r="CQ76" s="310"/>
      <c r="CR76" s="341"/>
      <c r="CS76" s="341"/>
      <c r="CT76" s="341"/>
      <c r="CU76" s="341"/>
      <c r="CV76" s="310"/>
      <c r="CW76" s="310"/>
      <c r="CX76" s="341"/>
      <c r="CY76" s="341"/>
      <c r="CZ76" s="341"/>
      <c r="DA76" s="310"/>
      <c r="DB76" s="310"/>
      <c r="DC76" s="341"/>
      <c r="DD76" s="310"/>
      <c r="DE76" s="346"/>
    </row>
    <row r="77" spans="1:109" s="4" customFormat="1" ht="36">
      <c r="A77" s="582"/>
      <c r="B77" s="608"/>
      <c r="C77" s="590"/>
      <c r="D77" s="574"/>
      <c r="E77" s="310"/>
      <c r="F77" s="310"/>
      <c r="G77" s="310"/>
      <c r="H77" s="321"/>
      <c r="I77" s="321"/>
      <c r="J77" s="321"/>
      <c r="K77" s="321"/>
      <c r="L77" s="339"/>
      <c r="M77" s="339"/>
      <c r="N77" s="339"/>
      <c r="O77" s="339"/>
      <c r="P77" s="321"/>
      <c r="Q77" s="321"/>
      <c r="R77" s="321"/>
      <c r="S77" s="321"/>
      <c r="T77" s="321"/>
      <c r="U77" s="321"/>
      <c r="V77" s="321"/>
      <c r="W77" s="321"/>
      <c r="X77" s="321"/>
      <c r="Y77" s="321"/>
      <c r="Z77" s="321"/>
      <c r="AA77" s="321"/>
      <c r="AB77" s="321"/>
      <c r="AC77" s="321"/>
      <c r="AD77" s="321"/>
      <c r="AE77" s="321"/>
      <c r="AF77" s="321"/>
      <c r="AG77" s="321"/>
      <c r="AH77" s="321"/>
      <c r="AI77" s="321"/>
      <c r="AJ77" s="366"/>
      <c r="AK77" s="420"/>
      <c r="AL77" s="15" t="s">
        <v>255</v>
      </c>
      <c r="AM77" s="26">
        <v>41519</v>
      </c>
      <c r="AN77" s="26">
        <v>41628</v>
      </c>
      <c r="AO77" s="310"/>
      <c r="AP77" s="310"/>
      <c r="AQ77" s="310"/>
      <c r="AR77" s="310"/>
      <c r="AS77" s="319"/>
      <c r="AT77" s="310"/>
      <c r="AU77" s="310"/>
      <c r="AV77" s="310"/>
      <c r="AW77" s="310"/>
      <c r="AX77" s="131"/>
      <c r="AY77" s="131"/>
      <c r="AZ77" s="131"/>
      <c r="BA77" s="131"/>
      <c r="BB77" s="131"/>
      <c r="BC77" s="131"/>
      <c r="BD77" s="131"/>
      <c r="BE77" s="131"/>
      <c r="BF77" s="131"/>
      <c r="BG77" s="131"/>
      <c r="BH77" s="131"/>
      <c r="BI77" s="131"/>
      <c r="BJ77" s="131"/>
      <c r="BK77" s="131"/>
      <c r="BL77" s="131"/>
      <c r="BM77" s="135"/>
      <c r="BN77" s="135"/>
      <c r="BO77" s="117"/>
      <c r="BP77" s="117"/>
      <c r="BQ77" s="117"/>
      <c r="BR77" s="117"/>
      <c r="BS77" s="117"/>
      <c r="BT77" s="135"/>
      <c r="BU77" s="29"/>
      <c r="BV77" s="118"/>
      <c r="BW77" s="29"/>
      <c r="BX77" s="29"/>
      <c r="BY77" s="29"/>
      <c r="BZ77" s="29"/>
      <c r="CA77" s="26"/>
      <c r="CB77" s="26"/>
      <c r="CC77" s="26"/>
      <c r="CD77" s="26"/>
      <c r="CE77" s="26"/>
      <c r="CF77" s="26"/>
      <c r="CG77" s="26"/>
      <c r="CH77" s="26"/>
      <c r="CI77" s="26"/>
      <c r="CJ77" s="29"/>
      <c r="CK77" s="29"/>
      <c r="CL77" s="29"/>
      <c r="CM77" s="29"/>
      <c r="CN77" s="29"/>
      <c r="CO77" s="29"/>
      <c r="CP77" s="26"/>
      <c r="CQ77" s="26"/>
      <c r="CR77" s="29"/>
      <c r="CS77" s="29"/>
      <c r="CT77" s="29"/>
      <c r="CU77" s="29"/>
      <c r="CV77" s="26"/>
      <c r="CW77" s="26"/>
      <c r="CX77" s="29"/>
      <c r="CY77" s="29"/>
      <c r="CZ77" s="29"/>
      <c r="DA77" s="26"/>
      <c r="DB77" s="26"/>
      <c r="DC77" s="29"/>
      <c r="DD77" s="26"/>
      <c r="DE77" s="96"/>
    </row>
    <row r="78" spans="1:109" s="4" customFormat="1" ht="24">
      <c r="A78" s="582"/>
      <c r="B78" s="609"/>
      <c r="C78" s="248" t="s">
        <v>412</v>
      </c>
      <c r="D78" s="246" t="s">
        <v>502</v>
      </c>
      <c r="E78" s="131"/>
      <c r="F78" s="131"/>
      <c r="G78" s="131"/>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26"/>
      <c r="AK78" s="80"/>
      <c r="AL78" s="15" t="s">
        <v>653</v>
      </c>
      <c r="AM78" s="26"/>
      <c r="AN78" s="26"/>
      <c r="AO78" s="131">
        <v>104207000</v>
      </c>
      <c r="AP78" s="137">
        <f>20400000+28188502</f>
        <v>48588502</v>
      </c>
      <c r="AQ78" s="137">
        <f>AO78-AP78</f>
        <v>55618498</v>
      </c>
      <c r="AR78" s="131">
        <v>104207000</v>
      </c>
      <c r="AS78" s="224">
        <f>10200000+10200000+18000000+284667</f>
        <v>38684667</v>
      </c>
      <c r="AT78" s="137">
        <f>AR78-AS78</f>
        <v>65522333</v>
      </c>
      <c r="AU78" s="131">
        <v>104207000</v>
      </c>
      <c r="AV78" s="137">
        <f>20400000+28188502</f>
        <v>48588502</v>
      </c>
      <c r="AW78" s="137">
        <f>AU78-AV78</f>
        <v>55618498</v>
      </c>
      <c r="AX78" s="15"/>
      <c r="AY78" s="15"/>
      <c r="AZ78" s="15"/>
      <c r="BA78" s="15"/>
      <c r="BB78" s="15"/>
      <c r="BC78" s="15"/>
      <c r="BD78" s="15"/>
      <c r="BE78" s="15"/>
      <c r="BF78" s="15"/>
      <c r="BG78" s="15"/>
      <c r="BH78" s="15"/>
      <c r="BI78" s="15"/>
      <c r="BJ78" s="15"/>
      <c r="BK78" s="15"/>
      <c r="BL78" s="15"/>
      <c r="BM78" s="17"/>
      <c r="BN78" s="17"/>
      <c r="BO78" s="16"/>
      <c r="BP78" s="16"/>
      <c r="BQ78" s="16"/>
      <c r="BR78" s="17"/>
      <c r="BS78" s="14"/>
      <c r="BT78" s="18"/>
      <c r="BU78" s="26">
        <v>3272500000</v>
      </c>
      <c r="BV78" s="26"/>
      <c r="BW78" s="22"/>
      <c r="BX78" s="22"/>
      <c r="BY78" s="22"/>
      <c r="BZ78" s="22"/>
      <c r="CA78" s="15"/>
      <c r="CB78" s="15"/>
      <c r="CC78" s="15"/>
      <c r="CD78" s="15"/>
      <c r="CE78" s="15"/>
      <c r="CF78" s="15"/>
      <c r="CG78" s="15"/>
      <c r="CH78" s="26">
        <f>SUM(BW78:CG78)</f>
        <v>0</v>
      </c>
      <c r="CI78" s="26">
        <f>CH78+BV78</f>
        <v>0</v>
      </c>
      <c r="CJ78" s="176"/>
      <c r="CK78" s="22"/>
      <c r="CL78" s="22"/>
      <c r="CM78" s="22"/>
      <c r="CN78" s="22"/>
      <c r="CO78" s="22"/>
      <c r="CP78" s="26">
        <f>SUM(CK78:CO78)</f>
        <v>0</v>
      </c>
      <c r="CQ78" s="26">
        <f>CP78+CJ78</f>
        <v>0</v>
      </c>
      <c r="CR78" s="26"/>
      <c r="CS78" s="22"/>
      <c r="CT78" s="22"/>
      <c r="CU78" s="22"/>
      <c r="CV78" s="26">
        <f>SUM(CS78:CU78)</f>
        <v>0</v>
      </c>
      <c r="CW78" s="26">
        <f>CV78+CR78</f>
        <v>0</v>
      </c>
      <c r="CX78" s="26"/>
      <c r="CY78" s="22"/>
      <c r="CZ78" s="22"/>
      <c r="DA78" s="26">
        <f>SUM(CY78:CZ78)</f>
        <v>0</v>
      </c>
      <c r="DB78" s="26">
        <f>DA78+CX78</f>
        <v>0</v>
      </c>
      <c r="DC78" s="22"/>
      <c r="DD78" s="65">
        <f>DB78+CW78+CQ78+CI78+DC78</f>
        <v>0</v>
      </c>
      <c r="DE78" s="5"/>
    </row>
    <row r="79" spans="1:109" s="34" customFormat="1" ht="11.1" customHeight="1">
      <c r="A79" s="582"/>
      <c r="B79" s="473" t="s">
        <v>136</v>
      </c>
      <c r="C79" s="591"/>
      <c r="D79" s="474"/>
      <c r="E79" s="232">
        <f>SUM(E46:E78)</f>
        <v>4239821666</v>
      </c>
      <c r="F79" s="232">
        <f>SUM(F46:F78)</f>
        <v>4314098667</v>
      </c>
      <c r="G79" s="232">
        <f>SUM(G46:G78)</f>
        <v>4380719667</v>
      </c>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232"/>
      <c r="AK79" s="232"/>
      <c r="AL79" s="247"/>
      <c r="AM79" s="232"/>
      <c r="AN79" s="232"/>
      <c r="AO79" s="294">
        <f t="shared" ref="AO79:AW79" si="3">SUM(AO46:AO78)</f>
        <v>4344028666</v>
      </c>
      <c r="AP79" s="294">
        <f t="shared" si="3"/>
        <v>567888662</v>
      </c>
      <c r="AQ79" s="294">
        <f t="shared" si="3"/>
        <v>3776140004</v>
      </c>
      <c r="AR79" s="294">
        <f t="shared" si="3"/>
        <v>4344028666</v>
      </c>
      <c r="AS79" s="294">
        <f t="shared" si="3"/>
        <v>1587376470</v>
      </c>
      <c r="AT79" s="294">
        <f t="shared" si="3"/>
        <v>2756652196</v>
      </c>
      <c r="AU79" s="215">
        <f t="shared" si="3"/>
        <v>4344028666</v>
      </c>
      <c r="AV79" s="215">
        <f t="shared" si="3"/>
        <v>567888662</v>
      </c>
      <c r="AW79" s="215">
        <f t="shared" si="3"/>
        <v>3776140004</v>
      </c>
      <c r="AX79" s="247"/>
      <c r="AY79" s="247"/>
      <c r="AZ79" s="247"/>
      <c r="BA79" s="247"/>
      <c r="BB79" s="247"/>
      <c r="BC79" s="247"/>
      <c r="BD79" s="247"/>
      <c r="BE79" s="247"/>
      <c r="BF79" s="247"/>
      <c r="BG79" s="247"/>
      <c r="BH79" s="247"/>
      <c r="BI79" s="247"/>
      <c r="BJ79" s="247"/>
      <c r="BK79" s="247"/>
      <c r="BL79" s="247"/>
      <c r="BM79" s="234">
        <f t="shared" ref="BM79:BR79" si="4">SUM(BM46:BM78)</f>
        <v>46259602</v>
      </c>
      <c r="BN79" s="234">
        <f t="shared" si="4"/>
        <v>4239821667</v>
      </c>
      <c r="BO79" s="234">
        <f t="shared" si="4"/>
        <v>74848767</v>
      </c>
      <c r="BP79" s="234">
        <f t="shared" si="4"/>
        <v>4314098667</v>
      </c>
      <c r="BQ79" s="234">
        <f t="shared" si="4"/>
        <v>71061945</v>
      </c>
      <c r="BR79" s="234">
        <f t="shared" si="4"/>
        <v>4380719667</v>
      </c>
      <c r="BS79" s="30">
        <f>SUM(BS46:BS77)</f>
        <v>192170314</v>
      </c>
      <c r="BT79" s="30">
        <f>SUM(BT46:BT77)</f>
        <v>12934640001</v>
      </c>
      <c r="BU79" s="232">
        <f>SUM(BU46:BU77)</f>
        <v>13126810315</v>
      </c>
      <c r="BV79" s="232">
        <f t="shared" ref="BV79:CG79" si="5">SUM(BV46:BV78)</f>
        <v>6557947740</v>
      </c>
      <c r="BW79" s="27">
        <f t="shared" si="5"/>
        <v>0</v>
      </c>
      <c r="BX79" s="27">
        <f t="shared" si="5"/>
        <v>0</v>
      </c>
      <c r="BY79" s="27">
        <f t="shared" si="5"/>
        <v>0</v>
      </c>
      <c r="BZ79" s="27">
        <f t="shared" si="5"/>
        <v>0</v>
      </c>
      <c r="CA79" s="27">
        <f t="shared" si="5"/>
        <v>0</v>
      </c>
      <c r="CB79" s="27">
        <f t="shared" si="5"/>
        <v>0</v>
      </c>
      <c r="CC79" s="27">
        <f t="shared" si="5"/>
        <v>0</v>
      </c>
      <c r="CD79" s="27">
        <f t="shared" si="5"/>
        <v>0</v>
      </c>
      <c r="CE79" s="27">
        <f t="shared" si="5"/>
        <v>0</v>
      </c>
      <c r="CF79" s="27">
        <f t="shared" si="5"/>
        <v>0</v>
      </c>
      <c r="CG79" s="27">
        <f t="shared" si="5"/>
        <v>0</v>
      </c>
      <c r="CH79" s="232">
        <f>SUM(BW79:CG79)</f>
        <v>0</v>
      </c>
      <c r="CI79" s="232">
        <f t="shared" ref="CI79:DD79" si="6">SUM(CI46:CI78)</f>
        <v>6557947740</v>
      </c>
      <c r="CJ79" s="180">
        <f t="shared" si="6"/>
        <v>5282000000</v>
      </c>
      <c r="CK79" s="180">
        <f t="shared" si="6"/>
        <v>0</v>
      </c>
      <c r="CL79" s="180">
        <f t="shared" si="6"/>
        <v>0</v>
      </c>
      <c r="CM79" s="180">
        <f t="shared" si="6"/>
        <v>0</v>
      </c>
      <c r="CN79" s="180">
        <f t="shared" si="6"/>
        <v>0</v>
      </c>
      <c r="CO79" s="180">
        <f t="shared" si="6"/>
        <v>0</v>
      </c>
      <c r="CP79" s="180">
        <f t="shared" si="6"/>
        <v>0</v>
      </c>
      <c r="CQ79" s="180">
        <f t="shared" si="6"/>
        <v>5282000000</v>
      </c>
      <c r="CR79" s="180">
        <f t="shared" si="6"/>
        <v>1229000000</v>
      </c>
      <c r="CS79" s="180">
        <f t="shared" si="6"/>
        <v>0</v>
      </c>
      <c r="CT79" s="180">
        <f t="shared" si="6"/>
        <v>0</v>
      </c>
      <c r="CU79" s="180">
        <f t="shared" si="6"/>
        <v>0</v>
      </c>
      <c r="CV79" s="180">
        <f t="shared" si="6"/>
        <v>0</v>
      </c>
      <c r="CW79" s="180">
        <f>SUM(CW46:CW78)</f>
        <v>1229000000</v>
      </c>
      <c r="CX79" s="180">
        <f t="shared" si="6"/>
        <v>1806000000</v>
      </c>
      <c r="CY79" s="180">
        <f t="shared" si="6"/>
        <v>393000000</v>
      </c>
      <c r="CZ79" s="180">
        <f t="shared" si="6"/>
        <v>539000000</v>
      </c>
      <c r="DA79" s="180">
        <f t="shared" si="6"/>
        <v>932000000</v>
      </c>
      <c r="DB79" s="180">
        <f t="shared" si="6"/>
        <v>2738000000</v>
      </c>
      <c r="DC79" s="180">
        <f t="shared" si="6"/>
        <v>0</v>
      </c>
      <c r="DD79" s="180">
        <f t="shared" si="6"/>
        <v>15806947740</v>
      </c>
      <c r="DE79" s="32"/>
    </row>
    <row r="80" spans="1:109" s="4" customFormat="1" ht="44.1" customHeight="1">
      <c r="A80" s="582"/>
      <c r="B80" s="613" t="s">
        <v>386</v>
      </c>
      <c r="C80" s="588" t="s">
        <v>220</v>
      </c>
      <c r="D80" s="573" t="s">
        <v>221</v>
      </c>
      <c r="E80" s="418">
        <v>1</v>
      </c>
      <c r="F80" s="418">
        <v>2</v>
      </c>
      <c r="G80" s="418">
        <v>3</v>
      </c>
      <c r="H80" s="80"/>
      <c r="I80" s="80"/>
      <c r="J80" s="80"/>
      <c r="K80" s="80"/>
      <c r="L80" s="80"/>
      <c r="M80" s="80"/>
      <c r="N80" s="80"/>
      <c r="O80" s="80"/>
      <c r="P80" s="80"/>
      <c r="Q80" s="80"/>
      <c r="R80" s="80"/>
      <c r="S80" s="80"/>
      <c r="T80" s="80"/>
      <c r="U80" s="80"/>
      <c r="V80" s="80"/>
      <c r="W80" s="80"/>
      <c r="X80" s="80"/>
      <c r="Y80" s="80"/>
      <c r="Z80" s="80"/>
      <c r="AA80" s="80"/>
      <c r="AB80" s="80"/>
      <c r="AC80" s="80"/>
      <c r="AD80" s="80"/>
      <c r="AE80" s="80"/>
      <c r="AF80" s="80"/>
      <c r="AG80" s="80"/>
      <c r="AH80" s="80"/>
      <c r="AI80" s="80"/>
      <c r="AJ80" s="646" t="s">
        <v>37</v>
      </c>
      <c r="AK80" s="645" t="s">
        <v>103</v>
      </c>
      <c r="AL80" s="248" t="s">
        <v>164</v>
      </c>
      <c r="AM80" s="80">
        <v>41414</v>
      </c>
      <c r="AN80" s="80">
        <v>41628</v>
      </c>
      <c r="AO80" s="319">
        <f>156752660+28489500</f>
        <v>185242160</v>
      </c>
      <c r="AP80" s="319">
        <f>112533333+450000</f>
        <v>112983333</v>
      </c>
      <c r="AQ80" s="557">
        <f>AO80-AP80</f>
        <v>72258827</v>
      </c>
      <c r="AR80" s="319">
        <f>156752660+28489500</f>
        <v>185242160</v>
      </c>
      <c r="AS80" s="319">
        <f>112533333+450000+6139983+5417200</f>
        <v>124540516</v>
      </c>
      <c r="AT80" s="557">
        <f>AR80-AS80</f>
        <v>60701644</v>
      </c>
      <c r="AU80" s="319">
        <f>156752660+28489500</f>
        <v>185242160</v>
      </c>
      <c r="AV80" s="319">
        <f>112533333+450000</f>
        <v>112983333</v>
      </c>
      <c r="AW80" s="557">
        <f>AU80-AV80</f>
        <v>72258827</v>
      </c>
      <c r="AX80" s="249"/>
      <c r="AY80" s="80"/>
      <c r="AZ80" s="80"/>
      <c r="BA80" s="80"/>
      <c r="BB80" s="80"/>
      <c r="BC80" s="80"/>
      <c r="BD80" s="80"/>
      <c r="BE80" s="80"/>
      <c r="BF80" s="80"/>
      <c r="BG80" s="80"/>
      <c r="BH80" s="80"/>
      <c r="BI80" s="80"/>
      <c r="BJ80" s="80"/>
      <c r="BK80" s="80"/>
      <c r="BL80" s="80"/>
      <c r="BM80" s="80">
        <v>8233251</v>
      </c>
      <c r="BN80" s="80"/>
      <c r="BO80" s="77">
        <v>4864500</v>
      </c>
      <c r="BP80" s="26"/>
      <c r="BQ80" s="77">
        <v>1500000</v>
      </c>
      <c r="BR80" s="242"/>
      <c r="BS80" s="74">
        <f t="shared" ref="BS80:BS85" si="7">BO80+BQ80+BM80</f>
        <v>14597751</v>
      </c>
      <c r="BT80" s="418"/>
      <c r="BU80" s="310">
        <f>SUM(BS80:BS83)</f>
        <v>795364471</v>
      </c>
      <c r="BV80" s="310"/>
      <c r="BW80" s="310"/>
      <c r="BX80" s="310"/>
      <c r="BY80" s="310"/>
      <c r="BZ80" s="310"/>
      <c r="CA80" s="310"/>
      <c r="CB80" s="310"/>
      <c r="CC80" s="310"/>
      <c r="CD80" s="310"/>
      <c r="CE80" s="310"/>
      <c r="CF80" s="310"/>
      <c r="CG80" s="310"/>
      <c r="CH80" s="310">
        <f>SUM(BW80:CG83)</f>
        <v>0</v>
      </c>
      <c r="CI80" s="310">
        <f>CH80+BV80</f>
        <v>0</v>
      </c>
      <c r="CJ80" s="310">
        <v>143000000</v>
      </c>
      <c r="CK80" s="310"/>
      <c r="CL80" s="310"/>
      <c r="CM80" s="310"/>
      <c r="CN80" s="310"/>
      <c r="CO80" s="310"/>
      <c r="CP80" s="310">
        <f>SUM(CK80:CO83)</f>
        <v>0</v>
      </c>
      <c r="CQ80" s="310">
        <f>CP80+CJ80</f>
        <v>143000000</v>
      </c>
      <c r="CR80" s="310">
        <v>9000000</v>
      </c>
      <c r="CS80" s="310"/>
      <c r="CT80" s="310"/>
      <c r="CU80" s="310"/>
      <c r="CV80" s="310">
        <f>SUM(CS80:CU83)</f>
        <v>0</v>
      </c>
      <c r="CW80" s="310">
        <f>CV80+CR80</f>
        <v>9000000</v>
      </c>
      <c r="CX80" s="310">
        <v>10000000</v>
      </c>
      <c r="CY80" s="310"/>
      <c r="CZ80" s="310">
        <v>30000000</v>
      </c>
      <c r="DA80" s="310">
        <f>SUM(CY80:CZ83)</f>
        <v>30000000</v>
      </c>
      <c r="DB80" s="310">
        <f>DA80+CX80</f>
        <v>40000000</v>
      </c>
      <c r="DC80" s="310"/>
      <c r="DD80" s="310">
        <f>DB80+CW80+CQ80+CI80+DC80</f>
        <v>192000000</v>
      </c>
      <c r="DE80" s="346" t="s">
        <v>163</v>
      </c>
    </row>
    <row r="81" spans="1:109" s="4" customFormat="1" ht="48">
      <c r="A81" s="582"/>
      <c r="B81" s="614"/>
      <c r="C81" s="589"/>
      <c r="D81" s="584"/>
      <c r="E81" s="419"/>
      <c r="F81" s="419"/>
      <c r="G81" s="419"/>
      <c r="H81" s="80"/>
      <c r="I81" s="80"/>
      <c r="J81" s="80"/>
      <c r="K81" s="80"/>
      <c r="L81" s="80"/>
      <c r="M81" s="80"/>
      <c r="N81" s="80"/>
      <c r="O81" s="80"/>
      <c r="P81" s="80"/>
      <c r="Q81" s="80"/>
      <c r="R81" s="80"/>
      <c r="S81" s="80"/>
      <c r="T81" s="80"/>
      <c r="U81" s="80"/>
      <c r="V81" s="80"/>
      <c r="W81" s="80"/>
      <c r="X81" s="80"/>
      <c r="Y81" s="80"/>
      <c r="Z81" s="80"/>
      <c r="AA81" s="80"/>
      <c r="AB81" s="80"/>
      <c r="AC81" s="80"/>
      <c r="AD81" s="80"/>
      <c r="AE81" s="80"/>
      <c r="AF81" s="80"/>
      <c r="AG81" s="80"/>
      <c r="AH81" s="80"/>
      <c r="AI81" s="80"/>
      <c r="AJ81" s="646"/>
      <c r="AK81" s="645"/>
      <c r="AL81" s="248" t="s">
        <v>165</v>
      </c>
      <c r="AM81" s="80">
        <v>41414</v>
      </c>
      <c r="AN81" s="80">
        <v>41628</v>
      </c>
      <c r="AO81" s="319"/>
      <c r="AP81" s="319"/>
      <c r="AQ81" s="558"/>
      <c r="AR81" s="319"/>
      <c r="AS81" s="319"/>
      <c r="AT81" s="558"/>
      <c r="AU81" s="319"/>
      <c r="AV81" s="319"/>
      <c r="AW81" s="558"/>
      <c r="AX81" s="249"/>
      <c r="AY81" s="80"/>
      <c r="AZ81" s="80"/>
      <c r="BA81" s="80"/>
      <c r="BB81" s="80"/>
      <c r="BC81" s="80"/>
      <c r="BD81" s="80"/>
      <c r="BE81" s="80"/>
      <c r="BF81" s="80"/>
      <c r="BG81" s="80"/>
      <c r="BH81" s="80"/>
      <c r="BI81" s="80"/>
      <c r="BJ81" s="80"/>
      <c r="BK81" s="80"/>
      <c r="BL81" s="80"/>
      <c r="BM81" s="80">
        <v>21252672</v>
      </c>
      <c r="BN81" s="80"/>
      <c r="BO81" s="77">
        <v>76509619</v>
      </c>
      <c r="BP81" s="26"/>
      <c r="BQ81" s="77">
        <v>29753741</v>
      </c>
      <c r="BR81" s="26"/>
      <c r="BS81" s="74">
        <f t="shared" si="7"/>
        <v>127516032</v>
      </c>
      <c r="BT81" s="419"/>
      <c r="BU81" s="310"/>
      <c r="BV81" s="310"/>
      <c r="BW81" s="310"/>
      <c r="BX81" s="310"/>
      <c r="BY81" s="310"/>
      <c r="BZ81" s="310"/>
      <c r="CA81" s="310"/>
      <c r="CB81" s="310"/>
      <c r="CC81" s="310"/>
      <c r="CD81" s="310"/>
      <c r="CE81" s="310"/>
      <c r="CF81" s="310"/>
      <c r="CG81" s="310"/>
      <c r="CH81" s="310"/>
      <c r="CI81" s="310"/>
      <c r="CJ81" s="310"/>
      <c r="CK81" s="310"/>
      <c r="CL81" s="310"/>
      <c r="CM81" s="310"/>
      <c r="CN81" s="310"/>
      <c r="CO81" s="310"/>
      <c r="CP81" s="310"/>
      <c r="CQ81" s="310"/>
      <c r="CR81" s="310"/>
      <c r="CS81" s="310"/>
      <c r="CT81" s="310"/>
      <c r="CU81" s="310"/>
      <c r="CV81" s="310"/>
      <c r="CW81" s="310"/>
      <c r="CX81" s="310"/>
      <c r="CY81" s="310"/>
      <c r="CZ81" s="310"/>
      <c r="DA81" s="310"/>
      <c r="DB81" s="310"/>
      <c r="DC81" s="310"/>
      <c r="DD81" s="310"/>
      <c r="DE81" s="346"/>
    </row>
    <row r="82" spans="1:109" s="4" customFormat="1" ht="24">
      <c r="A82" s="582"/>
      <c r="B82" s="614"/>
      <c r="C82" s="589"/>
      <c r="D82" s="584"/>
      <c r="E82" s="419"/>
      <c r="F82" s="419"/>
      <c r="G82" s="419"/>
      <c r="H82" s="80"/>
      <c r="I82" s="80"/>
      <c r="J82" s="80"/>
      <c r="K82" s="80"/>
      <c r="L82" s="80"/>
      <c r="M82" s="80"/>
      <c r="N82" s="80"/>
      <c r="O82" s="80"/>
      <c r="P82" s="80"/>
      <c r="Q82" s="80"/>
      <c r="R82" s="80"/>
      <c r="S82" s="80"/>
      <c r="T82" s="80"/>
      <c r="U82" s="80"/>
      <c r="V82" s="80"/>
      <c r="W82" s="80"/>
      <c r="X82" s="80"/>
      <c r="Y82" s="80"/>
      <c r="Z82" s="80"/>
      <c r="AA82" s="80"/>
      <c r="AB82" s="80"/>
      <c r="AC82" s="80"/>
      <c r="AD82" s="80"/>
      <c r="AE82" s="80"/>
      <c r="AF82" s="80"/>
      <c r="AG82" s="80"/>
      <c r="AH82" s="80"/>
      <c r="AI82" s="80"/>
      <c r="AJ82" s="646"/>
      <c r="AK82" s="645"/>
      <c r="AL82" s="248" t="s">
        <v>38</v>
      </c>
      <c r="AM82" s="80">
        <v>41579</v>
      </c>
      <c r="AN82" s="80">
        <v>41628</v>
      </c>
      <c r="AO82" s="319"/>
      <c r="AP82" s="319"/>
      <c r="AQ82" s="558"/>
      <c r="AR82" s="319"/>
      <c r="AS82" s="319"/>
      <c r="AT82" s="558"/>
      <c r="AU82" s="319"/>
      <c r="AV82" s="319"/>
      <c r="AW82" s="558"/>
      <c r="AX82" s="249"/>
      <c r="AY82" s="80"/>
      <c r="AZ82" s="80"/>
      <c r="BA82" s="80"/>
      <c r="BB82" s="80"/>
      <c r="BC82" s="80"/>
      <c r="BD82" s="80"/>
      <c r="BE82" s="80"/>
      <c r="BF82" s="80"/>
      <c r="BG82" s="80"/>
      <c r="BH82" s="80"/>
      <c r="BI82" s="80"/>
      <c r="BJ82" s="80"/>
      <c r="BK82" s="80"/>
      <c r="BL82" s="80"/>
      <c r="BM82" s="76">
        <v>76753920</v>
      </c>
      <c r="BN82" s="140"/>
      <c r="BO82" s="229">
        <v>326204160</v>
      </c>
      <c r="BP82" s="79"/>
      <c r="BQ82" s="229">
        <v>232180608</v>
      </c>
      <c r="BR82" s="26"/>
      <c r="BS82" s="74">
        <f t="shared" si="7"/>
        <v>635138688</v>
      </c>
      <c r="BT82" s="419"/>
      <c r="BU82" s="310"/>
      <c r="BV82" s="310"/>
      <c r="BW82" s="310"/>
      <c r="BX82" s="310"/>
      <c r="BY82" s="310"/>
      <c r="BZ82" s="310"/>
      <c r="CA82" s="310"/>
      <c r="CB82" s="310"/>
      <c r="CC82" s="310"/>
      <c r="CD82" s="310"/>
      <c r="CE82" s="310"/>
      <c r="CF82" s="310"/>
      <c r="CG82" s="310"/>
      <c r="CH82" s="310"/>
      <c r="CI82" s="310"/>
      <c r="CJ82" s="310"/>
      <c r="CK82" s="310"/>
      <c r="CL82" s="310"/>
      <c r="CM82" s="310"/>
      <c r="CN82" s="310"/>
      <c r="CO82" s="310"/>
      <c r="CP82" s="310"/>
      <c r="CQ82" s="310"/>
      <c r="CR82" s="310"/>
      <c r="CS82" s="310"/>
      <c r="CT82" s="310"/>
      <c r="CU82" s="310"/>
      <c r="CV82" s="310"/>
      <c r="CW82" s="310"/>
      <c r="CX82" s="310"/>
      <c r="CY82" s="310"/>
      <c r="CZ82" s="310"/>
      <c r="DA82" s="310"/>
      <c r="DB82" s="310"/>
      <c r="DC82" s="310"/>
      <c r="DD82" s="310"/>
      <c r="DE82" s="346"/>
    </row>
    <row r="83" spans="1:109" s="4" customFormat="1" ht="24">
      <c r="A83" s="582"/>
      <c r="B83" s="614"/>
      <c r="C83" s="589"/>
      <c r="D83" s="574"/>
      <c r="E83" s="420"/>
      <c r="F83" s="420"/>
      <c r="G83" s="420"/>
      <c r="H83" s="80"/>
      <c r="I83" s="80"/>
      <c r="J83" s="80"/>
      <c r="K83" s="80"/>
      <c r="L83" s="80"/>
      <c r="M83" s="80"/>
      <c r="N83" s="80"/>
      <c r="O83" s="80"/>
      <c r="P83" s="80"/>
      <c r="Q83" s="80"/>
      <c r="R83" s="80"/>
      <c r="S83" s="80"/>
      <c r="T83" s="80"/>
      <c r="U83" s="80"/>
      <c r="V83" s="80"/>
      <c r="W83" s="80"/>
      <c r="X83" s="80"/>
      <c r="Y83" s="80"/>
      <c r="Z83" s="80"/>
      <c r="AA83" s="80"/>
      <c r="AB83" s="80"/>
      <c r="AC83" s="80"/>
      <c r="AD83" s="80"/>
      <c r="AE83" s="80"/>
      <c r="AF83" s="80"/>
      <c r="AG83" s="80"/>
      <c r="AH83" s="80"/>
      <c r="AI83" s="80"/>
      <c r="AJ83" s="646"/>
      <c r="AK83" s="645"/>
      <c r="AL83" s="248" t="s">
        <v>166</v>
      </c>
      <c r="AM83" s="80">
        <v>41699</v>
      </c>
      <c r="AN83" s="80">
        <v>41992</v>
      </c>
      <c r="AO83" s="319"/>
      <c r="AP83" s="319"/>
      <c r="AQ83" s="559"/>
      <c r="AR83" s="319"/>
      <c r="AS83" s="319"/>
      <c r="AT83" s="559"/>
      <c r="AU83" s="319"/>
      <c r="AV83" s="319"/>
      <c r="AW83" s="559"/>
      <c r="AX83" s="249"/>
      <c r="AY83" s="80"/>
      <c r="AZ83" s="80"/>
      <c r="BA83" s="80"/>
      <c r="BB83" s="80"/>
      <c r="BC83" s="80"/>
      <c r="BD83" s="80"/>
      <c r="BE83" s="80"/>
      <c r="BF83" s="80"/>
      <c r="BG83" s="80"/>
      <c r="BH83" s="80"/>
      <c r="BI83" s="80"/>
      <c r="BJ83" s="80"/>
      <c r="BK83" s="80"/>
      <c r="BL83" s="80"/>
      <c r="BM83" s="76">
        <v>4112000</v>
      </c>
      <c r="BN83" s="140"/>
      <c r="BO83" s="229">
        <v>6500000</v>
      </c>
      <c r="BP83" s="79"/>
      <c r="BQ83" s="229">
        <v>7500000</v>
      </c>
      <c r="BR83" s="26"/>
      <c r="BS83" s="74">
        <f t="shared" si="7"/>
        <v>18112000</v>
      </c>
      <c r="BT83" s="420"/>
      <c r="BU83" s="310"/>
      <c r="BV83" s="310"/>
      <c r="BW83" s="310"/>
      <c r="BX83" s="310"/>
      <c r="BY83" s="310"/>
      <c r="BZ83" s="310"/>
      <c r="CA83" s="310"/>
      <c r="CB83" s="310"/>
      <c r="CC83" s="310"/>
      <c r="CD83" s="310"/>
      <c r="CE83" s="310"/>
      <c r="CF83" s="310"/>
      <c r="CG83" s="310"/>
      <c r="CH83" s="310"/>
      <c r="CI83" s="310"/>
      <c r="CJ83" s="310"/>
      <c r="CK83" s="310"/>
      <c r="CL83" s="310"/>
      <c r="CM83" s="310"/>
      <c r="CN83" s="310"/>
      <c r="CO83" s="310"/>
      <c r="CP83" s="310"/>
      <c r="CQ83" s="310"/>
      <c r="CR83" s="310"/>
      <c r="CS83" s="310"/>
      <c r="CT83" s="310"/>
      <c r="CU83" s="310"/>
      <c r="CV83" s="310"/>
      <c r="CW83" s="310"/>
      <c r="CX83" s="310"/>
      <c r="CY83" s="310"/>
      <c r="CZ83" s="310"/>
      <c r="DA83" s="310"/>
      <c r="DB83" s="310"/>
      <c r="DC83" s="310"/>
      <c r="DD83" s="310"/>
      <c r="DE83" s="346"/>
    </row>
    <row r="84" spans="1:109" s="4" customFormat="1" ht="77.099999999999994" customHeight="1">
      <c r="A84" s="582"/>
      <c r="B84" s="614"/>
      <c r="C84" s="589"/>
      <c r="D84" s="573" t="s">
        <v>222</v>
      </c>
      <c r="E84" s="557">
        <v>0.31</v>
      </c>
      <c r="F84" s="557">
        <v>0.37</v>
      </c>
      <c r="G84" s="557">
        <v>0.32</v>
      </c>
      <c r="H84" s="319"/>
      <c r="I84" s="319"/>
      <c r="J84" s="319"/>
      <c r="K84" s="319"/>
      <c r="L84" s="319"/>
      <c r="M84" s="319"/>
      <c r="N84" s="319"/>
      <c r="O84" s="319"/>
      <c r="P84" s="319"/>
      <c r="Q84" s="319"/>
      <c r="R84" s="319"/>
      <c r="S84" s="319"/>
      <c r="T84" s="319"/>
      <c r="U84" s="319"/>
      <c r="V84" s="319"/>
      <c r="W84" s="319"/>
      <c r="X84" s="319"/>
      <c r="Y84" s="319"/>
      <c r="Z84" s="319"/>
      <c r="AA84" s="319"/>
      <c r="AB84" s="319"/>
      <c r="AC84" s="319"/>
      <c r="AD84" s="319"/>
      <c r="AE84" s="319"/>
      <c r="AF84" s="319"/>
      <c r="AG84" s="319"/>
      <c r="AH84" s="319"/>
      <c r="AI84" s="319"/>
      <c r="AJ84" s="557" t="s">
        <v>414</v>
      </c>
      <c r="AK84" s="223" t="s">
        <v>167</v>
      </c>
      <c r="AL84" s="248" t="s">
        <v>285</v>
      </c>
      <c r="AM84" s="80">
        <v>41414</v>
      </c>
      <c r="AN84" s="250">
        <v>41628</v>
      </c>
      <c r="AO84" s="319">
        <f>17000000+876600</f>
        <v>17876600</v>
      </c>
      <c r="AP84" s="319">
        <v>7800000</v>
      </c>
      <c r="AQ84" s="560">
        <f>AO84-AP84</f>
        <v>10076600</v>
      </c>
      <c r="AR84" s="319">
        <f>17000000+876600</f>
        <v>17876600</v>
      </c>
      <c r="AS84" s="319">
        <v>7800000</v>
      </c>
      <c r="AT84" s="560">
        <f>AR84-AS84</f>
        <v>10076600</v>
      </c>
      <c r="AU84" s="319">
        <f>17000000+876600</f>
        <v>17876600</v>
      </c>
      <c r="AV84" s="319">
        <v>7800000</v>
      </c>
      <c r="AW84" s="560">
        <f>AU84-AV84</f>
        <v>10076600</v>
      </c>
      <c r="AX84" s="249"/>
      <c r="AY84" s="80"/>
      <c r="AZ84" s="80"/>
      <c r="BA84" s="80"/>
      <c r="BB84" s="80"/>
      <c r="BC84" s="80"/>
      <c r="BD84" s="80"/>
      <c r="BE84" s="80"/>
      <c r="BF84" s="80"/>
      <c r="BG84" s="80"/>
      <c r="BH84" s="80"/>
      <c r="BI84" s="80"/>
      <c r="BJ84" s="80"/>
      <c r="BK84" s="80"/>
      <c r="BL84" s="80"/>
      <c r="BM84" s="76">
        <v>12000000</v>
      </c>
      <c r="BN84" s="140"/>
      <c r="BO84" s="76">
        <v>14000000</v>
      </c>
      <c r="BP84" s="71"/>
      <c r="BQ84" s="76">
        <v>16000000</v>
      </c>
      <c r="BR84" s="80"/>
      <c r="BS84" s="74">
        <f t="shared" si="7"/>
        <v>42000000</v>
      </c>
      <c r="BT84" s="418"/>
      <c r="BU84" s="310">
        <f>SUM(BS84:BS85)</f>
        <v>49500000</v>
      </c>
      <c r="BV84" s="310"/>
      <c r="BW84" s="310"/>
      <c r="BX84" s="310"/>
      <c r="BY84" s="310"/>
      <c r="BZ84" s="310"/>
      <c r="CA84" s="310"/>
      <c r="CB84" s="310"/>
      <c r="CC84" s="310"/>
      <c r="CD84" s="310"/>
      <c r="CE84" s="310"/>
      <c r="CF84" s="310"/>
      <c r="CG84" s="310"/>
      <c r="CH84" s="310">
        <f>SUM(BW84:CG85)</f>
        <v>0</v>
      </c>
      <c r="CI84" s="310">
        <f>CH84+BV84</f>
        <v>0</v>
      </c>
      <c r="CJ84" s="310"/>
      <c r="CK84" s="310"/>
      <c r="CL84" s="310"/>
      <c r="CM84" s="310"/>
      <c r="CN84" s="310"/>
      <c r="CO84" s="310"/>
      <c r="CP84" s="310">
        <f>SUM(CK84:CO85)</f>
        <v>0</v>
      </c>
      <c r="CQ84" s="310">
        <f>CP84+CJ84</f>
        <v>0</v>
      </c>
      <c r="CR84" s="310"/>
      <c r="CS84" s="310"/>
      <c r="CT84" s="310"/>
      <c r="CU84" s="310"/>
      <c r="CV84" s="310">
        <f>SUM(CS84:CU85)</f>
        <v>0</v>
      </c>
      <c r="CW84" s="310">
        <f>CV84+CR84</f>
        <v>0</v>
      </c>
      <c r="CX84" s="310"/>
      <c r="CY84" s="310"/>
      <c r="CZ84" s="310"/>
      <c r="DA84" s="310">
        <f>SUM(CY84:CZ85)</f>
        <v>0</v>
      </c>
      <c r="DB84" s="310">
        <f>DA84+CX84</f>
        <v>0</v>
      </c>
      <c r="DC84" s="310"/>
      <c r="DD84" s="310">
        <f>DB84+CW84+CQ84+CI84+DC84</f>
        <v>0</v>
      </c>
      <c r="DE84" s="310"/>
    </row>
    <row r="85" spans="1:109" s="4" customFormat="1" ht="72">
      <c r="A85" s="582"/>
      <c r="B85" s="614"/>
      <c r="C85" s="589"/>
      <c r="D85" s="584"/>
      <c r="E85" s="558"/>
      <c r="F85" s="558"/>
      <c r="G85" s="558"/>
      <c r="H85" s="319"/>
      <c r="I85" s="319"/>
      <c r="J85" s="319"/>
      <c r="K85" s="319"/>
      <c r="L85" s="319"/>
      <c r="M85" s="319"/>
      <c r="N85" s="319"/>
      <c r="O85" s="319"/>
      <c r="P85" s="319"/>
      <c r="Q85" s="319"/>
      <c r="R85" s="319"/>
      <c r="S85" s="319"/>
      <c r="T85" s="319"/>
      <c r="U85" s="319"/>
      <c r="V85" s="319"/>
      <c r="W85" s="319"/>
      <c r="X85" s="319"/>
      <c r="Y85" s="319"/>
      <c r="Z85" s="319"/>
      <c r="AA85" s="319"/>
      <c r="AB85" s="319"/>
      <c r="AC85" s="319"/>
      <c r="AD85" s="319"/>
      <c r="AE85" s="319"/>
      <c r="AF85" s="319"/>
      <c r="AG85" s="319"/>
      <c r="AH85" s="319"/>
      <c r="AI85" s="319"/>
      <c r="AJ85" s="558"/>
      <c r="AK85" s="418" t="s">
        <v>168</v>
      </c>
      <c r="AL85" s="248" t="s">
        <v>286</v>
      </c>
      <c r="AM85" s="80">
        <v>41414</v>
      </c>
      <c r="AN85" s="250">
        <v>41628</v>
      </c>
      <c r="AO85" s="319"/>
      <c r="AP85" s="319"/>
      <c r="AQ85" s="560"/>
      <c r="AR85" s="319"/>
      <c r="AS85" s="319"/>
      <c r="AT85" s="560"/>
      <c r="AU85" s="319"/>
      <c r="AV85" s="319"/>
      <c r="AW85" s="560"/>
      <c r="AX85" s="249"/>
      <c r="AY85" s="80"/>
      <c r="AZ85" s="80"/>
      <c r="BA85" s="80"/>
      <c r="BB85" s="80"/>
      <c r="BC85" s="80"/>
      <c r="BD85" s="80"/>
      <c r="BE85" s="80"/>
      <c r="BF85" s="80"/>
      <c r="BG85" s="80"/>
      <c r="BH85" s="80"/>
      <c r="BI85" s="80"/>
      <c r="BJ85" s="80"/>
      <c r="BK85" s="80"/>
      <c r="BL85" s="80"/>
      <c r="BM85" s="76">
        <v>2000000</v>
      </c>
      <c r="BN85" s="140"/>
      <c r="BO85" s="76">
        <v>2500000</v>
      </c>
      <c r="BP85" s="71"/>
      <c r="BQ85" s="76">
        <v>3000000</v>
      </c>
      <c r="BR85" s="80"/>
      <c r="BS85" s="74">
        <f t="shared" si="7"/>
        <v>7500000</v>
      </c>
      <c r="BT85" s="420"/>
      <c r="BU85" s="310"/>
      <c r="BV85" s="310"/>
      <c r="BW85" s="310"/>
      <c r="BX85" s="310"/>
      <c r="BY85" s="310"/>
      <c r="BZ85" s="310"/>
      <c r="CA85" s="310"/>
      <c r="CB85" s="310"/>
      <c r="CC85" s="310"/>
      <c r="CD85" s="310"/>
      <c r="CE85" s="310"/>
      <c r="CF85" s="310"/>
      <c r="CG85" s="310"/>
      <c r="CH85" s="310"/>
      <c r="CI85" s="310"/>
      <c r="CJ85" s="310"/>
      <c r="CK85" s="310"/>
      <c r="CL85" s="310"/>
      <c r="CM85" s="310"/>
      <c r="CN85" s="310"/>
      <c r="CO85" s="310"/>
      <c r="CP85" s="310"/>
      <c r="CQ85" s="310"/>
      <c r="CR85" s="310"/>
      <c r="CS85" s="310"/>
      <c r="CT85" s="310"/>
      <c r="CU85" s="310"/>
      <c r="CV85" s="310"/>
      <c r="CW85" s="310"/>
      <c r="CX85" s="310"/>
      <c r="CY85" s="310"/>
      <c r="CZ85" s="310"/>
      <c r="DA85" s="310"/>
      <c r="DB85" s="310"/>
      <c r="DC85" s="310"/>
      <c r="DD85" s="310"/>
      <c r="DE85" s="310"/>
    </row>
    <row r="86" spans="1:109" s="4" customFormat="1" ht="60">
      <c r="A86" s="582"/>
      <c r="B86" s="614"/>
      <c r="C86" s="589"/>
      <c r="D86" s="574"/>
      <c r="E86" s="559"/>
      <c r="F86" s="559"/>
      <c r="G86" s="559"/>
      <c r="H86" s="319"/>
      <c r="I86" s="319"/>
      <c r="J86" s="319"/>
      <c r="K86" s="319"/>
      <c r="L86" s="319"/>
      <c r="M86" s="319"/>
      <c r="N86" s="319"/>
      <c r="O86" s="319"/>
      <c r="P86" s="319"/>
      <c r="Q86" s="319"/>
      <c r="R86" s="319"/>
      <c r="S86" s="319"/>
      <c r="T86" s="319"/>
      <c r="U86" s="319"/>
      <c r="V86" s="319"/>
      <c r="W86" s="319"/>
      <c r="X86" s="319"/>
      <c r="Y86" s="319"/>
      <c r="Z86" s="319"/>
      <c r="AA86" s="319"/>
      <c r="AB86" s="319"/>
      <c r="AC86" s="319"/>
      <c r="AD86" s="319"/>
      <c r="AE86" s="319"/>
      <c r="AF86" s="319"/>
      <c r="AG86" s="319"/>
      <c r="AH86" s="319"/>
      <c r="AI86" s="319"/>
      <c r="AJ86" s="559"/>
      <c r="AK86" s="420"/>
      <c r="AL86" s="248" t="s">
        <v>287</v>
      </c>
      <c r="AM86" s="80">
        <v>41414</v>
      </c>
      <c r="AN86" s="250">
        <v>41628</v>
      </c>
      <c r="AO86" s="319"/>
      <c r="AP86" s="319"/>
      <c r="AQ86" s="560"/>
      <c r="AR86" s="319"/>
      <c r="AS86" s="319"/>
      <c r="AT86" s="560"/>
      <c r="AU86" s="319"/>
      <c r="AV86" s="319"/>
      <c r="AW86" s="560"/>
      <c r="AX86" s="251"/>
      <c r="AY86" s="248"/>
      <c r="AZ86" s="248"/>
      <c r="BA86" s="248"/>
      <c r="BB86" s="248"/>
      <c r="BC86" s="248"/>
      <c r="BD86" s="248"/>
      <c r="BE86" s="248"/>
      <c r="BF86" s="248"/>
      <c r="BG86" s="248"/>
      <c r="BH86" s="248"/>
      <c r="BI86" s="248"/>
      <c r="BJ86" s="248"/>
      <c r="BK86" s="248"/>
      <c r="BL86" s="248"/>
      <c r="BM86" s="76"/>
      <c r="BN86" s="140"/>
      <c r="BO86" s="76"/>
      <c r="BP86" s="71"/>
      <c r="BQ86" s="76"/>
      <c r="BR86" s="80"/>
      <c r="BS86" s="74"/>
      <c r="BT86" s="125"/>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row>
    <row r="87" spans="1:109" s="4" customFormat="1" ht="33" customHeight="1">
      <c r="A87" s="582"/>
      <c r="B87" s="614"/>
      <c r="C87" s="589"/>
      <c r="D87" s="573" t="s">
        <v>223</v>
      </c>
      <c r="E87" s="557">
        <v>0.6</v>
      </c>
      <c r="F87" s="557">
        <v>0.2</v>
      </c>
      <c r="G87" s="557">
        <v>0.2</v>
      </c>
      <c r="H87" s="319"/>
      <c r="I87" s="319"/>
      <c r="J87" s="319"/>
      <c r="K87" s="319"/>
      <c r="L87" s="319"/>
      <c r="M87" s="319"/>
      <c r="N87" s="319"/>
      <c r="O87" s="319"/>
      <c r="P87" s="319"/>
      <c r="Q87" s="319"/>
      <c r="R87" s="319"/>
      <c r="S87" s="319"/>
      <c r="T87" s="319"/>
      <c r="U87" s="319"/>
      <c r="V87" s="319"/>
      <c r="W87" s="319"/>
      <c r="X87" s="319"/>
      <c r="Y87" s="319"/>
      <c r="Z87" s="319"/>
      <c r="AA87" s="319"/>
      <c r="AB87" s="319"/>
      <c r="AC87" s="319"/>
      <c r="AD87" s="319"/>
      <c r="AE87" s="319"/>
      <c r="AF87" s="319"/>
      <c r="AG87" s="319"/>
      <c r="AH87" s="319"/>
      <c r="AI87" s="319"/>
      <c r="AJ87" s="557" t="s">
        <v>56</v>
      </c>
      <c r="AK87" s="655" t="s">
        <v>415</v>
      </c>
      <c r="AL87" s="248" t="s">
        <v>288</v>
      </c>
      <c r="AM87" s="80">
        <v>41414</v>
      </c>
      <c r="AN87" s="250">
        <v>41698</v>
      </c>
      <c r="AO87" s="319">
        <f>66064000+3392582</f>
        <v>69456582</v>
      </c>
      <c r="AP87" s="319">
        <f>16000000+3392582</f>
        <v>19392582</v>
      </c>
      <c r="AQ87" s="560">
        <f>AO87-AP87</f>
        <v>50064000</v>
      </c>
      <c r="AR87" s="319">
        <f>66064000+3392582</f>
        <v>69456582</v>
      </c>
      <c r="AS87" s="319">
        <f>16000000+3392582</f>
        <v>19392582</v>
      </c>
      <c r="AT87" s="560">
        <f>AR87-AS87</f>
        <v>50064000</v>
      </c>
      <c r="AU87" s="319">
        <f>66064000+3392582</f>
        <v>69456582</v>
      </c>
      <c r="AV87" s="319">
        <f>16000000+3392582</f>
        <v>19392582</v>
      </c>
      <c r="AW87" s="560">
        <f>AU87-AV87</f>
        <v>50064000</v>
      </c>
      <c r="AX87" s="251"/>
      <c r="AY87" s="248"/>
      <c r="AZ87" s="248"/>
      <c r="BA87" s="248"/>
      <c r="BB87" s="248"/>
      <c r="BC87" s="248"/>
      <c r="BD87" s="248"/>
      <c r="BE87" s="248"/>
      <c r="BF87" s="248"/>
      <c r="BG87" s="248"/>
      <c r="BH87" s="248"/>
      <c r="BI87" s="248"/>
      <c r="BJ87" s="248"/>
      <c r="BK87" s="248"/>
      <c r="BL87" s="248"/>
      <c r="BM87" s="76">
        <v>100000000</v>
      </c>
      <c r="BN87" s="140"/>
      <c r="BO87" s="76">
        <v>64000000</v>
      </c>
      <c r="BP87" s="71"/>
      <c r="BQ87" s="76">
        <v>40000000</v>
      </c>
      <c r="BR87" s="80"/>
      <c r="BS87" s="74">
        <f>BO87+BQ87+BM87</f>
        <v>204000000</v>
      </c>
      <c r="BT87" s="418"/>
      <c r="BU87" s="310">
        <f>SUM(BS87:BS89)</f>
        <v>265000000</v>
      </c>
      <c r="BV87" s="310"/>
      <c r="BW87" s="310"/>
      <c r="BX87" s="310"/>
      <c r="BY87" s="310"/>
      <c r="BZ87" s="310"/>
      <c r="CA87" s="310"/>
      <c r="CB87" s="310"/>
      <c r="CC87" s="310"/>
      <c r="CD87" s="310"/>
      <c r="CE87" s="310"/>
      <c r="CF87" s="310"/>
      <c r="CG87" s="310"/>
      <c r="CH87" s="310">
        <f>SUM(BW87:CG89)</f>
        <v>0</v>
      </c>
      <c r="CI87" s="310">
        <f>CH87+BV87</f>
        <v>0</v>
      </c>
      <c r="CJ87" s="310"/>
      <c r="CK87" s="310"/>
      <c r="CL87" s="310"/>
      <c r="CM87" s="310"/>
      <c r="CN87" s="310"/>
      <c r="CO87" s="310"/>
      <c r="CP87" s="310">
        <f>SUM(CK87:CO89)</f>
        <v>0</v>
      </c>
      <c r="CQ87" s="310">
        <f>CP87+CJ87</f>
        <v>0</v>
      </c>
      <c r="CR87" s="310"/>
      <c r="CS87" s="310"/>
      <c r="CT87" s="310"/>
      <c r="CU87" s="310"/>
      <c r="CV87" s="310">
        <f>SUM(CS87:CU89)</f>
        <v>0</v>
      </c>
      <c r="CW87" s="310">
        <f>CV87+CR87</f>
        <v>0</v>
      </c>
      <c r="CX87" s="310"/>
      <c r="CY87" s="310"/>
      <c r="CZ87" s="310"/>
      <c r="DA87" s="310">
        <f>SUM(CY87:CZ89)</f>
        <v>0</v>
      </c>
      <c r="DB87" s="310">
        <f>DA87+CX87</f>
        <v>0</v>
      </c>
      <c r="DC87" s="310"/>
      <c r="DD87" s="310">
        <f>DB87+CW87+CQ87+CI87+DC87</f>
        <v>0</v>
      </c>
      <c r="DE87" s="310"/>
    </row>
    <row r="88" spans="1:109" s="4" customFormat="1" ht="60">
      <c r="A88" s="582"/>
      <c r="B88" s="614"/>
      <c r="C88" s="589"/>
      <c r="D88" s="584"/>
      <c r="E88" s="558"/>
      <c r="F88" s="558"/>
      <c r="G88" s="558"/>
      <c r="H88" s="319"/>
      <c r="I88" s="319"/>
      <c r="J88" s="319"/>
      <c r="K88" s="319"/>
      <c r="L88" s="319"/>
      <c r="M88" s="319"/>
      <c r="N88" s="319"/>
      <c r="O88" s="319"/>
      <c r="P88" s="319"/>
      <c r="Q88" s="319"/>
      <c r="R88" s="319"/>
      <c r="S88" s="319"/>
      <c r="T88" s="319"/>
      <c r="U88" s="319"/>
      <c r="V88" s="319"/>
      <c r="W88" s="319"/>
      <c r="X88" s="319"/>
      <c r="Y88" s="319"/>
      <c r="Z88" s="319"/>
      <c r="AA88" s="319"/>
      <c r="AB88" s="319"/>
      <c r="AC88" s="319"/>
      <c r="AD88" s="319"/>
      <c r="AE88" s="319"/>
      <c r="AF88" s="319"/>
      <c r="AG88" s="319"/>
      <c r="AH88" s="319"/>
      <c r="AI88" s="319"/>
      <c r="AJ88" s="558"/>
      <c r="AK88" s="656"/>
      <c r="AL88" s="248" t="s">
        <v>169</v>
      </c>
      <c r="AM88" s="80">
        <v>41487</v>
      </c>
      <c r="AN88" s="250">
        <v>41628</v>
      </c>
      <c r="AO88" s="319"/>
      <c r="AP88" s="319"/>
      <c r="AQ88" s="560"/>
      <c r="AR88" s="319"/>
      <c r="AS88" s="319"/>
      <c r="AT88" s="560"/>
      <c r="AU88" s="319"/>
      <c r="AV88" s="319"/>
      <c r="AW88" s="560"/>
      <c r="AX88" s="249"/>
      <c r="AY88" s="80"/>
      <c r="AZ88" s="80"/>
      <c r="BA88" s="80"/>
      <c r="BB88" s="80"/>
      <c r="BC88" s="80"/>
      <c r="BD88" s="80"/>
      <c r="BE88" s="80"/>
      <c r="BF88" s="80"/>
      <c r="BG88" s="80"/>
      <c r="BH88" s="80"/>
      <c r="BI88" s="80"/>
      <c r="BJ88" s="80"/>
      <c r="BK88" s="80"/>
      <c r="BL88" s="80"/>
      <c r="BM88" s="76">
        <v>30000000</v>
      </c>
      <c r="BN88" s="407"/>
      <c r="BO88" s="76">
        <v>3000000</v>
      </c>
      <c r="BP88" s="407"/>
      <c r="BQ88" s="76">
        <v>3000000</v>
      </c>
      <c r="BR88" s="407"/>
      <c r="BS88" s="74">
        <f>BO88+BQ88+BM88</f>
        <v>36000000</v>
      </c>
      <c r="BT88" s="419"/>
      <c r="BU88" s="310"/>
      <c r="BV88" s="310"/>
      <c r="BW88" s="310"/>
      <c r="BX88" s="310"/>
      <c r="BY88" s="310"/>
      <c r="BZ88" s="310"/>
      <c r="CA88" s="310"/>
      <c r="CB88" s="310"/>
      <c r="CC88" s="310"/>
      <c r="CD88" s="310"/>
      <c r="CE88" s="310"/>
      <c r="CF88" s="310"/>
      <c r="CG88" s="310"/>
      <c r="CH88" s="310"/>
      <c r="CI88" s="310"/>
      <c r="CJ88" s="310"/>
      <c r="CK88" s="310"/>
      <c r="CL88" s="310"/>
      <c r="CM88" s="310"/>
      <c r="CN88" s="310"/>
      <c r="CO88" s="310"/>
      <c r="CP88" s="310"/>
      <c r="CQ88" s="310"/>
      <c r="CR88" s="310"/>
      <c r="CS88" s="310"/>
      <c r="CT88" s="310"/>
      <c r="CU88" s="310"/>
      <c r="CV88" s="310"/>
      <c r="CW88" s="310"/>
      <c r="CX88" s="310"/>
      <c r="CY88" s="310"/>
      <c r="CZ88" s="310"/>
      <c r="DA88" s="310"/>
      <c r="DB88" s="310"/>
      <c r="DC88" s="310"/>
      <c r="DD88" s="310"/>
      <c r="DE88" s="310"/>
    </row>
    <row r="89" spans="1:109" s="4" customFormat="1" ht="96">
      <c r="A89" s="582"/>
      <c r="B89" s="614"/>
      <c r="C89" s="589"/>
      <c r="D89" s="574"/>
      <c r="E89" s="559"/>
      <c r="F89" s="559"/>
      <c r="G89" s="559"/>
      <c r="H89" s="319"/>
      <c r="I89" s="319"/>
      <c r="J89" s="319"/>
      <c r="K89" s="319"/>
      <c r="L89" s="319"/>
      <c r="M89" s="319"/>
      <c r="N89" s="319"/>
      <c r="O89" s="319"/>
      <c r="P89" s="319"/>
      <c r="Q89" s="319"/>
      <c r="R89" s="319"/>
      <c r="S89" s="319"/>
      <c r="T89" s="319"/>
      <c r="U89" s="319"/>
      <c r="V89" s="319"/>
      <c r="W89" s="319"/>
      <c r="X89" s="319"/>
      <c r="Y89" s="319"/>
      <c r="Z89" s="319"/>
      <c r="AA89" s="319"/>
      <c r="AB89" s="319"/>
      <c r="AC89" s="319"/>
      <c r="AD89" s="319"/>
      <c r="AE89" s="319"/>
      <c r="AF89" s="319"/>
      <c r="AG89" s="319"/>
      <c r="AH89" s="319"/>
      <c r="AI89" s="319"/>
      <c r="AJ89" s="559"/>
      <c r="AK89" s="250" t="s">
        <v>71</v>
      </c>
      <c r="AL89" s="248" t="s">
        <v>289</v>
      </c>
      <c r="AM89" s="80">
        <v>41414</v>
      </c>
      <c r="AN89" s="250">
        <v>41628</v>
      </c>
      <c r="AO89" s="319"/>
      <c r="AP89" s="319"/>
      <c r="AQ89" s="560"/>
      <c r="AR89" s="319"/>
      <c r="AS89" s="319"/>
      <c r="AT89" s="560"/>
      <c r="AU89" s="319"/>
      <c r="AV89" s="319"/>
      <c r="AW89" s="560"/>
      <c r="AX89" s="249"/>
      <c r="AY89" s="80"/>
      <c r="AZ89" s="80"/>
      <c r="BA89" s="80"/>
      <c r="BB89" s="80"/>
      <c r="BC89" s="80"/>
      <c r="BD89" s="80"/>
      <c r="BE89" s="80"/>
      <c r="BF89" s="80"/>
      <c r="BG89" s="80"/>
      <c r="BH89" s="80"/>
      <c r="BI89" s="80"/>
      <c r="BJ89" s="80"/>
      <c r="BK89" s="80"/>
      <c r="BL89" s="80"/>
      <c r="BM89" s="76">
        <v>15000000</v>
      </c>
      <c r="BN89" s="407"/>
      <c r="BO89" s="76">
        <v>5000000</v>
      </c>
      <c r="BP89" s="407"/>
      <c r="BQ89" s="76">
        <v>5000000</v>
      </c>
      <c r="BR89" s="407"/>
      <c r="BS89" s="74">
        <f>BO89+BQ89+BM89</f>
        <v>25000000</v>
      </c>
      <c r="BT89" s="420"/>
      <c r="BU89" s="310"/>
      <c r="BV89" s="310"/>
      <c r="BW89" s="310"/>
      <c r="BX89" s="310"/>
      <c r="BY89" s="310"/>
      <c r="BZ89" s="310"/>
      <c r="CA89" s="310"/>
      <c r="CB89" s="310"/>
      <c r="CC89" s="310"/>
      <c r="CD89" s="310"/>
      <c r="CE89" s="310"/>
      <c r="CF89" s="310"/>
      <c r="CG89" s="310"/>
      <c r="CH89" s="310"/>
      <c r="CI89" s="310"/>
      <c r="CJ89" s="310"/>
      <c r="CK89" s="310"/>
      <c r="CL89" s="310"/>
      <c r="CM89" s="310"/>
      <c r="CN89" s="310"/>
      <c r="CO89" s="310"/>
      <c r="CP89" s="310"/>
      <c r="CQ89" s="310"/>
      <c r="CR89" s="310"/>
      <c r="CS89" s="310"/>
      <c r="CT89" s="310"/>
      <c r="CU89" s="310"/>
      <c r="CV89" s="310"/>
      <c r="CW89" s="310"/>
      <c r="CX89" s="310"/>
      <c r="CY89" s="310"/>
      <c r="CZ89" s="310"/>
      <c r="DA89" s="310"/>
      <c r="DB89" s="310"/>
      <c r="DC89" s="310"/>
      <c r="DD89" s="310"/>
      <c r="DE89" s="310"/>
    </row>
    <row r="90" spans="1:109" s="4" customFormat="1" ht="54.75" customHeight="1">
      <c r="A90" s="582"/>
      <c r="B90" s="614"/>
      <c r="C90" s="589"/>
      <c r="D90" s="573" t="s">
        <v>224</v>
      </c>
      <c r="E90" s="557">
        <v>0.2</v>
      </c>
      <c r="F90" s="557">
        <v>0.4</v>
      </c>
      <c r="G90" s="557">
        <v>0.4</v>
      </c>
      <c r="H90" s="335"/>
      <c r="I90" s="335"/>
      <c r="J90" s="335"/>
      <c r="K90" s="335"/>
      <c r="L90" s="335"/>
      <c r="M90" s="335"/>
      <c r="N90" s="335"/>
      <c r="O90" s="335"/>
      <c r="P90" s="335"/>
      <c r="Q90" s="335"/>
      <c r="R90" s="335"/>
      <c r="S90" s="335"/>
      <c r="T90" s="335"/>
      <c r="U90" s="335"/>
      <c r="V90" s="335"/>
      <c r="W90" s="335"/>
      <c r="X90" s="335"/>
      <c r="Y90" s="335"/>
      <c r="Z90" s="335"/>
      <c r="AA90" s="335"/>
      <c r="AB90" s="335"/>
      <c r="AC90" s="335"/>
      <c r="AD90" s="335"/>
      <c r="AE90" s="335"/>
      <c r="AF90" s="335"/>
      <c r="AG90" s="335"/>
      <c r="AH90" s="335"/>
      <c r="AI90" s="335"/>
      <c r="AJ90" s="619" t="s">
        <v>171</v>
      </c>
      <c r="AK90" s="530" t="s">
        <v>416</v>
      </c>
      <c r="AL90" s="248" t="s">
        <v>290</v>
      </c>
      <c r="AM90" s="80">
        <v>41414</v>
      </c>
      <c r="AN90" s="250">
        <v>41628</v>
      </c>
      <c r="AO90" s="319">
        <f>37200000+1753200</f>
        <v>38953200</v>
      </c>
      <c r="AP90" s="319">
        <v>37200000</v>
      </c>
      <c r="AQ90" s="560">
        <f>AO90-AP90</f>
        <v>1753200</v>
      </c>
      <c r="AR90" s="319">
        <f>37200000+1753200</f>
        <v>38953200</v>
      </c>
      <c r="AS90" s="319">
        <v>37200000</v>
      </c>
      <c r="AT90" s="560">
        <f>AR90-AS90</f>
        <v>1753200</v>
      </c>
      <c r="AU90" s="319">
        <f>37200000+1753200</f>
        <v>38953200</v>
      </c>
      <c r="AV90" s="319">
        <v>37200000</v>
      </c>
      <c r="AW90" s="560">
        <f>AU90-AV90</f>
        <v>1753200</v>
      </c>
      <c r="AX90" s="252"/>
      <c r="AY90" s="223"/>
      <c r="AZ90" s="223"/>
      <c r="BA90" s="223"/>
      <c r="BB90" s="223"/>
      <c r="BC90" s="223"/>
      <c r="BD90" s="223"/>
      <c r="BE90" s="223"/>
      <c r="BF90" s="223"/>
      <c r="BG90" s="223"/>
      <c r="BH90" s="223"/>
      <c r="BI90" s="223"/>
      <c r="BJ90" s="223"/>
      <c r="BK90" s="223"/>
      <c r="BL90" s="223"/>
      <c r="BM90" s="421">
        <f>12084224+7084224</f>
        <v>19168448</v>
      </c>
      <c r="BN90" s="76"/>
      <c r="BO90" s="310">
        <v>13725909</v>
      </c>
      <c r="BP90" s="253"/>
      <c r="BQ90" s="310">
        <v>15821843</v>
      </c>
      <c r="BR90" s="253"/>
      <c r="BS90" s="405">
        <f>BO90+BQ90+BM90</f>
        <v>48716200</v>
      </c>
      <c r="BT90" s="357"/>
      <c r="BU90" s="335">
        <f>SUM(BS90:BS93)</f>
        <v>75716200</v>
      </c>
      <c r="BV90" s="335"/>
      <c r="BW90" s="335"/>
      <c r="BX90" s="335"/>
      <c r="BY90" s="335"/>
      <c r="BZ90" s="335"/>
      <c r="CA90" s="335"/>
      <c r="CB90" s="335"/>
      <c r="CC90" s="335"/>
      <c r="CD90" s="335"/>
      <c r="CE90" s="335"/>
      <c r="CF90" s="335"/>
      <c r="CG90" s="335"/>
      <c r="CH90" s="310">
        <f>SUM(BW90:CG93)</f>
        <v>0</v>
      </c>
      <c r="CI90" s="310">
        <f>CH90+BV90</f>
        <v>0</v>
      </c>
      <c r="CJ90" s="335"/>
      <c r="CK90" s="335"/>
      <c r="CL90" s="335"/>
      <c r="CM90" s="335"/>
      <c r="CN90" s="335"/>
      <c r="CO90" s="335"/>
      <c r="CP90" s="310">
        <f>SUM(CK90:CO93)</f>
        <v>0</v>
      </c>
      <c r="CQ90" s="310">
        <f>CP90+CJ90</f>
        <v>0</v>
      </c>
      <c r="CR90" s="335"/>
      <c r="CS90" s="335"/>
      <c r="CT90" s="335"/>
      <c r="CU90" s="335"/>
      <c r="CV90" s="310">
        <f>SUM(CS90:CU93)</f>
        <v>0</v>
      </c>
      <c r="CW90" s="310">
        <f>CV90+CR90</f>
        <v>0</v>
      </c>
      <c r="CX90" s="335"/>
      <c r="CY90" s="335"/>
      <c r="CZ90" s="335"/>
      <c r="DA90" s="310">
        <f>SUM(CY90:CZ93)</f>
        <v>0</v>
      </c>
      <c r="DB90" s="310">
        <f>DA90+CX90</f>
        <v>0</v>
      </c>
      <c r="DC90" s="335"/>
      <c r="DD90" s="310">
        <f>DB90+CW90+CQ90+CI90+DC90</f>
        <v>0</v>
      </c>
      <c r="DE90" s="310"/>
    </row>
    <row r="91" spans="1:109" s="4" customFormat="1" ht="36">
      <c r="A91" s="582"/>
      <c r="B91" s="614"/>
      <c r="C91" s="589"/>
      <c r="D91" s="584"/>
      <c r="E91" s="558"/>
      <c r="F91" s="558"/>
      <c r="G91" s="558"/>
      <c r="H91" s="335"/>
      <c r="I91" s="335"/>
      <c r="J91" s="335"/>
      <c r="K91" s="335"/>
      <c r="L91" s="335"/>
      <c r="M91" s="335"/>
      <c r="N91" s="335"/>
      <c r="O91" s="335"/>
      <c r="P91" s="335"/>
      <c r="Q91" s="335"/>
      <c r="R91" s="335"/>
      <c r="S91" s="335"/>
      <c r="T91" s="335"/>
      <c r="U91" s="335"/>
      <c r="V91" s="335"/>
      <c r="W91" s="335"/>
      <c r="X91" s="335"/>
      <c r="Y91" s="335"/>
      <c r="Z91" s="335"/>
      <c r="AA91" s="335"/>
      <c r="AB91" s="335"/>
      <c r="AC91" s="335"/>
      <c r="AD91" s="335"/>
      <c r="AE91" s="335"/>
      <c r="AF91" s="335"/>
      <c r="AG91" s="335"/>
      <c r="AH91" s="335"/>
      <c r="AI91" s="335"/>
      <c r="AJ91" s="620"/>
      <c r="AK91" s="532"/>
      <c r="AL91" s="248" t="s">
        <v>291</v>
      </c>
      <c r="AM91" s="80">
        <v>41414</v>
      </c>
      <c r="AN91" s="250" t="s">
        <v>517</v>
      </c>
      <c r="AO91" s="319"/>
      <c r="AP91" s="319"/>
      <c r="AQ91" s="560"/>
      <c r="AR91" s="319"/>
      <c r="AS91" s="319"/>
      <c r="AT91" s="560"/>
      <c r="AU91" s="319"/>
      <c r="AV91" s="319"/>
      <c r="AW91" s="560"/>
      <c r="AX91" s="254"/>
      <c r="AY91" s="224"/>
      <c r="AZ91" s="224"/>
      <c r="BA91" s="224"/>
      <c r="BB91" s="224"/>
      <c r="BC91" s="224"/>
      <c r="BD91" s="224"/>
      <c r="BE91" s="224"/>
      <c r="BF91" s="224"/>
      <c r="BG91" s="224"/>
      <c r="BH91" s="224"/>
      <c r="BI91" s="224"/>
      <c r="BJ91" s="224"/>
      <c r="BK91" s="224"/>
      <c r="BL91" s="224"/>
      <c r="BM91" s="422"/>
      <c r="BN91" s="255"/>
      <c r="BO91" s="310"/>
      <c r="BP91" s="253"/>
      <c r="BQ91" s="310"/>
      <c r="BR91" s="253"/>
      <c r="BS91" s="406"/>
      <c r="BT91" s="359"/>
      <c r="BU91" s="335"/>
      <c r="BV91" s="335"/>
      <c r="BW91" s="335"/>
      <c r="BX91" s="335"/>
      <c r="BY91" s="335"/>
      <c r="BZ91" s="335"/>
      <c r="CA91" s="335"/>
      <c r="CB91" s="335"/>
      <c r="CC91" s="335"/>
      <c r="CD91" s="335"/>
      <c r="CE91" s="335"/>
      <c r="CF91" s="335"/>
      <c r="CG91" s="335"/>
      <c r="CH91" s="310"/>
      <c r="CI91" s="310"/>
      <c r="CJ91" s="335"/>
      <c r="CK91" s="335"/>
      <c r="CL91" s="335"/>
      <c r="CM91" s="335"/>
      <c r="CN91" s="335"/>
      <c r="CO91" s="335"/>
      <c r="CP91" s="310"/>
      <c r="CQ91" s="310"/>
      <c r="CR91" s="335"/>
      <c r="CS91" s="335"/>
      <c r="CT91" s="335"/>
      <c r="CU91" s="335"/>
      <c r="CV91" s="310"/>
      <c r="CW91" s="310"/>
      <c r="CX91" s="335"/>
      <c r="CY91" s="335"/>
      <c r="CZ91" s="335"/>
      <c r="DA91" s="310"/>
      <c r="DB91" s="310"/>
      <c r="DC91" s="335"/>
      <c r="DD91" s="310"/>
      <c r="DE91" s="310"/>
    </row>
    <row r="92" spans="1:109" s="4" customFormat="1" ht="48">
      <c r="A92" s="582"/>
      <c r="B92" s="614"/>
      <c r="C92" s="589"/>
      <c r="D92" s="584"/>
      <c r="E92" s="558"/>
      <c r="F92" s="558"/>
      <c r="G92" s="558"/>
      <c r="H92" s="335"/>
      <c r="I92" s="335"/>
      <c r="J92" s="335"/>
      <c r="K92" s="335"/>
      <c r="L92" s="335"/>
      <c r="M92" s="335"/>
      <c r="N92" s="335"/>
      <c r="O92" s="335"/>
      <c r="P92" s="335"/>
      <c r="Q92" s="335"/>
      <c r="R92" s="335"/>
      <c r="S92" s="335"/>
      <c r="T92" s="335"/>
      <c r="U92" s="335"/>
      <c r="V92" s="335"/>
      <c r="W92" s="335"/>
      <c r="X92" s="335"/>
      <c r="Y92" s="335"/>
      <c r="Z92" s="335"/>
      <c r="AA92" s="335"/>
      <c r="AB92" s="335"/>
      <c r="AC92" s="335"/>
      <c r="AD92" s="335"/>
      <c r="AE92" s="335"/>
      <c r="AF92" s="335"/>
      <c r="AG92" s="335"/>
      <c r="AH92" s="335"/>
      <c r="AI92" s="335"/>
      <c r="AJ92" s="620"/>
      <c r="AK92" s="530" t="s">
        <v>170</v>
      </c>
      <c r="AL92" s="15" t="s">
        <v>292</v>
      </c>
      <c r="AM92" s="26">
        <v>41456</v>
      </c>
      <c r="AN92" s="256">
        <v>41628</v>
      </c>
      <c r="AO92" s="319"/>
      <c r="AP92" s="319"/>
      <c r="AQ92" s="560"/>
      <c r="AR92" s="319"/>
      <c r="AS92" s="319"/>
      <c r="AT92" s="560"/>
      <c r="AU92" s="319"/>
      <c r="AV92" s="319"/>
      <c r="AW92" s="560"/>
      <c r="AX92" s="257"/>
      <c r="AY92" s="65"/>
      <c r="AZ92" s="65"/>
      <c r="BA92" s="65"/>
      <c r="BB92" s="65"/>
      <c r="BC92" s="65"/>
      <c r="BD92" s="65"/>
      <c r="BE92" s="65"/>
      <c r="BF92" s="65"/>
      <c r="BG92" s="65"/>
      <c r="BH92" s="65"/>
      <c r="BI92" s="65"/>
      <c r="BJ92" s="65"/>
      <c r="BK92" s="65"/>
      <c r="BL92" s="65"/>
      <c r="BM92" s="421">
        <v>9000000</v>
      </c>
      <c r="BN92" s="255"/>
      <c r="BO92" s="423">
        <v>9000000</v>
      </c>
      <c r="BP92" s="253"/>
      <c r="BQ92" s="423">
        <v>9000000</v>
      </c>
      <c r="BR92" s="253"/>
      <c r="BS92" s="405">
        <f>BO92+BQ92+BM92</f>
        <v>27000000</v>
      </c>
      <c r="BT92" s="359"/>
      <c r="BU92" s="335"/>
      <c r="BV92" s="335"/>
      <c r="BW92" s="335"/>
      <c r="BX92" s="335"/>
      <c r="BY92" s="335"/>
      <c r="BZ92" s="335"/>
      <c r="CA92" s="335"/>
      <c r="CB92" s="335"/>
      <c r="CC92" s="335"/>
      <c r="CD92" s="335"/>
      <c r="CE92" s="335"/>
      <c r="CF92" s="335"/>
      <c r="CG92" s="335"/>
      <c r="CH92" s="310"/>
      <c r="CI92" s="310"/>
      <c r="CJ92" s="335"/>
      <c r="CK92" s="335"/>
      <c r="CL92" s="335"/>
      <c r="CM92" s="335"/>
      <c r="CN92" s="335"/>
      <c r="CO92" s="335"/>
      <c r="CP92" s="310"/>
      <c r="CQ92" s="310"/>
      <c r="CR92" s="335"/>
      <c r="CS92" s="335"/>
      <c r="CT92" s="335"/>
      <c r="CU92" s="335"/>
      <c r="CV92" s="310"/>
      <c r="CW92" s="310"/>
      <c r="CX92" s="335"/>
      <c r="CY92" s="335"/>
      <c r="CZ92" s="335"/>
      <c r="DA92" s="310"/>
      <c r="DB92" s="310"/>
      <c r="DC92" s="335"/>
      <c r="DD92" s="310"/>
      <c r="DE92" s="310"/>
    </row>
    <row r="93" spans="1:109" s="4" customFormat="1" ht="36">
      <c r="A93" s="582"/>
      <c r="B93" s="614"/>
      <c r="C93" s="589"/>
      <c r="D93" s="574"/>
      <c r="E93" s="559"/>
      <c r="F93" s="559"/>
      <c r="G93" s="559"/>
      <c r="H93" s="335"/>
      <c r="I93" s="335"/>
      <c r="J93" s="335"/>
      <c r="K93" s="335"/>
      <c r="L93" s="335"/>
      <c r="M93" s="335"/>
      <c r="N93" s="335"/>
      <c r="O93" s="335"/>
      <c r="P93" s="335"/>
      <c r="Q93" s="335"/>
      <c r="R93" s="335"/>
      <c r="S93" s="335"/>
      <c r="T93" s="335"/>
      <c r="U93" s="335"/>
      <c r="V93" s="335"/>
      <c r="W93" s="335"/>
      <c r="X93" s="335"/>
      <c r="Y93" s="335"/>
      <c r="Z93" s="335"/>
      <c r="AA93" s="335"/>
      <c r="AB93" s="335"/>
      <c r="AC93" s="335"/>
      <c r="AD93" s="335"/>
      <c r="AE93" s="335"/>
      <c r="AF93" s="335"/>
      <c r="AG93" s="335"/>
      <c r="AH93" s="335"/>
      <c r="AI93" s="335"/>
      <c r="AJ93" s="621"/>
      <c r="AK93" s="532"/>
      <c r="AL93" s="15" t="s">
        <v>293</v>
      </c>
      <c r="AM93" s="26">
        <v>41456</v>
      </c>
      <c r="AN93" s="256">
        <v>41628</v>
      </c>
      <c r="AO93" s="319"/>
      <c r="AP93" s="319"/>
      <c r="AQ93" s="560"/>
      <c r="AR93" s="319"/>
      <c r="AS93" s="319"/>
      <c r="AT93" s="560"/>
      <c r="AU93" s="319"/>
      <c r="AV93" s="319"/>
      <c r="AW93" s="560"/>
      <c r="AX93" s="258"/>
      <c r="AY93" s="137"/>
      <c r="AZ93" s="137"/>
      <c r="BA93" s="137"/>
      <c r="BB93" s="137"/>
      <c r="BC93" s="137"/>
      <c r="BD93" s="137"/>
      <c r="BE93" s="137"/>
      <c r="BF93" s="137"/>
      <c r="BG93" s="137"/>
      <c r="BH93" s="137"/>
      <c r="BI93" s="137"/>
      <c r="BJ93" s="137"/>
      <c r="BK93" s="137"/>
      <c r="BL93" s="137"/>
      <c r="BM93" s="422"/>
      <c r="BN93" s="255"/>
      <c r="BO93" s="424"/>
      <c r="BP93" s="253"/>
      <c r="BQ93" s="424"/>
      <c r="BR93" s="253"/>
      <c r="BS93" s="406"/>
      <c r="BT93" s="358"/>
      <c r="BU93" s="335"/>
      <c r="BV93" s="335"/>
      <c r="BW93" s="335"/>
      <c r="BX93" s="335"/>
      <c r="BY93" s="335"/>
      <c r="BZ93" s="335"/>
      <c r="CA93" s="335"/>
      <c r="CB93" s="335"/>
      <c r="CC93" s="335"/>
      <c r="CD93" s="335"/>
      <c r="CE93" s="335"/>
      <c r="CF93" s="335"/>
      <c r="CG93" s="335"/>
      <c r="CH93" s="310"/>
      <c r="CI93" s="310"/>
      <c r="CJ93" s="335"/>
      <c r="CK93" s="335"/>
      <c r="CL93" s="335"/>
      <c r="CM93" s="335"/>
      <c r="CN93" s="335"/>
      <c r="CO93" s="335"/>
      <c r="CP93" s="310"/>
      <c r="CQ93" s="310"/>
      <c r="CR93" s="335"/>
      <c r="CS93" s="335"/>
      <c r="CT93" s="335"/>
      <c r="CU93" s="335"/>
      <c r="CV93" s="310"/>
      <c r="CW93" s="310"/>
      <c r="CX93" s="335"/>
      <c r="CY93" s="335"/>
      <c r="CZ93" s="335"/>
      <c r="DA93" s="310"/>
      <c r="DB93" s="310"/>
      <c r="DC93" s="335"/>
      <c r="DD93" s="310"/>
      <c r="DE93" s="310"/>
    </row>
    <row r="94" spans="1:109" s="4" customFormat="1" ht="66" customHeight="1">
      <c r="A94" s="582"/>
      <c r="B94" s="614"/>
      <c r="C94" s="589"/>
      <c r="D94" s="573" t="s">
        <v>225</v>
      </c>
      <c r="E94" s="418">
        <v>3</v>
      </c>
      <c r="F94" s="418">
        <v>2</v>
      </c>
      <c r="G94" s="418"/>
      <c r="H94" s="335"/>
      <c r="I94" s="335"/>
      <c r="J94" s="335"/>
      <c r="K94" s="335"/>
      <c r="L94" s="335"/>
      <c r="M94" s="335"/>
      <c r="N94" s="335"/>
      <c r="O94" s="335"/>
      <c r="P94" s="335"/>
      <c r="Q94" s="335"/>
      <c r="R94" s="335"/>
      <c r="S94" s="335"/>
      <c r="T94" s="335"/>
      <c r="U94" s="335"/>
      <c r="V94" s="335"/>
      <c r="W94" s="335"/>
      <c r="X94" s="335"/>
      <c r="Y94" s="335"/>
      <c r="Z94" s="335"/>
      <c r="AA94" s="335"/>
      <c r="AB94" s="335"/>
      <c r="AC94" s="335"/>
      <c r="AD94" s="335"/>
      <c r="AE94" s="335"/>
      <c r="AF94" s="335"/>
      <c r="AG94" s="335"/>
      <c r="AH94" s="335"/>
      <c r="AI94" s="335"/>
      <c r="AJ94" s="619" t="s">
        <v>105</v>
      </c>
      <c r="AK94" s="259" t="s">
        <v>172</v>
      </c>
      <c r="AL94" s="248" t="s">
        <v>294</v>
      </c>
      <c r="AM94" s="80">
        <v>41414</v>
      </c>
      <c r="AN94" s="250">
        <v>41517</v>
      </c>
      <c r="AO94" s="319">
        <f>48128000+2743618</f>
        <v>50871618</v>
      </c>
      <c r="AP94" s="319">
        <v>48000000</v>
      </c>
      <c r="AQ94" s="560">
        <f>AO94-AP94</f>
        <v>2871618</v>
      </c>
      <c r="AR94" s="319">
        <f>48128000+2743618</f>
        <v>50871618</v>
      </c>
      <c r="AS94" s="319">
        <v>48000000</v>
      </c>
      <c r="AT94" s="560">
        <f>AR94-AS94</f>
        <v>2871618</v>
      </c>
      <c r="AU94" s="319">
        <f>48128000+2743618</f>
        <v>50871618</v>
      </c>
      <c r="AV94" s="319">
        <v>48000000</v>
      </c>
      <c r="AW94" s="560">
        <f>AU94-AV94</f>
        <v>2871618</v>
      </c>
      <c r="AX94" s="249"/>
      <c r="AY94" s="80"/>
      <c r="AZ94" s="80"/>
      <c r="BA94" s="80"/>
      <c r="BB94" s="80"/>
      <c r="BC94" s="80"/>
      <c r="BD94" s="80"/>
      <c r="BE94" s="80"/>
      <c r="BF94" s="80"/>
      <c r="BG94" s="80"/>
      <c r="BH94" s="80"/>
      <c r="BI94" s="80"/>
      <c r="BJ94" s="80"/>
      <c r="BK94" s="80"/>
      <c r="BL94" s="80"/>
      <c r="BM94" s="378">
        <v>34433536</v>
      </c>
      <c r="BN94" s="255"/>
      <c r="BO94" s="429">
        <v>41320243</v>
      </c>
      <c r="BP94" s="253"/>
      <c r="BQ94" s="516">
        <v>49584291.840000004</v>
      </c>
      <c r="BR94" s="253"/>
      <c r="BS94" s="405">
        <f>BO94+BQ94+BM94</f>
        <v>125338070.84</v>
      </c>
      <c r="BT94" s="357"/>
      <c r="BU94" s="357">
        <f>SUM(BS94:BS96)</f>
        <v>141338070.84</v>
      </c>
      <c r="BV94" s="357"/>
      <c r="BW94" s="357"/>
      <c r="BX94" s="357"/>
      <c r="BY94" s="357"/>
      <c r="BZ94" s="357"/>
      <c r="CA94" s="357"/>
      <c r="CB94" s="357"/>
      <c r="CC94" s="357"/>
      <c r="CD94" s="357"/>
      <c r="CE94" s="357"/>
      <c r="CF94" s="357"/>
      <c r="CG94" s="357"/>
      <c r="CH94" s="335">
        <f>SUM(BW94:CG95)</f>
        <v>0</v>
      </c>
      <c r="CI94" s="335">
        <f>CH94+BV94</f>
        <v>0</v>
      </c>
      <c r="CJ94" s="335"/>
      <c r="CK94" s="335"/>
      <c r="CL94" s="335"/>
      <c r="CM94" s="335"/>
      <c r="CN94" s="335"/>
      <c r="CO94" s="335"/>
      <c r="CP94" s="335">
        <f>SUM(CK94:CO95)</f>
        <v>0</v>
      </c>
      <c r="CQ94" s="335">
        <f>CP94+CJ94</f>
        <v>0</v>
      </c>
      <c r="CR94" s="335"/>
      <c r="CS94" s="335"/>
      <c r="CT94" s="335"/>
      <c r="CU94" s="335"/>
      <c r="CV94" s="357">
        <f>SUM(CS94:CU95)</f>
        <v>0</v>
      </c>
      <c r="CW94" s="357">
        <f>CV94+CR94</f>
        <v>0</v>
      </c>
      <c r="CX94" s="357"/>
      <c r="CY94" s="357"/>
      <c r="CZ94" s="357"/>
      <c r="DA94" s="357">
        <f>SUM(CY94:CZ95)</f>
        <v>0</v>
      </c>
      <c r="DB94" s="357">
        <f>DA94+CX94</f>
        <v>0</v>
      </c>
      <c r="DC94" s="357"/>
      <c r="DD94" s="357">
        <f>DB94+CW94+CQ94+CI94+DC94</f>
        <v>0</v>
      </c>
      <c r="DE94" s="357"/>
    </row>
    <row r="95" spans="1:109" s="4" customFormat="1" ht="96">
      <c r="A95" s="582"/>
      <c r="B95" s="614"/>
      <c r="C95" s="589"/>
      <c r="D95" s="584"/>
      <c r="E95" s="419"/>
      <c r="F95" s="419"/>
      <c r="G95" s="419"/>
      <c r="H95" s="335"/>
      <c r="I95" s="335"/>
      <c r="J95" s="335"/>
      <c r="K95" s="335"/>
      <c r="L95" s="335"/>
      <c r="M95" s="335"/>
      <c r="N95" s="335"/>
      <c r="O95" s="335"/>
      <c r="P95" s="335"/>
      <c r="Q95" s="335"/>
      <c r="R95" s="335"/>
      <c r="S95" s="335"/>
      <c r="T95" s="335"/>
      <c r="U95" s="335"/>
      <c r="V95" s="335"/>
      <c r="W95" s="335"/>
      <c r="X95" s="335"/>
      <c r="Y95" s="335"/>
      <c r="Z95" s="335"/>
      <c r="AA95" s="335"/>
      <c r="AB95" s="335"/>
      <c r="AC95" s="335"/>
      <c r="AD95" s="335"/>
      <c r="AE95" s="335"/>
      <c r="AF95" s="335"/>
      <c r="AG95" s="335"/>
      <c r="AH95" s="335"/>
      <c r="AI95" s="335"/>
      <c r="AJ95" s="620"/>
      <c r="AK95" s="259" t="s">
        <v>39</v>
      </c>
      <c r="AL95" s="248" t="s">
        <v>295</v>
      </c>
      <c r="AM95" s="80">
        <v>41456</v>
      </c>
      <c r="AN95" s="250">
        <v>41639</v>
      </c>
      <c r="AO95" s="319"/>
      <c r="AP95" s="319"/>
      <c r="AQ95" s="560"/>
      <c r="AR95" s="319"/>
      <c r="AS95" s="319"/>
      <c r="AT95" s="560"/>
      <c r="AU95" s="319"/>
      <c r="AV95" s="319"/>
      <c r="AW95" s="560"/>
      <c r="AX95" s="249"/>
      <c r="AY95" s="80"/>
      <c r="AZ95" s="80"/>
      <c r="BA95" s="80"/>
      <c r="BB95" s="80"/>
      <c r="BC95" s="80"/>
      <c r="BD95" s="80"/>
      <c r="BE95" s="80"/>
      <c r="BF95" s="80"/>
      <c r="BG95" s="80"/>
      <c r="BH95" s="80"/>
      <c r="BI95" s="80"/>
      <c r="BJ95" s="80"/>
      <c r="BK95" s="80"/>
      <c r="BL95" s="80"/>
      <c r="BM95" s="378"/>
      <c r="BN95" s="255"/>
      <c r="BO95" s="429"/>
      <c r="BP95" s="253"/>
      <c r="BQ95" s="516"/>
      <c r="BR95" s="253"/>
      <c r="BS95" s="406"/>
      <c r="BT95" s="359"/>
      <c r="BU95" s="359"/>
      <c r="BV95" s="359"/>
      <c r="BW95" s="359"/>
      <c r="BX95" s="359"/>
      <c r="BY95" s="359"/>
      <c r="BZ95" s="359"/>
      <c r="CA95" s="359"/>
      <c r="CB95" s="359"/>
      <c r="CC95" s="359"/>
      <c r="CD95" s="359"/>
      <c r="CE95" s="359"/>
      <c r="CF95" s="359"/>
      <c r="CG95" s="359"/>
      <c r="CH95" s="335"/>
      <c r="CI95" s="335"/>
      <c r="CJ95" s="335"/>
      <c r="CK95" s="335"/>
      <c r="CL95" s="335"/>
      <c r="CM95" s="335"/>
      <c r="CN95" s="335"/>
      <c r="CO95" s="335"/>
      <c r="CP95" s="335"/>
      <c r="CQ95" s="335"/>
      <c r="CR95" s="335"/>
      <c r="CS95" s="335"/>
      <c r="CT95" s="335"/>
      <c r="CU95" s="335"/>
      <c r="CV95" s="359"/>
      <c r="CW95" s="359"/>
      <c r="CX95" s="359"/>
      <c r="CY95" s="359"/>
      <c r="CZ95" s="359"/>
      <c r="DA95" s="359"/>
      <c r="DB95" s="359"/>
      <c r="DC95" s="359"/>
      <c r="DD95" s="359"/>
      <c r="DE95" s="359"/>
    </row>
    <row r="96" spans="1:109" s="4" customFormat="1" ht="48">
      <c r="A96" s="582"/>
      <c r="B96" s="614"/>
      <c r="C96" s="589"/>
      <c r="D96" s="584"/>
      <c r="E96" s="419"/>
      <c r="F96" s="419"/>
      <c r="G96" s="419"/>
      <c r="H96" s="335"/>
      <c r="I96" s="335"/>
      <c r="J96" s="335"/>
      <c r="K96" s="335"/>
      <c r="L96" s="335"/>
      <c r="M96" s="335"/>
      <c r="N96" s="335"/>
      <c r="O96" s="335"/>
      <c r="P96" s="335"/>
      <c r="Q96" s="335"/>
      <c r="R96" s="335"/>
      <c r="S96" s="335"/>
      <c r="T96" s="335"/>
      <c r="U96" s="335"/>
      <c r="V96" s="335"/>
      <c r="W96" s="335"/>
      <c r="X96" s="335"/>
      <c r="Y96" s="335"/>
      <c r="Z96" s="335"/>
      <c r="AA96" s="335"/>
      <c r="AB96" s="335"/>
      <c r="AC96" s="335"/>
      <c r="AD96" s="335"/>
      <c r="AE96" s="335"/>
      <c r="AF96" s="335"/>
      <c r="AG96" s="335"/>
      <c r="AH96" s="335"/>
      <c r="AI96" s="335"/>
      <c r="AJ96" s="620"/>
      <c r="AK96" s="530" t="s">
        <v>173</v>
      </c>
      <c r="AL96" s="248" t="s">
        <v>296</v>
      </c>
      <c r="AM96" s="80">
        <v>41548</v>
      </c>
      <c r="AN96" s="250">
        <v>41729</v>
      </c>
      <c r="AO96" s="319"/>
      <c r="AP96" s="319"/>
      <c r="AQ96" s="560"/>
      <c r="AR96" s="319"/>
      <c r="AS96" s="319"/>
      <c r="AT96" s="560"/>
      <c r="AU96" s="319"/>
      <c r="AV96" s="319"/>
      <c r="AW96" s="560"/>
      <c r="AX96" s="249"/>
      <c r="AY96" s="80"/>
      <c r="AZ96" s="80"/>
      <c r="BA96" s="80"/>
      <c r="BB96" s="80"/>
      <c r="BC96" s="80"/>
      <c r="BD96" s="80"/>
      <c r="BE96" s="80"/>
      <c r="BF96" s="80"/>
      <c r="BG96" s="80"/>
      <c r="BH96" s="80"/>
      <c r="BI96" s="80"/>
      <c r="BJ96" s="80"/>
      <c r="BK96" s="80"/>
      <c r="BL96" s="80"/>
      <c r="BM96" s="76">
        <v>16000000</v>
      </c>
      <c r="BN96" s="255"/>
      <c r="BO96" s="229">
        <v>0</v>
      </c>
      <c r="BP96" s="253"/>
      <c r="BQ96" s="229">
        <v>0</v>
      </c>
      <c r="BR96" s="253"/>
      <c r="BS96" s="71">
        <f>BO96+BQ96+BM96</f>
        <v>16000000</v>
      </c>
      <c r="BT96" s="358"/>
      <c r="BU96" s="358"/>
      <c r="BV96" s="358"/>
      <c r="BW96" s="358"/>
      <c r="BX96" s="358"/>
      <c r="BY96" s="358"/>
      <c r="BZ96" s="358"/>
      <c r="CA96" s="358"/>
      <c r="CB96" s="358"/>
      <c r="CC96" s="358"/>
      <c r="CD96" s="358"/>
      <c r="CE96" s="358"/>
      <c r="CF96" s="358"/>
      <c r="CG96" s="358"/>
      <c r="CH96" s="220"/>
      <c r="CI96" s="220"/>
      <c r="CJ96" s="179"/>
      <c r="CK96" s="179"/>
      <c r="CL96" s="179"/>
      <c r="CM96" s="179"/>
      <c r="CN96" s="179"/>
      <c r="CO96" s="179"/>
      <c r="CP96" s="179"/>
      <c r="CQ96" s="179"/>
      <c r="CR96" s="179"/>
      <c r="CS96" s="179"/>
      <c r="CT96" s="179"/>
      <c r="CU96" s="179"/>
      <c r="CV96" s="358"/>
      <c r="CW96" s="358"/>
      <c r="CX96" s="358"/>
      <c r="CY96" s="358"/>
      <c r="CZ96" s="358"/>
      <c r="DA96" s="358"/>
      <c r="DB96" s="358"/>
      <c r="DC96" s="358"/>
      <c r="DD96" s="358"/>
      <c r="DE96" s="358"/>
    </row>
    <row r="97" spans="1:109" s="4" customFormat="1" ht="36">
      <c r="A97" s="582"/>
      <c r="B97" s="614"/>
      <c r="C97" s="589"/>
      <c r="D97" s="584"/>
      <c r="E97" s="419"/>
      <c r="F97" s="419"/>
      <c r="G97" s="419"/>
      <c r="H97" s="335"/>
      <c r="I97" s="335"/>
      <c r="J97" s="335"/>
      <c r="K97" s="335"/>
      <c r="L97" s="335"/>
      <c r="M97" s="335"/>
      <c r="N97" s="335"/>
      <c r="O97" s="335"/>
      <c r="P97" s="335"/>
      <c r="Q97" s="335"/>
      <c r="R97" s="335"/>
      <c r="S97" s="335"/>
      <c r="T97" s="335"/>
      <c r="U97" s="335"/>
      <c r="V97" s="335"/>
      <c r="W97" s="335"/>
      <c r="X97" s="335"/>
      <c r="Y97" s="335"/>
      <c r="Z97" s="335"/>
      <c r="AA97" s="335"/>
      <c r="AB97" s="335"/>
      <c r="AC97" s="335"/>
      <c r="AD97" s="335"/>
      <c r="AE97" s="335"/>
      <c r="AF97" s="335"/>
      <c r="AG97" s="335"/>
      <c r="AH97" s="335"/>
      <c r="AI97" s="335"/>
      <c r="AJ97" s="620"/>
      <c r="AK97" s="531"/>
      <c r="AL97" s="248" t="s">
        <v>297</v>
      </c>
      <c r="AM97" s="80">
        <v>41640</v>
      </c>
      <c r="AN97" s="250">
        <v>41820</v>
      </c>
      <c r="AO97" s="319"/>
      <c r="AP97" s="319"/>
      <c r="AQ97" s="560"/>
      <c r="AR97" s="319"/>
      <c r="AS97" s="319"/>
      <c r="AT97" s="560"/>
      <c r="AU97" s="319"/>
      <c r="AV97" s="319"/>
      <c r="AW97" s="560"/>
      <c r="AX97" s="249"/>
      <c r="AY97" s="80"/>
      <c r="AZ97" s="80"/>
      <c r="BA97" s="80"/>
      <c r="BB97" s="80"/>
      <c r="BC97" s="80"/>
      <c r="BD97" s="80"/>
      <c r="BE97" s="80"/>
      <c r="BF97" s="80"/>
      <c r="BG97" s="80"/>
      <c r="BH97" s="80"/>
      <c r="BI97" s="80"/>
      <c r="BJ97" s="80"/>
      <c r="BK97" s="80"/>
      <c r="BL97" s="80"/>
      <c r="BM97" s="76"/>
      <c r="BN97" s="260"/>
      <c r="BO97" s="229"/>
      <c r="BP97" s="261"/>
      <c r="BQ97" s="229"/>
      <c r="BR97" s="261"/>
      <c r="BS97" s="122"/>
      <c r="BT97" s="221"/>
      <c r="BU97" s="222"/>
      <c r="BV97" s="222"/>
      <c r="BW97" s="222"/>
      <c r="BX97" s="222"/>
      <c r="BY97" s="222"/>
      <c r="BZ97" s="222"/>
      <c r="CA97" s="222"/>
      <c r="CB97" s="222"/>
      <c r="CC97" s="222"/>
      <c r="CD97" s="222"/>
      <c r="CE97" s="222"/>
      <c r="CF97" s="222"/>
      <c r="CG97" s="222"/>
      <c r="CH97" s="220"/>
      <c r="CI97" s="220"/>
      <c r="CJ97" s="179"/>
      <c r="CK97" s="179"/>
      <c r="CL97" s="179"/>
      <c r="CM97" s="179"/>
      <c r="CN97" s="179"/>
      <c r="CO97" s="179"/>
      <c r="CP97" s="179"/>
      <c r="CQ97" s="179"/>
      <c r="CR97" s="179"/>
      <c r="CS97" s="179"/>
      <c r="CT97" s="179"/>
      <c r="CU97" s="179"/>
      <c r="CV97" s="178"/>
      <c r="CW97" s="178"/>
      <c r="CX97" s="178"/>
      <c r="CY97" s="178"/>
      <c r="CZ97" s="178"/>
      <c r="DA97" s="178"/>
      <c r="DB97" s="178"/>
      <c r="DC97" s="178"/>
      <c r="DD97" s="178"/>
      <c r="DE97" s="178"/>
    </row>
    <row r="98" spans="1:109" s="4" customFormat="1" ht="36">
      <c r="A98" s="582"/>
      <c r="B98" s="614"/>
      <c r="C98" s="590"/>
      <c r="D98" s="574"/>
      <c r="E98" s="420"/>
      <c r="F98" s="420"/>
      <c r="G98" s="420"/>
      <c r="H98" s="335"/>
      <c r="I98" s="335"/>
      <c r="J98" s="335"/>
      <c r="K98" s="335"/>
      <c r="L98" s="335"/>
      <c r="M98" s="335"/>
      <c r="N98" s="335"/>
      <c r="O98" s="335"/>
      <c r="P98" s="335"/>
      <c r="Q98" s="335"/>
      <c r="R98" s="335"/>
      <c r="S98" s="335"/>
      <c r="T98" s="335"/>
      <c r="U98" s="335"/>
      <c r="V98" s="335"/>
      <c r="W98" s="335"/>
      <c r="X98" s="335"/>
      <c r="Y98" s="335"/>
      <c r="Z98" s="335"/>
      <c r="AA98" s="335"/>
      <c r="AB98" s="335"/>
      <c r="AC98" s="335"/>
      <c r="AD98" s="335"/>
      <c r="AE98" s="335"/>
      <c r="AF98" s="335"/>
      <c r="AG98" s="335"/>
      <c r="AH98" s="335"/>
      <c r="AI98" s="335"/>
      <c r="AJ98" s="621"/>
      <c r="AK98" s="532"/>
      <c r="AL98" s="248" t="s">
        <v>298</v>
      </c>
      <c r="AM98" s="80">
        <v>41730</v>
      </c>
      <c r="AN98" s="250">
        <v>41912</v>
      </c>
      <c r="AO98" s="319"/>
      <c r="AP98" s="319"/>
      <c r="AQ98" s="560"/>
      <c r="AR98" s="319"/>
      <c r="AS98" s="319"/>
      <c r="AT98" s="560"/>
      <c r="AU98" s="319"/>
      <c r="AV98" s="319"/>
      <c r="AW98" s="560"/>
      <c r="AX98" s="249"/>
      <c r="AY98" s="80"/>
      <c r="AZ98" s="80"/>
      <c r="BA98" s="80"/>
      <c r="BB98" s="80"/>
      <c r="BC98" s="80"/>
      <c r="BD98" s="80"/>
      <c r="BE98" s="80"/>
      <c r="BF98" s="80"/>
      <c r="BG98" s="80"/>
      <c r="BH98" s="80"/>
      <c r="BI98" s="80"/>
      <c r="BJ98" s="80"/>
      <c r="BK98" s="80"/>
      <c r="BL98" s="80"/>
      <c r="BM98" s="76"/>
      <c r="BN98" s="260"/>
      <c r="BO98" s="229"/>
      <c r="BP98" s="261"/>
      <c r="BQ98" s="229"/>
      <c r="BR98" s="261"/>
      <c r="BS98" s="122"/>
      <c r="BT98" s="221"/>
      <c r="BU98" s="222"/>
      <c r="BV98" s="222"/>
      <c r="BW98" s="222"/>
      <c r="BX98" s="222"/>
      <c r="BY98" s="222"/>
      <c r="BZ98" s="222"/>
      <c r="CA98" s="222"/>
      <c r="CB98" s="222"/>
      <c r="CC98" s="222"/>
      <c r="CD98" s="222"/>
      <c r="CE98" s="222"/>
      <c r="CF98" s="222"/>
      <c r="CG98" s="222"/>
      <c r="CH98" s="220"/>
      <c r="CI98" s="220"/>
      <c r="CJ98" s="179"/>
      <c r="CK98" s="179"/>
      <c r="CL98" s="179"/>
      <c r="CM98" s="179"/>
      <c r="CN98" s="179"/>
      <c r="CO98" s="179"/>
      <c r="CP98" s="179"/>
      <c r="CQ98" s="179"/>
      <c r="CR98" s="179"/>
      <c r="CS98" s="179"/>
      <c r="CT98" s="179"/>
      <c r="CU98" s="179"/>
      <c r="CV98" s="178"/>
      <c r="CW98" s="178"/>
      <c r="CX98" s="178"/>
      <c r="CY98" s="178"/>
      <c r="CZ98" s="178"/>
      <c r="DA98" s="178"/>
      <c r="DB98" s="178"/>
      <c r="DC98" s="178"/>
      <c r="DD98" s="178"/>
      <c r="DE98" s="178"/>
    </row>
    <row r="99" spans="1:109" s="4" customFormat="1" ht="66" customHeight="1">
      <c r="A99" s="582"/>
      <c r="B99" s="614"/>
      <c r="C99" s="622" t="s">
        <v>227</v>
      </c>
      <c r="D99" s="616" t="s">
        <v>226</v>
      </c>
      <c r="E99" s="619">
        <v>0.15</v>
      </c>
      <c r="F99" s="619">
        <v>0.4</v>
      </c>
      <c r="G99" s="619">
        <v>0.45</v>
      </c>
      <c r="H99" s="335"/>
      <c r="I99" s="335"/>
      <c r="J99" s="335"/>
      <c r="K99" s="335"/>
      <c r="L99" s="335"/>
      <c r="M99" s="335"/>
      <c r="N99" s="335"/>
      <c r="O99" s="335"/>
      <c r="P99" s="335"/>
      <c r="Q99" s="335"/>
      <c r="R99" s="335"/>
      <c r="S99" s="335"/>
      <c r="T99" s="335"/>
      <c r="U99" s="335"/>
      <c r="V99" s="335"/>
      <c r="W99" s="335"/>
      <c r="X99" s="335"/>
      <c r="Y99" s="335"/>
      <c r="Z99" s="335"/>
      <c r="AA99" s="335"/>
      <c r="AB99" s="335"/>
      <c r="AC99" s="335"/>
      <c r="AD99" s="335"/>
      <c r="AE99" s="335"/>
      <c r="AF99" s="335"/>
      <c r="AG99" s="335"/>
      <c r="AH99" s="335"/>
      <c r="AI99" s="335"/>
      <c r="AJ99" s="530" t="s">
        <v>58</v>
      </c>
      <c r="AK99" s="242" t="s">
        <v>72</v>
      </c>
      <c r="AL99" s="262" t="s">
        <v>299</v>
      </c>
      <c r="AM99" s="242">
        <v>41414</v>
      </c>
      <c r="AN99" s="259">
        <v>41628</v>
      </c>
      <c r="AO99" s="319">
        <f>14000000+876600+31581264</f>
        <v>46457864</v>
      </c>
      <c r="AP99" s="319">
        <v>1484800</v>
      </c>
      <c r="AQ99" s="560">
        <f>AO99-AP99</f>
        <v>44973064</v>
      </c>
      <c r="AR99" s="319">
        <f>14000000+876600+31581264</f>
        <v>46457864</v>
      </c>
      <c r="AS99" s="319">
        <v>1484800</v>
      </c>
      <c r="AT99" s="560">
        <f>AR99-AS99</f>
        <v>44973064</v>
      </c>
      <c r="AU99" s="319">
        <f>14000000+876600+31581264</f>
        <v>46457864</v>
      </c>
      <c r="AV99" s="319">
        <v>1484800</v>
      </c>
      <c r="AW99" s="560">
        <f>AU99-AV99</f>
        <v>44973064</v>
      </c>
      <c r="AX99" s="263"/>
      <c r="AY99" s="242"/>
      <c r="AZ99" s="242"/>
      <c r="BA99" s="242"/>
      <c r="BB99" s="242"/>
      <c r="BC99" s="242"/>
      <c r="BD99" s="242"/>
      <c r="BE99" s="242"/>
      <c r="BF99" s="242"/>
      <c r="BG99" s="242"/>
      <c r="BH99" s="242"/>
      <c r="BI99" s="242"/>
      <c r="BJ99" s="242"/>
      <c r="BK99" s="242"/>
      <c r="BL99" s="242"/>
      <c r="BM99" s="378">
        <v>16000000</v>
      </c>
      <c r="BN99" s="650"/>
      <c r="BO99" s="417">
        <v>12500000</v>
      </c>
      <c r="BP99" s="647"/>
      <c r="BQ99" s="417">
        <v>12500000</v>
      </c>
      <c r="BR99" s="647"/>
      <c r="BS99" s="376">
        <f>BO99+BQ99+BM99</f>
        <v>41000000</v>
      </c>
      <c r="BT99" s="357"/>
      <c r="BU99" s="335">
        <f>SUM(BS99:BS101)</f>
        <v>82000000</v>
      </c>
      <c r="BV99" s="335"/>
      <c r="BW99" s="335"/>
      <c r="BX99" s="335"/>
      <c r="BY99" s="335"/>
      <c r="BZ99" s="335"/>
      <c r="CA99" s="335"/>
      <c r="CB99" s="335"/>
      <c r="CC99" s="335"/>
      <c r="CD99" s="335"/>
      <c r="CE99" s="335"/>
      <c r="CF99" s="335"/>
      <c r="CG99" s="335"/>
      <c r="CH99" s="335">
        <f>SUM(BW99:CG101)</f>
        <v>0</v>
      </c>
      <c r="CI99" s="335">
        <f>CH99+BV99</f>
        <v>0</v>
      </c>
      <c r="CJ99" s="335"/>
      <c r="CK99" s="335"/>
      <c r="CL99" s="335"/>
      <c r="CM99" s="335"/>
      <c r="CN99" s="335"/>
      <c r="CO99" s="335"/>
      <c r="CP99" s="335">
        <f>SUM(CK99:CO101)</f>
        <v>0</v>
      </c>
      <c r="CQ99" s="335">
        <f>CP99+CJ99</f>
        <v>0</v>
      </c>
      <c r="CR99" s="335"/>
      <c r="CS99" s="335"/>
      <c r="CT99" s="335"/>
      <c r="CU99" s="335"/>
      <c r="CV99" s="335">
        <f>SUM(CS99:CU101)</f>
        <v>0</v>
      </c>
      <c r="CW99" s="335">
        <f>CV99+CR99</f>
        <v>0</v>
      </c>
      <c r="CX99" s="335"/>
      <c r="CY99" s="335"/>
      <c r="CZ99" s="335"/>
      <c r="DA99" s="335">
        <f>SUM(CY99:CZ101)</f>
        <v>0</v>
      </c>
      <c r="DB99" s="335">
        <f>DA99+CX99</f>
        <v>0</v>
      </c>
      <c r="DC99" s="335"/>
      <c r="DD99" s="335">
        <f>DB99+CW99+CQ99+CI99+DC99</f>
        <v>0</v>
      </c>
      <c r="DE99" s="335"/>
    </row>
    <row r="100" spans="1:109" s="4" customFormat="1" ht="72">
      <c r="A100" s="582"/>
      <c r="B100" s="614"/>
      <c r="C100" s="623"/>
      <c r="D100" s="617"/>
      <c r="E100" s="620"/>
      <c r="F100" s="620"/>
      <c r="G100" s="620"/>
      <c r="H100" s="335"/>
      <c r="I100" s="335"/>
      <c r="J100" s="335"/>
      <c r="K100" s="335"/>
      <c r="L100" s="335"/>
      <c r="M100" s="335"/>
      <c r="N100" s="335"/>
      <c r="O100" s="335"/>
      <c r="P100" s="335"/>
      <c r="Q100" s="335"/>
      <c r="R100" s="335"/>
      <c r="S100" s="335"/>
      <c r="T100" s="335"/>
      <c r="U100" s="335"/>
      <c r="V100" s="335"/>
      <c r="W100" s="335"/>
      <c r="X100" s="335"/>
      <c r="Y100" s="335"/>
      <c r="Z100" s="335"/>
      <c r="AA100" s="335"/>
      <c r="AB100" s="335"/>
      <c r="AC100" s="335"/>
      <c r="AD100" s="335"/>
      <c r="AE100" s="335"/>
      <c r="AF100" s="335"/>
      <c r="AG100" s="335"/>
      <c r="AH100" s="335"/>
      <c r="AI100" s="335"/>
      <c r="AJ100" s="531"/>
      <c r="AK100" s="242" t="s">
        <v>40</v>
      </c>
      <c r="AL100" s="262" t="s">
        <v>300</v>
      </c>
      <c r="AM100" s="242">
        <v>41414</v>
      </c>
      <c r="AN100" s="259">
        <v>41628</v>
      </c>
      <c r="AO100" s="319"/>
      <c r="AP100" s="319"/>
      <c r="AQ100" s="560"/>
      <c r="AR100" s="319"/>
      <c r="AS100" s="319"/>
      <c r="AT100" s="560"/>
      <c r="AU100" s="319"/>
      <c r="AV100" s="319"/>
      <c r="AW100" s="560"/>
      <c r="AX100" s="263"/>
      <c r="AY100" s="242"/>
      <c r="AZ100" s="242"/>
      <c r="BA100" s="242"/>
      <c r="BB100" s="242"/>
      <c r="BC100" s="242"/>
      <c r="BD100" s="242"/>
      <c r="BE100" s="242"/>
      <c r="BF100" s="242"/>
      <c r="BG100" s="242"/>
      <c r="BH100" s="242"/>
      <c r="BI100" s="242"/>
      <c r="BJ100" s="242"/>
      <c r="BK100" s="242"/>
      <c r="BL100" s="242"/>
      <c r="BM100" s="378"/>
      <c r="BN100" s="651"/>
      <c r="BO100" s="417"/>
      <c r="BP100" s="648"/>
      <c r="BQ100" s="417"/>
      <c r="BR100" s="648"/>
      <c r="BS100" s="377"/>
      <c r="BT100" s="359"/>
      <c r="BU100" s="335"/>
      <c r="BV100" s="335"/>
      <c r="BW100" s="335"/>
      <c r="BX100" s="335"/>
      <c r="BY100" s="335"/>
      <c r="BZ100" s="335"/>
      <c r="CA100" s="335"/>
      <c r="CB100" s="335"/>
      <c r="CC100" s="335"/>
      <c r="CD100" s="335"/>
      <c r="CE100" s="335"/>
      <c r="CF100" s="335"/>
      <c r="CG100" s="335"/>
      <c r="CH100" s="335"/>
      <c r="CI100" s="335"/>
      <c r="CJ100" s="335"/>
      <c r="CK100" s="335"/>
      <c r="CL100" s="335"/>
      <c r="CM100" s="335"/>
      <c r="CN100" s="335"/>
      <c r="CO100" s="335"/>
      <c r="CP100" s="335"/>
      <c r="CQ100" s="335"/>
      <c r="CR100" s="335"/>
      <c r="CS100" s="335"/>
      <c r="CT100" s="335"/>
      <c r="CU100" s="335"/>
      <c r="CV100" s="335"/>
      <c r="CW100" s="335"/>
      <c r="CX100" s="335"/>
      <c r="CY100" s="335"/>
      <c r="CZ100" s="335"/>
      <c r="DA100" s="335"/>
      <c r="DB100" s="335"/>
      <c r="DC100" s="335"/>
      <c r="DD100" s="335"/>
      <c r="DE100" s="335"/>
    </row>
    <row r="101" spans="1:109" s="4" customFormat="1" ht="84">
      <c r="A101" s="582"/>
      <c r="B101" s="614"/>
      <c r="C101" s="623"/>
      <c r="D101" s="617"/>
      <c r="E101" s="620"/>
      <c r="F101" s="620"/>
      <c r="G101" s="620"/>
      <c r="H101" s="335"/>
      <c r="I101" s="335"/>
      <c r="J101" s="335"/>
      <c r="K101" s="335"/>
      <c r="L101" s="335"/>
      <c r="M101" s="335"/>
      <c r="N101" s="335"/>
      <c r="O101" s="335"/>
      <c r="P101" s="335"/>
      <c r="Q101" s="335"/>
      <c r="R101" s="335"/>
      <c r="S101" s="335"/>
      <c r="T101" s="335"/>
      <c r="U101" s="335"/>
      <c r="V101" s="335"/>
      <c r="W101" s="335"/>
      <c r="X101" s="335"/>
      <c r="Y101" s="335"/>
      <c r="Z101" s="335"/>
      <c r="AA101" s="335"/>
      <c r="AB101" s="335"/>
      <c r="AC101" s="335"/>
      <c r="AD101" s="335"/>
      <c r="AE101" s="335"/>
      <c r="AF101" s="335"/>
      <c r="AG101" s="335"/>
      <c r="AH101" s="335"/>
      <c r="AI101" s="335"/>
      <c r="AJ101" s="531"/>
      <c r="AK101" s="530" t="s">
        <v>98</v>
      </c>
      <c r="AL101" s="262" t="s">
        <v>301</v>
      </c>
      <c r="AM101" s="242">
        <v>41659</v>
      </c>
      <c r="AN101" s="259">
        <v>41992</v>
      </c>
      <c r="AO101" s="319"/>
      <c r="AP101" s="319"/>
      <c r="AQ101" s="560"/>
      <c r="AR101" s="319"/>
      <c r="AS101" s="319"/>
      <c r="AT101" s="560"/>
      <c r="AU101" s="319"/>
      <c r="AV101" s="319"/>
      <c r="AW101" s="560"/>
      <c r="AX101" s="263"/>
      <c r="AY101" s="242"/>
      <c r="AZ101" s="242"/>
      <c r="BA101" s="242"/>
      <c r="BB101" s="242"/>
      <c r="BC101" s="242"/>
      <c r="BD101" s="242"/>
      <c r="BE101" s="242"/>
      <c r="BF101" s="242"/>
      <c r="BG101" s="242"/>
      <c r="BH101" s="242"/>
      <c r="BI101" s="242"/>
      <c r="BJ101" s="242"/>
      <c r="BK101" s="242"/>
      <c r="BL101" s="242"/>
      <c r="BM101" s="76">
        <v>16000000</v>
      </c>
      <c r="BN101" s="255"/>
      <c r="BO101" s="225">
        <v>12500000</v>
      </c>
      <c r="BP101" s="253"/>
      <c r="BQ101" s="225">
        <v>12500000</v>
      </c>
      <c r="BR101" s="253"/>
      <c r="BS101" s="74">
        <f>BO101+BQ101+BM101</f>
        <v>41000000</v>
      </c>
      <c r="BT101" s="358"/>
      <c r="BU101" s="335"/>
      <c r="BV101" s="335"/>
      <c r="BW101" s="335"/>
      <c r="BX101" s="335"/>
      <c r="BY101" s="335"/>
      <c r="BZ101" s="335"/>
      <c r="CA101" s="335"/>
      <c r="CB101" s="335"/>
      <c r="CC101" s="335"/>
      <c r="CD101" s="335"/>
      <c r="CE101" s="335"/>
      <c r="CF101" s="335"/>
      <c r="CG101" s="335"/>
      <c r="CH101" s="335"/>
      <c r="CI101" s="335"/>
      <c r="CJ101" s="335"/>
      <c r="CK101" s="335"/>
      <c r="CL101" s="335"/>
      <c r="CM101" s="335"/>
      <c r="CN101" s="335"/>
      <c r="CO101" s="335"/>
      <c r="CP101" s="335"/>
      <c r="CQ101" s="335"/>
      <c r="CR101" s="335"/>
      <c r="CS101" s="335"/>
      <c r="CT101" s="335"/>
      <c r="CU101" s="335"/>
      <c r="CV101" s="335"/>
      <c r="CW101" s="335"/>
      <c r="CX101" s="335"/>
      <c r="CY101" s="335"/>
      <c r="CZ101" s="335"/>
      <c r="DA101" s="335"/>
      <c r="DB101" s="335"/>
      <c r="DC101" s="335"/>
      <c r="DD101" s="335"/>
      <c r="DE101" s="335"/>
    </row>
    <row r="102" spans="1:109" s="4" customFormat="1" ht="36">
      <c r="A102" s="582"/>
      <c r="B102" s="614"/>
      <c r="C102" s="623"/>
      <c r="D102" s="618"/>
      <c r="E102" s="621"/>
      <c r="F102" s="621"/>
      <c r="G102" s="621"/>
      <c r="H102" s="335"/>
      <c r="I102" s="335"/>
      <c r="J102" s="335"/>
      <c r="K102" s="335"/>
      <c r="L102" s="335"/>
      <c r="M102" s="335"/>
      <c r="N102" s="335"/>
      <c r="O102" s="335"/>
      <c r="P102" s="335"/>
      <c r="Q102" s="335"/>
      <c r="R102" s="335"/>
      <c r="S102" s="335"/>
      <c r="T102" s="335"/>
      <c r="U102" s="335"/>
      <c r="V102" s="335"/>
      <c r="W102" s="335"/>
      <c r="X102" s="335"/>
      <c r="Y102" s="335"/>
      <c r="Z102" s="335"/>
      <c r="AA102" s="335"/>
      <c r="AB102" s="335"/>
      <c r="AC102" s="335"/>
      <c r="AD102" s="335"/>
      <c r="AE102" s="335"/>
      <c r="AF102" s="335"/>
      <c r="AG102" s="335"/>
      <c r="AH102" s="335"/>
      <c r="AI102" s="335"/>
      <c r="AJ102" s="532"/>
      <c r="AK102" s="532"/>
      <c r="AL102" s="262" t="s">
        <v>302</v>
      </c>
      <c r="AM102" s="242">
        <v>42023</v>
      </c>
      <c r="AN102" s="259">
        <v>42338</v>
      </c>
      <c r="AO102" s="319"/>
      <c r="AP102" s="319"/>
      <c r="AQ102" s="560"/>
      <c r="AR102" s="319"/>
      <c r="AS102" s="319"/>
      <c r="AT102" s="560"/>
      <c r="AU102" s="319"/>
      <c r="AV102" s="319"/>
      <c r="AW102" s="560"/>
      <c r="AX102" s="263"/>
      <c r="AY102" s="242"/>
      <c r="AZ102" s="242"/>
      <c r="BA102" s="242"/>
      <c r="BB102" s="242"/>
      <c r="BC102" s="242"/>
      <c r="BD102" s="242"/>
      <c r="BE102" s="242"/>
      <c r="BF102" s="242"/>
      <c r="BG102" s="242"/>
      <c r="BH102" s="242"/>
      <c r="BI102" s="242"/>
      <c r="BJ102" s="242"/>
      <c r="BK102" s="242"/>
      <c r="BL102" s="242"/>
      <c r="BM102" s="76"/>
      <c r="BN102" s="255"/>
      <c r="BO102" s="225"/>
      <c r="BP102" s="253"/>
      <c r="BQ102" s="225"/>
      <c r="BR102" s="253"/>
      <c r="BS102" s="74"/>
      <c r="BT102" s="221"/>
      <c r="BU102" s="220"/>
      <c r="BV102" s="220"/>
      <c r="BW102" s="220"/>
      <c r="BX102" s="220"/>
      <c r="BY102" s="220"/>
      <c r="BZ102" s="220"/>
      <c r="CA102" s="220"/>
      <c r="CB102" s="220"/>
      <c r="CC102" s="220"/>
      <c r="CD102" s="220"/>
      <c r="CE102" s="220"/>
      <c r="CF102" s="220"/>
      <c r="CG102" s="220"/>
      <c r="CH102" s="220"/>
      <c r="CI102" s="220"/>
      <c r="CJ102" s="179"/>
      <c r="CK102" s="179"/>
      <c r="CL102" s="179"/>
      <c r="CM102" s="179"/>
      <c r="CN102" s="179"/>
      <c r="CO102" s="179"/>
      <c r="CP102" s="179"/>
      <c r="CQ102" s="179"/>
      <c r="CR102" s="179"/>
      <c r="CS102" s="179"/>
      <c r="CT102" s="179"/>
      <c r="CU102" s="179"/>
      <c r="CV102" s="179"/>
      <c r="CW102" s="179"/>
      <c r="CX102" s="179"/>
      <c r="CY102" s="179"/>
      <c r="CZ102" s="179"/>
      <c r="DA102" s="179"/>
      <c r="DB102" s="179"/>
      <c r="DC102" s="179"/>
      <c r="DD102" s="179"/>
      <c r="DE102" s="179"/>
    </row>
    <row r="103" spans="1:109" s="4" customFormat="1" ht="44.1" customHeight="1">
      <c r="A103" s="582"/>
      <c r="B103" s="614"/>
      <c r="C103" s="623"/>
      <c r="D103" s="616" t="s">
        <v>228</v>
      </c>
      <c r="E103" s="560">
        <v>0.26</v>
      </c>
      <c r="F103" s="560">
        <v>0.37</v>
      </c>
      <c r="G103" s="560">
        <v>0.37</v>
      </c>
      <c r="H103" s="335"/>
      <c r="I103" s="335"/>
      <c r="J103" s="335"/>
      <c r="K103" s="335"/>
      <c r="L103" s="335"/>
      <c r="M103" s="335"/>
      <c r="N103" s="335"/>
      <c r="O103" s="335"/>
      <c r="P103" s="335"/>
      <c r="Q103" s="335"/>
      <c r="R103" s="335"/>
      <c r="S103" s="335"/>
      <c r="T103" s="335"/>
      <c r="U103" s="335"/>
      <c r="V103" s="335"/>
      <c r="W103" s="335"/>
      <c r="X103" s="335"/>
      <c r="Y103" s="335"/>
      <c r="Z103" s="335"/>
      <c r="AA103" s="335"/>
      <c r="AB103" s="335"/>
      <c r="AC103" s="335"/>
      <c r="AD103" s="335"/>
      <c r="AE103" s="335"/>
      <c r="AF103" s="335"/>
      <c r="AG103" s="335"/>
      <c r="AH103" s="335"/>
      <c r="AI103" s="335"/>
      <c r="AJ103" s="530" t="s">
        <v>57</v>
      </c>
      <c r="AK103" s="227" t="s">
        <v>174</v>
      </c>
      <c r="AL103" s="264" t="s">
        <v>303</v>
      </c>
      <c r="AM103" s="250">
        <v>41414</v>
      </c>
      <c r="AN103" s="250">
        <v>41628</v>
      </c>
      <c r="AO103" s="319">
        <f>52710000+1314900</f>
        <v>54024900</v>
      </c>
      <c r="AP103" s="319">
        <v>12500000</v>
      </c>
      <c r="AQ103" s="560">
        <f>AO103-AP103</f>
        <v>41524900</v>
      </c>
      <c r="AR103" s="319">
        <f>52710000+1314900</f>
        <v>54024900</v>
      </c>
      <c r="AS103" s="319">
        <f>12500000+10916667</f>
        <v>23416667</v>
      </c>
      <c r="AT103" s="560">
        <f>AR103-AS103</f>
        <v>30608233</v>
      </c>
      <c r="AU103" s="319">
        <f>52710000+1314900</f>
        <v>54024900</v>
      </c>
      <c r="AV103" s="319">
        <v>12500000</v>
      </c>
      <c r="AW103" s="560">
        <f>AU103-AV103</f>
        <v>41524900</v>
      </c>
      <c r="AX103" s="265"/>
      <c r="AY103" s="250"/>
      <c r="AZ103" s="250"/>
      <c r="BA103" s="250"/>
      <c r="BB103" s="250"/>
      <c r="BC103" s="250"/>
      <c r="BD103" s="250"/>
      <c r="BE103" s="250"/>
      <c r="BF103" s="250"/>
      <c r="BG103" s="250"/>
      <c r="BH103" s="250"/>
      <c r="BI103" s="250"/>
      <c r="BJ103" s="250"/>
      <c r="BK103" s="250"/>
      <c r="BL103" s="250"/>
      <c r="BM103" s="76">
        <v>1000000</v>
      </c>
      <c r="BN103" s="146"/>
      <c r="BO103" s="225">
        <v>1500000</v>
      </c>
      <c r="BP103" s="84"/>
      <c r="BQ103" s="225">
        <v>2000000</v>
      </c>
      <c r="BR103" s="242"/>
      <c r="BS103" s="74">
        <f>BO103+BQ103+BM103</f>
        <v>4500000</v>
      </c>
      <c r="BT103" s="357"/>
      <c r="BU103" s="335">
        <f>SUM(BS103:BS105)</f>
        <v>33048000</v>
      </c>
      <c r="BV103" s="335"/>
      <c r="BW103" s="335"/>
      <c r="BX103" s="335"/>
      <c r="BY103" s="335"/>
      <c r="BZ103" s="335"/>
      <c r="CA103" s="335"/>
      <c r="CB103" s="335"/>
      <c r="CC103" s="335"/>
      <c r="CD103" s="335"/>
      <c r="CE103" s="335"/>
      <c r="CF103" s="335"/>
      <c r="CG103" s="335"/>
      <c r="CH103" s="335">
        <f>SUM(BW103:CG105)</f>
        <v>0</v>
      </c>
      <c r="CI103" s="335">
        <f>CH103+BV103</f>
        <v>0</v>
      </c>
      <c r="CJ103" s="335"/>
      <c r="CK103" s="335"/>
      <c r="CL103" s="335"/>
      <c r="CM103" s="335"/>
      <c r="CN103" s="335"/>
      <c r="CO103" s="335"/>
      <c r="CP103" s="335">
        <f>SUM(CK103:CO105)</f>
        <v>0</v>
      </c>
      <c r="CQ103" s="335">
        <f>CP103+CJ103</f>
        <v>0</v>
      </c>
      <c r="CR103" s="335"/>
      <c r="CS103" s="335"/>
      <c r="CT103" s="335"/>
      <c r="CU103" s="335"/>
      <c r="CV103" s="335">
        <f>SUM(CS103:CU105)</f>
        <v>0</v>
      </c>
      <c r="CW103" s="335">
        <f>CV103+CR103</f>
        <v>0</v>
      </c>
      <c r="CX103" s="335"/>
      <c r="CY103" s="335"/>
      <c r="CZ103" s="335"/>
      <c r="DA103" s="335">
        <f>SUM(CY103:CZ105)</f>
        <v>0</v>
      </c>
      <c r="DB103" s="335">
        <f>DA103+CX103</f>
        <v>0</v>
      </c>
      <c r="DC103" s="335"/>
      <c r="DD103" s="335">
        <f>DB103+CW103+CQ103+CI103+DC103</f>
        <v>0</v>
      </c>
      <c r="DE103" s="335"/>
    </row>
    <row r="104" spans="1:109" s="4" customFormat="1" ht="36">
      <c r="A104" s="582"/>
      <c r="B104" s="614"/>
      <c r="C104" s="623"/>
      <c r="D104" s="617"/>
      <c r="E104" s="560"/>
      <c r="F104" s="560"/>
      <c r="G104" s="560"/>
      <c r="H104" s="335"/>
      <c r="I104" s="335"/>
      <c r="J104" s="335"/>
      <c r="K104" s="335"/>
      <c r="L104" s="335"/>
      <c r="M104" s="335"/>
      <c r="N104" s="335"/>
      <c r="O104" s="335"/>
      <c r="P104" s="335"/>
      <c r="Q104" s="335"/>
      <c r="R104" s="335"/>
      <c r="S104" s="335"/>
      <c r="T104" s="335"/>
      <c r="U104" s="335"/>
      <c r="V104" s="335"/>
      <c r="W104" s="335"/>
      <c r="X104" s="335"/>
      <c r="Y104" s="335"/>
      <c r="Z104" s="335"/>
      <c r="AA104" s="335"/>
      <c r="AB104" s="335"/>
      <c r="AC104" s="335"/>
      <c r="AD104" s="335"/>
      <c r="AE104" s="335"/>
      <c r="AF104" s="335"/>
      <c r="AG104" s="335"/>
      <c r="AH104" s="335"/>
      <c r="AI104" s="335"/>
      <c r="AJ104" s="531"/>
      <c r="AK104" s="530" t="s">
        <v>175</v>
      </c>
      <c r="AL104" s="264" t="s">
        <v>304</v>
      </c>
      <c r="AM104" s="250">
        <v>41414</v>
      </c>
      <c r="AN104" s="250">
        <v>41628</v>
      </c>
      <c r="AO104" s="319"/>
      <c r="AP104" s="319"/>
      <c r="AQ104" s="560"/>
      <c r="AR104" s="319"/>
      <c r="AS104" s="319"/>
      <c r="AT104" s="560"/>
      <c r="AU104" s="319"/>
      <c r="AV104" s="319"/>
      <c r="AW104" s="560"/>
      <c r="AX104" s="265"/>
      <c r="AY104" s="250"/>
      <c r="AZ104" s="250"/>
      <c r="BA104" s="250"/>
      <c r="BB104" s="250"/>
      <c r="BC104" s="250"/>
      <c r="BD104" s="250"/>
      <c r="BE104" s="250"/>
      <c r="BF104" s="250"/>
      <c r="BG104" s="250"/>
      <c r="BH104" s="250"/>
      <c r="BI104" s="250"/>
      <c r="BJ104" s="250"/>
      <c r="BK104" s="250"/>
      <c r="BL104" s="250"/>
      <c r="BM104" s="76">
        <v>1000000</v>
      </c>
      <c r="BN104" s="146"/>
      <c r="BO104" s="225">
        <v>1500000</v>
      </c>
      <c r="BP104" s="84"/>
      <c r="BQ104" s="225">
        <v>2000000</v>
      </c>
      <c r="BR104" s="242"/>
      <c r="BS104" s="74">
        <f>BO104+BQ104+BM104</f>
        <v>4500000</v>
      </c>
      <c r="BT104" s="359"/>
      <c r="BU104" s="335"/>
      <c r="BV104" s="335"/>
      <c r="BW104" s="335"/>
      <c r="BX104" s="335"/>
      <c r="BY104" s="335"/>
      <c r="BZ104" s="335"/>
      <c r="CA104" s="335"/>
      <c r="CB104" s="335"/>
      <c r="CC104" s="335"/>
      <c r="CD104" s="335"/>
      <c r="CE104" s="335"/>
      <c r="CF104" s="335"/>
      <c r="CG104" s="335"/>
      <c r="CH104" s="335"/>
      <c r="CI104" s="335"/>
      <c r="CJ104" s="335"/>
      <c r="CK104" s="335"/>
      <c r="CL104" s="335"/>
      <c r="CM104" s="335"/>
      <c r="CN104" s="335"/>
      <c r="CO104" s="335"/>
      <c r="CP104" s="335"/>
      <c r="CQ104" s="335"/>
      <c r="CR104" s="335"/>
      <c r="CS104" s="335"/>
      <c r="CT104" s="335"/>
      <c r="CU104" s="335"/>
      <c r="CV104" s="335"/>
      <c r="CW104" s="335"/>
      <c r="CX104" s="335"/>
      <c r="CY104" s="335"/>
      <c r="CZ104" s="335"/>
      <c r="DA104" s="335"/>
      <c r="DB104" s="335"/>
      <c r="DC104" s="335"/>
      <c r="DD104" s="335"/>
      <c r="DE104" s="335"/>
    </row>
    <row r="105" spans="1:109" s="4" customFormat="1" ht="21.75" customHeight="1">
      <c r="A105" s="582"/>
      <c r="B105" s="614"/>
      <c r="C105" s="623"/>
      <c r="D105" s="617"/>
      <c r="E105" s="560"/>
      <c r="F105" s="560"/>
      <c r="G105" s="560"/>
      <c r="H105" s="335"/>
      <c r="I105" s="335"/>
      <c r="J105" s="335"/>
      <c r="K105" s="335"/>
      <c r="L105" s="335"/>
      <c r="M105" s="335"/>
      <c r="N105" s="335"/>
      <c r="O105" s="335"/>
      <c r="P105" s="335"/>
      <c r="Q105" s="335"/>
      <c r="R105" s="335"/>
      <c r="S105" s="335"/>
      <c r="T105" s="335"/>
      <c r="U105" s="335"/>
      <c r="V105" s="335"/>
      <c r="W105" s="335"/>
      <c r="X105" s="335"/>
      <c r="Y105" s="335"/>
      <c r="Z105" s="335"/>
      <c r="AA105" s="335"/>
      <c r="AB105" s="335"/>
      <c r="AC105" s="335"/>
      <c r="AD105" s="335"/>
      <c r="AE105" s="335"/>
      <c r="AF105" s="335"/>
      <c r="AG105" s="335"/>
      <c r="AH105" s="335"/>
      <c r="AI105" s="335"/>
      <c r="AJ105" s="532"/>
      <c r="AK105" s="532"/>
      <c r="AL105" s="564" t="s">
        <v>305</v>
      </c>
      <c r="AM105" s="259">
        <v>41414</v>
      </c>
      <c r="AN105" s="259">
        <v>41628</v>
      </c>
      <c r="AO105" s="319"/>
      <c r="AP105" s="319"/>
      <c r="AQ105" s="560"/>
      <c r="AR105" s="319"/>
      <c r="AS105" s="319"/>
      <c r="AT105" s="560"/>
      <c r="AU105" s="319"/>
      <c r="AV105" s="319"/>
      <c r="AW105" s="560"/>
      <c r="AX105" s="266"/>
      <c r="AY105" s="259"/>
      <c r="AZ105" s="259"/>
      <c r="BA105" s="259"/>
      <c r="BB105" s="259"/>
      <c r="BC105" s="259"/>
      <c r="BD105" s="259"/>
      <c r="BE105" s="259"/>
      <c r="BF105" s="259"/>
      <c r="BG105" s="259"/>
      <c r="BH105" s="259"/>
      <c r="BI105" s="259"/>
      <c r="BJ105" s="259"/>
      <c r="BK105" s="259"/>
      <c r="BL105" s="259"/>
      <c r="BM105" s="76">
        <v>12000000</v>
      </c>
      <c r="BN105" s="146"/>
      <c r="BO105" s="225">
        <v>6024000</v>
      </c>
      <c r="BP105" s="84"/>
      <c r="BQ105" s="225">
        <v>6024000</v>
      </c>
      <c r="BR105" s="242"/>
      <c r="BS105" s="74">
        <f>BO105+BQ105+BM105</f>
        <v>24048000</v>
      </c>
      <c r="BT105" s="358"/>
      <c r="BU105" s="335"/>
      <c r="BV105" s="335"/>
      <c r="BW105" s="335"/>
      <c r="BX105" s="335"/>
      <c r="BY105" s="335"/>
      <c r="BZ105" s="335"/>
      <c r="CA105" s="335"/>
      <c r="CB105" s="335"/>
      <c r="CC105" s="335"/>
      <c r="CD105" s="335"/>
      <c r="CE105" s="335"/>
      <c r="CF105" s="335"/>
      <c r="CG105" s="335"/>
      <c r="CH105" s="335"/>
      <c r="CI105" s="335"/>
      <c r="CJ105" s="335"/>
      <c r="CK105" s="335"/>
      <c r="CL105" s="335"/>
      <c r="CM105" s="335"/>
      <c r="CN105" s="335"/>
      <c r="CO105" s="335"/>
      <c r="CP105" s="335"/>
      <c r="CQ105" s="335"/>
      <c r="CR105" s="335"/>
      <c r="CS105" s="335"/>
      <c r="CT105" s="335"/>
      <c r="CU105" s="335"/>
      <c r="CV105" s="335"/>
      <c r="CW105" s="335"/>
      <c r="CX105" s="335"/>
      <c r="CY105" s="335"/>
      <c r="CZ105" s="335"/>
      <c r="DA105" s="335"/>
      <c r="DB105" s="335"/>
      <c r="DC105" s="335"/>
      <c r="DD105" s="335"/>
      <c r="DE105" s="335"/>
    </row>
    <row r="106" spans="1:109" s="4" customFormat="1">
      <c r="A106" s="582"/>
      <c r="B106" s="614"/>
      <c r="C106" s="623"/>
      <c r="D106" s="617"/>
      <c r="E106" s="560"/>
      <c r="F106" s="560"/>
      <c r="G106" s="560"/>
      <c r="H106" s="335"/>
      <c r="I106" s="335"/>
      <c r="J106" s="335"/>
      <c r="K106" s="335"/>
      <c r="L106" s="335"/>
      <c r="M106" s="335"/>
      <c r="N106" s="335"/>
      <c r="O106" s="335"/>
      <c r="P106" s="335"/>
      <c r="Q106" s="335"/>
      <c r="R106" s="335"/>
      <c r="S106" s="335"/>
      <c r="T106" s="335"/>
      <c r="U106" s="335"/>
      <c r="V106" s="335"/>
      <c r="W106" s="335"/>
      <c r="X106" s="335"/>
      <c r="Y106" s="335"/>
      <c r="Z106" s="335"/>
      <c r="AA106" s="335"/>
      <c r="AB106" s="335"/>
      <c r="AC106" s="335"/>
      <c r="AD106" s="335"/>
      <c r="AE106" s="335"/>
      <c r="AF106" s="335"/>
      <c r="AG106" s="335"/>
      <c r="AH106" s="335"/>
      <c r="AI106" s="335"/>
      <c r="AJ106" s="652" t="s">
        <v>27</v>
      </c>
      <c r="AK106" s="530" t="s">
        <v>73</v>
      </c>
      <c r="AL106" s="565"/>
      <c r="AM106" s="212"/>
      <c r="AN106" s="212"/>
      <c r="AO106" s="319"/>
      <c r="AP106" s="319"/>
      <c r="AQ106" s="560"/>
      <c r="AR106" s="319"/>
      <c r="AS106" s="319"/>
      <c r="AT106" s="560"/>
      <c r="AU106" s="319"/>
      <c r="AV106" s="319"/>
      <c r="AW106" s="560"/>
      <c r="AX106" s="267"/>
      <c r="AY106" s="267"/>
      <c r="AZ106" s="267"/>
      <c r="BA106" s="267"/>
      <c r="BB106" s="267"/>
      <c r="BC106" s="267"/>
      <c r="BD106" s="267"/>
      <c r="BE106" s="267"/>
      <c r="BF106" s="267"/>
      <c r="BG106" s="267"/>
      <c r="BH106" s="267"/>
      <c r="BI106" s="267"/>
      <c r="BJ106" s="267"/>
      <c r="BK106" s="267"/>
      <c r="BL106" s="267"/>
      <c r="BM106" s="367">
        <v>14862816</v>
      </c>
      <c r="BN106" s="367"/>
      <c r="BO106" s="357">
        <v>12664501</v>
      </c>
      <c r="BP106" s="357"/>
      <c r="BQ106" s="357">
        <v>11010435</v>
      </c>
      <c r="BR106" s="357"/>
      <c r="BS106" s="405">
        <f>BO106+BQ106+BM106</f>
        <v>38537752</v>
      </c>
      <c r="BT106" s="357"/>
      <c r="BU106" s="357">
        <f>SUM(BS106:BS108)</f>
        <v>38537752</v>
      </c>
      <c r="BV106" s="357"/>
      <c r="BW106" s="357"/>
      <c r="BX106" s="357"/>
      <c r="BY106" s="357"/>
      <c r="BZ106" s="357"/>
      <c r="CA106" s="357"/>
      <c r="CB106" s="357"/>
      <c r="CC106" s="357"/>
      <c r="CD106" s="357"/>
      <c r="CE106" s="357"/>
      <c r="CF106" s="357"/>
      <c r="CG106" s="357"/>
      <c r="CH106" s="220">
        <f>SUM(BW106:CG106)</f>
        <v>0</v>
      </c>
      <c r="CI106" s="220">
        <f>CH106+BV106</f>
        <v>0</v>
      </c>
      <c r="CJ106" s="179"/>
      <c r="CK106" s="179"/>
      <c r="CL106" s="179"/>
      <c r="CM106" s="179"/>
      <c r="CN106" s="179"/>
      <c r="CO106" s="179"/>
      <c r="CP106" s="179">
        <f>SUM(CK106:CO106)</f>
        <v>0</v>
      </c>
      <c r="CQ106" s="179">
        <f>CP106+CJ106</f>
        <v>0</v>
      </c>
      <c r="CR106" s="179"/>
      <c r="CS106" s="179"/>
      <c r="CT106" s="179"/>
      <c r="CU106" s="179"/>
      <c r="CV106" s="179">
        <f>SUM(CS106:CU106)</f>
        <v>0</v>
      </c>
      <c r="CW106" s="179">
        <f>CV106+CR106</f>
        <v>0</v>
      </c>
      <c r="CX106" s="179"/>
      <c r="CY106" s="179"/>
      <c r="CZ106" s="179"/>
      <c r="DA106" s="179">
        <f>SUM(CY106:CZ106)</f>
        <v>0</v>
      </c>
      <c r="DB106" s="179">
        <f>DA106+CX106</f>
        <v>0</v>
      </c>
      <c r="DC106" s="179"/>
      <c r="DD106" s="179">
        <f>DB106+CW106+CQ106+CI106+DC106</f>
        <v>0</v>
      </c>
      <c r="DE106" s="179"/>
    </row>
    <row r="107" spans="1:109" s="4" customFormat="1">
      <c r="A107" s="582"/>
      <c r="B107" s="614"/>
      <c r="C107" s="623"/>
      <c r="D107" s="617"/>
      <c r="E107" s="560"/>
      <c r="F107" s="560"/>
      <c r="G107" s="560"/>
      <c r="H107" s="335"/>
      <c r="I107" s="335"/>
      <c r="J107" s="335"/>
      <c r="K107" s="335"/>
      <c r="L107" s="335"/>
      <c r="M107" s="335"/>
      <c r="N107" s="335"/>
      <c r="O107" s="335"/>
      <c r="P107" s="335"/>
      <c r="Q107" s="335"/>
      <c r="R107" s="335"/>
      <c r="S107" s="335"/>
      <c r="T107" s="335"/>
      <c r="U107" s="335"/>
      <c r="V107" s="335"/>
      <c r="W107" s="335"/>
      <c r="X107" s="335"/>
      <c r="Y107" s="335"/>
      <c r="Z107" s="335"/>
      <c r="AA107" s="335"/>
      <c r="AB107" s="335"/>
      <c r="AC107" s="335"/>
      <c r="AD107" s="335"/>
      <c r="AE107" s="335"/>
      <c r="AF107" s="335"/>
      <c r="AG107" s="335"/>
      <c r="AH107" s="335"/>
      <c r="AI107" s="335"/>
      <c r="AJ107" s="653"/>
      <c r="AK107" s="531"/>
      <c r="AL107" s="565"/>
      <c r="AM107" s="268"/>
      <c r="AN107" s="268"/>
      <c r="AO107" s="319"/>
      <c r="AP107" s="319"/>
      <c r="AQ107" s="560"/>
      <c r="AR107" s="319"/>
      <c r="AS107" s="319"/>
      <c r="AT107" s="560"/>
      <c r="AU107" s="319"/>
      <c r="AV107" s="319"/>
      <c r="AW107" s="560"/>
      <c r="AX107" s="269"/>
      <c r="AY107" s="270"/>
      <c r="AZ107" s="270"/>
      <c r="BA107" s="270"/>
      <c r="BB107" s="270"/>
      <c r="BC107" s="270"/>
      <c r="BD107" s="270"/>
      <c r="BE107" s="270"/>
      <c r="BF107" s="270"/>
      <c r="BG107" s="270"/>
      <c r="BH107" s="270"/>
      <c r="BI107" s="270"/>
      <c r="BJ107" s="270"/>
      <c r="BK107" s="270"/>
      <c r="BL107" s="270"/>
      <c r="BM107" s="368"/>
      <c r="BN107" s="368"/>
      <c r="BO107" s="359"/>
      <c r="BP107" s="359"/>
      <c r="BQ107" s="359"/>
      <c r="BR107" s="359"/>
      <c r="BS107" s="408"/>
      <c r="BT107" s="359"/>
      <c r="BU107" s="359"/>
      <c r="BV107" s="359"/>
      <c r="BW107" s="359"/>
      <c r="BX107" s="359"/>
      <c r="BY107" s="359"/>
      <c r="BZ107" s="359"/>
      <c r="CA107" s="359"/>
      <c r="CB107" s="359"/>
      <c r="CC107" s="359"/>
      <c r="CD107" s="359"/>
      <c r="CE107" s="359"/>
      <c r="CF107" s="359"/>
      <c r="CG107" s="359"/>
      <c r="CH107" s="26">
        <f>SUM(BW107:CG107)</f>
        <v>0</v>
      </c>
      <c r="CI107" s="26">
        <f>CH107+BV107</f>
        <v>0</v>
      </c>
      <c r="CJ107" s="179"/>
      <c r="CK107" s="179"/>
      <c r="CL107" s="179"/>
      <c r="CM107" s="179"/>
      <c r="CN107" s="179"/>
      <c r="CO107" s="179"/>
      <c r="CP107" s="26">
        <f>SUM(CK107:CO107)</f>
        <v>0</v>
      </c>
      <c r="CQ107" s="26">
        <f>CP107+CJ107</f>
        <v>0</v>
      </c>
      <c r="CR107" s="179">
        <v>45000000</v>
      </c>
      <c r="CS107" s="179"/>
      <c r="CT107" s="179"/>
      <c r="CU107" s="179"/>
      <c r="CV107" s="26">
        <f>SUM(CS107:CU107)</f>
        <v>0</v>
      </c>
      <c r="CW107" s="26">
        <f>CV107+CR107</f>
        <v>45000000</v>
      </c>
      <c r="CX107" s="179">
        <v>174000000</v>
      </c>
      <c r="CY107" s="179"/>
      <c r="CZ107" s="179">
        <v>300000000</v>
      </c>
      <c r="DA107" s="26">
        <f>SUM(CY107:CZ107)</f>
        <v>300000000</v>
      </c>
      <c r="DB107" s="26">
        <f>DA107+CX107</f>
        <v>474000000</v>
      </c>
      <c r="DC107" s="179"/>
      <c r="DD107" s="26">
        <f>DB107+CW107+CQ107+CI107+DC107</f>
        <v>519000000</v>
      </c>
      <c r="DE107" s="26"/>
    </row>
    <row r="108" spans="1:109" s="4" customFormat="1">
      <c r="A108" s="582"/>
      <c r="B108" s="614"/>
      <c r="C108" s="624"/>
      <c r="D108" s="618"/>
      <c r="E108" s="560"/>
      <c r="F108" s="560"/>
      <c r="G108" s="560"/>
      <c r="H108" s="335"/>
      <c r="I108" s="335"/>
      <c r="J108" s="335"/>
      <c r="K108" s="335"/>
      <c r="L108" s="335"/>
      <c r="M108" s="335"/>
      <c r="N108" s="335"/>
      <c r="O108" s="335"/>
      <c r="P108" s="335"/>
      <c r="Q108" s="335"/>
      <c r="R108" s="335"/>
      <c r="S108" s="335"/>
      <c r="T108" s="335"/>
      <c r="U108" s="335"/>
      <c r="V108" s="335"/>
      <c r="W108" s="335"/>
      <c r="X108" s="335"/>
      <c r="Y108" s="335"/>
      <c r="Z108" s="335"/>
      <c r="AA108" s="335"/>
      <c r="AB108" s="335"/>
      <c r="AC108" s="335"/>
      <c r="AD108" s="335"/>
      <c r="AE108" s="335"/>
      <c r="AF108" s="335"/>
      <c r="AG108" s="335"/>
      <c r="AH108" s="335"/>
      <c r="AI108" s="335"/>
      <c r="AJ108" s="654"/>
      <c r="AK108" s="532"/>
      <c r="AL108" s="566"/>
      <c r="AM108" s="271"/>
      <c r="AN108" s="271"/>
      <c r="AO108" s="319"/>
      <c r="AP108" s="319"/>
      <c r="AQ108" s="560"/>
      <c r="AR108" s="319"/>
      <c r="AS108" s="319"/>
      <c r="AT108" s="560"/>
      <c r="AU108" s="319"/>
      <c r="AV108" s="319"/>
      <c r="AW108" s="560"/>
      <c r="AX108" s="272"/>
      <c r="AY108" s="273"/>
      <c r="AZ108" s="273"/>
      <c r="BA108" s="273"/>
      <c r="BB108" s="273"/>
      <c r="BC108" s="273"/>
      <c r="BD108" s="273"/>
      <c r="BE108" s="273"/>
      <c r="BF108" s="273"/>
      <c r="BG108" s="273"/>
      <c r="BH108" s="273"/>
      <c r="BI108" s="273"/>
      <c r="BJ108" s="273"/>
      <c r="BK108" s="273"/>
      <c r="BL108" s="273"/>
      <c r="BM108" s="369"/>
      <c r="BN108" s="369"/>
      <c r="BO108" s="358"/>
      <c r="BP108" s="358"/>
      <c r="BQ108" s="358"/>
      <c r="BR108" s="358"/>
      <c r="BS108" s="406"/>
      <c r="BT108" s="358"/>
      <c r="BU108" s="358"/>
      <c r="BV108" s="358"/>
      <c r="BW108" s="358"/>
      <c r="BX108" s="358"/>
      <c r="BY108" s="358"/>
      <c r="BZ108" s="358"/>
      <c r="CA108" s="358"/>
      <c r="CB108" s="358"/>
      <c r="CC108" s="358"/>
      <c r="CD108" s="358"/>
      <c r="CE108" s="358"/>
      <c r="CF108" s="358"/>
      <c r="CG108" s="358"/>
      <c r="CH108" s="26">
        <f>SUM(BW108:CG108)</f>
        <v>0</v>
      </c>
      <c r="CI108" s="26">
        <f>CH108+BV108</f>
        <v>0</v>
      </c>
      <c r="CJ108" s="179"/>
      <c r="CK108" s="179"/>
      <c r="CL108" s="179"/>
      <c r="CM108" s="179"/>
      <c r="CN108" s="179"/>
      <c r="CO108" s="179"/>
      <c r="CP108" s="26">
        <f>SUM(CK108:CO108)</f>
        <v>0</v>
      </c>
      <c r="CQ108" s="26">
        <f>CP108+CJ108</f>
        <v>0</v>
      </c>
      <c r="CR108" s="179">
        <v>30000000</v>
      </c>
      <c r="CS108" s="179"/>
      <c r="CT108" s="179"/>
      <c r="CU108" s="179"/>
      <c r="CV108" s="26">
        <f>SUM(CS108:CU108)</f>
        <v>0</v>
      </c>
      <c r="CW108" s="26">
        <f>CV108+CR108</f>
        <v>30000000</v>
      </c>
      <c r="CX108" s="179">
        <v>20000000</v>
      </c>
      <c r="CY108" s="179"/>
      <c r="CZ108" s="179"/>
      <c r="DA108" s="26">
        <f>SUM(CY108:CZ108)</f>
        <v>0</v>
      </c>
      <c r="DB108" s="26">
        <f>DA108+CX108</f>
        <v>20000000</v>
      </c>
      <c r="DC108" s="179"/>
      <c r="DD108" s="26">
        <f>DB108+CW108+CQ108+CI108+DC108</f>
        <v>50000000</v>
      </c>
      <c r="DE108" s="26"/>
    </row>
    <row r="109" spans="1:109" s="4" customFormat="1" ht="54.75" customHeight="1">
      <c r="A109" s="582"/>
      <c r="B109" s="614"/>
      <c r="C109" s="622" t="s">
        <v>306</v>
      </c>
      <c r="D109" s="616" t="s">
        <v>307</v>
      </c>
      <c r="E109" s="619">
        <v>0.2</v>
      </c>
      <c r="F109" s="619">
        <v>0.4</v>
      </c>
      <c r="G109" s="619">
        <v>0.5</v>
      </c>
      <c r="H109" s="335"/>
      <c r="I109" s="335"/>
      <c r="J109" s="335"/>
      <c r="K109" s="335"/>
      <c r="L109" s="335"/>
      <c r="M109" s="335"/>
      <c r="N109" s="335"/>
      <c r="O109" s="335"/>
      <c r="P109" s="335"/>
      <c r="Q109" s="335"/>
      <c r="R109" s="335"/>
      <c r="S109" s="335"/>
      <c r="T109" s="335"/>
      <c r="U109" s="335"/>
      <c r="V109" s="335"/>
      <c r="W109" s="335"/>
      <c r="X109" s="335"/>
      <c r="Y109" s="335"/>
      <c r="Z109" s="335"/>
      <c r="AA109" s="335"/>
      <c r="AB109" s="335"/>
      <c r="AC109" s="335"/>
      <c r="AD109" s="335"/>
      <c r="AE109" s="335"/>
      <c r="AF109" s="335"/>
      <c r="AG109" s="335"/>
      <c r="AH109" s="335"/>
      <c r="AI109" s="335"/>
      <c r="AJ109" s="649" t="s">
        <v>27</v>
      </c>
      <c r="AK109" s="645" t="s">
        <v>70</v>
      </c>
      <c r="AL109" s="262" t="s">
        <v>308</v>
      </c>
      <c r="AM109" s="242">
        <v>41414</v>
      </c>
      <c r="AN109" s="259">
        <v>41698</v>
      </c>
      <c r="AO109" s="319">
        <f>51818052+876600</f>
        <v>52694652</v>
      </c>
      <c r="AP109" s="319">
        <v>0</v>
      </c>
      <c r="AQ109" s="560">
        <f>AO109-AP109</f>
        <v>52694652</v>
      </c>
      <c r="AR109" s="319">
        <f>51818052+876600</f>
        <v>52694652</v>
      </c>
      <c r="AS109" s="319">
        <v>0</v>
      </c>
      <c r="AT109" s="560">
        <f>AR109-AS109</f>
        <v>52694652</v>
      </c>
      <c r="AU109" s="319">
        <f>51818052+876600</f>
        <v>52694652</v>
      </c>
      <c r="AV109" s="319">
        <v>0</v>
      </c>
      <c r="AW109" s="560">
        <f>AU109-AV109</f>
        <v>52694652</v>
      </c>
      <c r="AX109" s="263"/>
      <c r="AY109" s="242"/>
      <c r="AZ109" s="242"/>
      <c r="BA109" s="242"/>
      <c r="BB109" s="242"/>
      <c r="BC109" s="242"/>
      <c r="BD109" s="242"/>
      <c r="BE109" s="242"/>
      <c r="BF109" s="242"/>
      <c r="BG109" s="242"/>
      <c r="BH109" s="242"/>
      <c r="BI109" s="242"/>
      <c r="BJ109" s="242"/>
      <c r="BK109" s="242"/>
      <c r="BL109" s="242"/>
      <c r="BM109" s="378">
        <v>4000000</v>
      </c>
      <c r="BN109" s="650"/>
      <c r="BO109" s="417"/>
      <c r="BP109" s="647"/>
      <c r="BQ109" s="417"/>
      <c r="BR109" s="647"/>
      <c r="BS109" s="376">
        <f>BO109+BQ109+BM109</f>
        <v>4000000</v>
      </c>
      <c r="BT109" s="357"/>
      <c r="BU109" s="335">
        <f>SUM(BS109:BS112)</f>
        <v>451158641</v>
      </c>
      <c r="BV109" s="335"/>
      <c r="BW109" s="335"/>
      <c r="BX109" s="335"/>
      <c r="BY109" s="335"/>
      <c r="BZ109" s="335"/>
      <c r="CA109" s="335"/>
      <c r="CB109" s="335"/>
      <c r="CC109" s="335"/>
      <c r="CD109" s="335"/>
      <c r="CE109" s="335"/>
      <c r="CF109" s="335"/>
      <c r="CG109" s="335"/>
      <c r="CH109" s="335">
        <f>SUM(BW109:CG112)</f>
        <v>0</v>
      </c>
      <c r="CI109" s="310">
        <f>CH109+BV109</f>
        <v>0</v>
      </c>
      <c r="CJ109" s="335"/>
      <c r="CK109" s="335"/>
      <c r="CL109" s="335"/>
      <c r="CM109" s="335"/>
      <c r="CN109" s="335"/>
      <c r="CO109" s="335"/>
      <c r="CP109" s="335">
        <f>SUM(CK109:CO112)</f>
        <v>0</v>
      </c>
      <c r="CQ109" s="310">
        <f>CP109+CJ109</f>
        <v>0</v>
      </c>
      <c r="CR109" s="335"/>
      <c r="CS109" s="335"/>
      <c r="CT109" s="335"/>
      <c r="CU109" s="335"/>
      <c r="CV109" s="335">
        <f>SUM(CS109:CU112)</f>
        <v>0</v>
      </c>
      <c r="CW109" s="310">
        <f>CV109+CR109</f>
        <v>0</v>
      </c>
      <c r="CX109" s="335"/>
      <c r="CY109" s="335"/>
      <c r="CZ109" s="335"/>
      <c r="DA109" s="335">
        <f>SUM(CY109:CZ112)</f>
        <v>0</v>
      </c>
      <c r="DB109" s="310">
        <f>DA109+CX109</f>
        <v>0</v>
      </c>
      <c r="DC109" s="335"/>
      <c r="DD109" s="310">
        <f>DB109+CW109+CQ109+CI109+DC109</f>
        <v>0</v>
      </c>
      <c r="DE109" s="310"/>
    </row>
    <row r="110" spans="1:109" s="4" customFormat="1" ht="48">
      <c r="A110" s="582"/>
      <c r="B110" s="614"/>
      <c r="C110" s="623"/>
      <c r="D110" s="617"/>
      <c r="E110" s="620"/>
      <c r="F110" s="620"/>
      <c r="G110" s="620"/>
      <c r="H110" s="335"/>
      <c r="I110" s="335"/>
      <c r="J110" s="335"/>
      <c r="K110" s="335"/>
      <c r="L110" s="335"/>
      <c r="M110" s="335"/>
      <c r="N110" s="335"/>
      <c r="O110" s="335"/>
      <c r="P110" s="335"/>
      <c r="Q110" s="335"/>
      <c r="R110" s="335"/>
      <c r="S110" s="335"/>
      <c r="T110" s="335"/>
      <c r="U110" s="335"/>
      <c r="V110" s="335"/>
      <c r="W110" s="335"/>
      <c r="X110" s="335"/>
      <c r="Y110" s="335"/>
      <c r="Z110" s="335"/>
      <c r="AA110" s="335"/>
      <c r="AB110" s="335"/>
      <c r="AC110" s="335"/>
      <c r="AD110" s="335"/>
      <c r="AE110" s="335"/>
      <c r="AF110" s="335"/>
      <c r="AG110" s="335"/>
      <c r="AH110" s="335"/>
      <c r="AI110" s="335"/>
      <c r="AJ110" s="649"/>
      <c r="AK110" s="645"/>
      <c r="AL110" s="262" t="s">
        <v>309</v>
      </c>
      <c r="AM110" s="242">
        <v>41764</v>
      </c>
      <c r="AN110" s="259">
        <v>41992</v>
      </c>
      <c r="AO110" s="319"/>
      <c r="AP110" s="319"/>
      <c r="AQ110" s="560"/>
      <c r="AR110" s="319"/>
      <c r="AS110" s="319"/>
      <c r="AT110" s="560"/>
      <c r="AU110" s="319"/>
      <c r="AV110" s="319"/>
      <c r="AW110" s="560"/>
      <c r="AX110" s="263"/>
      <c r="AY110" s="242"/>
      <c r="AZ110" s="242"/>
      <c r="BA110" s="242"/>
      <c r="BB110" s="242"/>
      <c r="BC110" s="242"/>
      <c r="BD110" s="242"/>
      <c r="BE110" s="242"/>
      <c r="BF110" s="242"/>
      <c r="BG110" s="242"/>
      <c r="BH110" s="242"/>
      <c r="BI110" s="242"/>
      <c r="BJ110" s="242"/>
      <c r="BK110" s="242"/>
      <c r="BL110" s="242"/>
      <c r="BM110" s="378"/>
      <c r="BN110" s="651"/>
      <c r="BO110" s="417"/>
      <c r="BP110" s="648"/>
      <c r="BQ110" s="417"/>
      <c r="BR110" s="648"/>
      <c r="BS110" s="377"/>
      <c r="BT110" s="359"/>
      <c r="BU110" s="335"/>
      <c r="BV110" s="335"/>
      <c r="BW110" s="335"/>
      <c r="BX110" s="335"/>
      <c r="BY110" s="335"/>
      <c r="BZ110" s="335"/>
      <c r="CA110" s="335"/>
      <c r="CB110" s="335"/>
      <c r="CC110" s="335"/>
      <c r="CD110" s="335"/>
      <c r="CE110" s="335"/>
      <c r="CF110" s="335"/>
      <c r="CG110" s="335"/>
      <c r="CH110" s="335"/>
      <c r="CI110" s="310"/>
      <c r="CJ110" s="335"/>
      <c r="CK110" s="335"/>
      <c r="CL110" s="335"/>
      <c r="CM110" s="335"/>
      <c r="CN110" s="335"/>
      <c r="CO110" s="335"/>
      <c r="CP110" s="335"/>
      <c r="CQ110" s="310"/>
      <c r="CR110" s="335"/>
      <c r="CS110" s="335"/>
      <c r="CT110" s="335"/>
      <c r="CU110" s="335"/>
      <c r="CV110" s="335"/>
      <c r="CW110" s="310"/>
      <c r="CX110" s="335"/>
      <c r="CY110" s="335"/>
      <c r="CZ110" s="335"/>
      <c r="DA110" s="335"/>
      <c r="DB110" s="310"/>
      <c r="DC110" s="335"/>
      <c r="DD110" s="310"/>
      <c r="DE110" s="310"/>
    </row>
    <row r="111" spans="1:109" s="4" customFormat="1" ht="48">
      <c r="A111" s="582"/>
      <c r="B111" s="614"/>
      <c r="C111" s="623"/>
      <c r="D111" s="617"/>
      <c r="E111" s="620"/>
      <c r="F111" s="620"/>
      <c r="G111" s="620"/>
      <c r="H111" s="335"/>
      <c r="I111" s="335"/>
      <c r="J111" s="335"/>
      <c r="K111" s="335"/>
      <c r="L111" s="335"/>
      <c r="M111" s="335"/>
      <c r="N111" s="335"/>
      <c r="O111" s="335"/>
      <c r="P111" s="335"/>
      <c r="Q111" s="335"/>
      <c r="R111" s="335"/>
      <c r="S111" s="335"/>
      <c r="T111" s="335"/>
      <c r="U111" s="335"/>
      <c r="V111" s="335"/>
      <c r="W111" s="335"/>
      <c r="X111" s="335"/>
      <c r="Y111" s="335"/>
      <c r="Z111" s="335"/>
      <c r="AA111" s="335"/>
      <c r="AB111" s="335"/>
      <c r="AC111" s="335"/>
      <c r="AD111" s="335"/>
      <c r="AE111" s="335"/>
      <c r="AF111" s="335"/>
      <c r="AG111" s="335"/>
      <c r="AH111" s="335"/>
      <c r="AI111" s="335"/>
      <c r="AJ111" s="649"/>
      <c r="AK111" s="645" t="s">
        <v>74</v>
      </c>
      <c r="AL111" s="262" t="s">
        <v>310</v>
      </c>
      <c r="AM111" s="242">
        <v>41913</v>
      </c>
      <c r="AN111" s="259">
        <v>42094</v>
      </c>
      <c r="AO111" s="319"/>
      <c r="AP111" s="319"/>
      <c r="AQ111" s="560"/>
      <c r="AR111" s="319"/>
      <c r="AS111" s="319"/>
      <c r="AT111" s="560"/>
      <c r="AU111" s="319"/>
      <c r="AV111" s="319"/>
      <c r="AW111" s="560"/>
      <c r="AX111" s="263"/>
      <c r="AY111" s="242"/>
      <c r="AZ111" s="242"/>
      <c r="BA111" s="242"/>
      <c r="BB111" s="242"/>
      <c r="BC111" s="242"/>
      <c r="BD111" s="242"/>
      <c r="BE111" s="242"/>
      <c r="BF111" s="242"/>
      <c r="BG111" s="242"/>
      <c r="BH111" s="242"/>
      <c r="BI111" s="242"/>
      <c r="BJ111" s="242"/>
      <c r="BK111" s="242"/>
      <c r="BL111" s="242"/>
      <c r="BM111" s="76">
        <v>10722816</v>
      </c>
      <c r="BN111" s="255"/>
      <c r="BO111" s="225">
        <v>7722816</v>
      </c>
      <c r="BP111" s="253"/>
      <c r="BQ111" s="225">
        <v>5722816</v>
      </c>
      <c r="BR111" s="253"/>
      <c r="BS111" s="74">
        <f t="shared" ref="BS111:BS118" si="8">BO111+BQ111+BM111</f>
        <v>24168448</v>
      </c>
      <c r="BT111" s="359"/>
      <c r="BU111" s="335"/>
      <c r="BV111" s="335"/>
      <c r="BW111" s="335"/>
      <c r="BX111" s="335"/>
      <c r="BY111" s="335"/>
      <c r="BZ111" s="335"/>
      <c r="CA111" s="335"/>
      <c r="CB111" s="335"/>
      <c r="CC111" s="335"/>
      <c r="CD111" s="335"/>
      <c r="CE111" s="335"/>
      <c r="CF111" s="335"/>
      <c r="CG111" s="335"/>
      <c r="CH111" s="335"/>
      <c r="CI111" s="310"/>
      <c r="CJ111" s="335"/>
      <c r="CK111" s="335"/>
      <c r="CL111" s="335"/>
      <c r="CM111" s="335"/>
      <c r="CN111" s="335"/>
      <c r="CO111" s="335"/>
      <c r="CP111" s="335"/>
      <c r="CQ111" s="310"/>
      <c r="CR111" s="335"/>
      <c r="CS111" s="335"/>
      <c r="CT111" s="335"/>
      <c r="CU111" s="335"/>
      <c r="CV111" s="335"/>
      <c r="CW111" s="310"/>
      <c r="CX111" s="335"/>
      <c r="CY111" s="335"/>
      <c r="CZ111" s="335"/>
      <c r="DA111" s="335"/>
      <c r="DB111" s="310"/>
      <c r="DC111" s="335"/>
      <c r="DD111" s="310"/>
      <c r="DE111" s="310"/>
    </row>
    <row r="112" spans="1:109" s="4" customFormat="1" ht="24">
      <c r="A112" s="582"/>
      <c r="B112" s="614"/>
      <c r="C112" s="623"/>
      <c r="D112" s="618"/>
      <c r="E112" s="621"/>
      <c r="F112" s="621"/>
      <c r="G112" s="621"/>
      <c r="H112" s="335"/>
      <c r="I112" s="335"/>
      <c r="J112" s="335"/>
      <c r="K112" s="335"/>
      <c r="L112" s="335"/>
      <c r="M112" s="335"/>
      <c r="N112" s="335"/>
      <c r="O112" s="335"/>
      <c r="P112" s="335"/>
      <c r="Q112" s="335"/>
      <c r="R112" s="335"/>
      <c r="S112" s="335"/>
      <c r="T112" s="335"/>
      <c r="U112" s="335"/>
      <c r="V112" s="335"/>
      <c r="W112" s="335"/>
      <c r="X112" s="335"/>
      <c r="Y112" s="335"/>
      <c r="Z112" s="335"/>
      <c r="AA112" s="335"/>
      <c r="AB112" s="335"/>
      <c r="AC112" s="335"/>
      <c r="AD112" s="335"/>
      <c r="AE112" s="335"/>
      <c r="AF112" s="335"/>
      <c r="AG112" s="335"/>
      <c r="AH112" s="335"/>
      <c r="AI112" s="335"/>
      <c r="AJ112" s="649"/>
      <c r="AK112" s="645"/>
      <c r="AL112" s="262" t="s">
        <v>311</v>
      </c>
      <c r="AM112" s="242">
        <v>42023</v>
      </c>
      <c r="AN112" s="259">
        <v>42338</v>
      </c>
      <c r="AO112" s="319"/>
      <c r="AP112" s="319"/>
      <c r="AQ112" s="560"/>
      <c r="AR112" s="319"/>
      <c r="AS112" s="319"/>
      <c r="AT112" s="560"/>
      <c r="AU112" s="319"/>
      <c r="AV112" s="319"/>
      <c r="AW112" s="560"/>
      <c r="AX112" s="263"/>
      <c r="AY112" s="242"/>
      <c r="AZ112" s="242"/>
      <c r="BA112" s="242"/>
      <c r="BB112" s="242"/>
      <c r="BC112" s="242"/>
      <c r="BD112" s="242"/>
      <c r="BE112" s="242"/>
      <c r="BF112" s="242"/>
      <c r="BG112" s="242"/>
      <c r="BH112" s="242"/>
      <c r="BI112" s="242"/>
      <c r="BJ112" s="242"/>
      <c r="BK112" s="242"/>
      <c r="BL112" s="242"/>
      <c r="BM112" s="76">
        <v>189655077</v>
      </c>
      <c r="BN112" s="255"/>
      <c r="BO112" s="225">
        <v>124757491</v>
      </c>
      <c r="BP112" s="253"/>
      <c r="BQ112" s="225">
        <v>108577625</v>
      </c>
      <c r="BR112" s="253"/>
      <c r="BS112" s="74">
        <f t="shared" si="8"/>
        <v>422990193</v>
      </c>
      <c r="BT112" s="358"/>
      <c r="BU112" s="335"/>
      <c r="BV112" s="335"/>
      <c r="BW112" s="335"/>
      <c r="BX112" s="335"/>
      <c r="BY112" s="335"/>
      <c r="BZ112" s="335"/>
      <c r="CA112" s="335"/>
      <c r="CB112" s="335"/>
      <c r="CC112" s="335"/>
      <c r="CD112" s="335"/>
      <c r="CE112" s="335"/>
      <c r="CF112" s="335"/>
      <c r="CG112" s="335"/>
      <c r="CH112" s="335"/>
      <c r="CI112" s="310"/>
      <c r="CJ112" s="335"/>
      <c r="CK112" s="335"/>
      <c r="CL112" s="335"/>
      <c r="CM112" s="335"/>
      <c r="CN112" s="335"/>
      <c r="CO112" s="335"/>
      <c r="CP112" s="335"/>
      <c r="CQ112" s="310"/>
      <c r="CR112" s="335"/>
      <c r="CS112" s="335"/>
      <c r="CT112" s="335"/>
      <c r="CU112" s="335"/>
      <c r="CV112" s="335"/>
      <c r="CW112" s="310"/>
      <c r="CX112" s="335"/>
      <c r="CY112" s="335"/>
      <c r="CZ112" s="335"/>
      <c r="DA112" s="335"/>
      <c r="DB112" s="310"/>
      <c r="DC112" s="335"/>
      <c r="DD112" s="310"/>
      <c r="DE112" s="310"/>
    </row>
    <row r="113" spans="1:109" s="8" customFormat="1" ht="168">
      <c r="A113" s="582"/>
      <c r="B113" s="614"/>
      <c r="C113" s="623"/>
      <c r="D113" s="573" t="s">
        <v>312</v>
      </c>
      <c r="E113" s="557">
        <v>0.2</v>
      </c>
      <c r="F113" s="557">
        <v>0.6</v>
      </c>
      <c r="G113" s="557">
        <v>0.2</v>
      </c>
      <c r="H113" s="335"/>
      <c r="I113" s="335"/>
      <c r="J113" s="335"/>
      <c r="K113" s="335"/>
      <c r="L113" s="335"/>
      <c r="M113" s="335"/>
      <c r="N113" s="335"/>
      <c r="O113" s="335"/>
      <c r="P113" s="335"/>
      <c r="Q113" s="335"/>
      <c r="R113" s="335"/>
      <c r="S113" s="335"/>
      <c r="T113" s="335"/>
      <c r="U113" s="335"/>
      <c r="V113" s="335"/>
      <c r="W113" s="335"/>
      <c r="X113" s="335"/>
      <c r="Y113" s="335"/>
      <c r="Z113" s="335"/>
      <c r="AA113" s="335"/>
      <c r="AB113" s="335"/>
      <c r="AC113" s="335"/>
      <c r="AD113" s="335"/>
      <c r="AE113" s="335"/>
      <c r="AF113" s="335"/>
      <c r="AG113" s="335"/>
      <c r="AH113" s="335"/>
      <c r="AI113" s="335"/>
      <c r="AJ113" s="619" t="s">
        <v>59</v>
      </c>
      <c r="AK113" s="80" t="s">
        <v>41</v>
      </c>
      <c r="AL113" s="246" t="s">
        <v>313</v>
      </c>
      <c r="AM113" s="80">
        <v>41426</v>
      </c>
      <c r="AN113" s="250">
        <v>41729</v>
      </c>
      <c r="AO113" s="319">
        <f>42345368+2000000+876600</f>
        <v>45221968</v>
      </c>
      <c r="AP113" s="319">
        <v>7800000</v>
      </c>
      <c r="AQ113" s="560">
        <f>AO113-AP113</f>
        <v>37421968</v>
      </c>
      <c r="AR113" s="319">
        <f>42345368+2000000+876600</f>
        <v>45221968</v>
      </c>
      <c r="AS113" s="319">
        <v>7800000</v>
      </c>
      <c r="AT113" s="560">
        <f>AR113-AS113</f>
        <v>37421968</v>
      </c>
      <c r="AU113" s="319">
        <f>42345368+2000000+876600</f>
        <v>45221968</v>
      </c>
      <c r="AV113" s="319">
        <v>7800000</v>
      </c>
      <c r="AW113" s="560">
        <f>AU113-AV113</f>
        <v>37421968</v>
      </c>
      <c r="AX113" s="249"/>
      <c r="AY113" s="80"/>
      <c r="AZ113" s="80"/>
      <c r="BA113" s="80"/>
      <c r="BB113" s="80"/>
      <c r="BC113" s="80"/>
      <c r="BD113" s="80"/>
      <c r="BE113" s="80"/>
      <c r="BF113" s="80"/>
      <c r="BG113" s="80"/>
      <c r="BH113" s="80"/>
      <c r="BI113" s="80"/>
      <c r="BJ113" s="80"/>
      <c r="BK113" s="80"/>
      <c r="BL113" s="80"/>
      <c r="BM113" s="76">
        <v>9445632</v>
      </c>
      <c r="BN113" s="146"/>
      <c r="BO113" s="274"/>
      <c r="BP113" s="85"/>
      <c r="BQ113" s="274"/>
      <c r="BR113" s="80"/>
      <c r="BS113" s="74">
        <f t="shared" si="8"/>
        <v>9445632</v>
      </c>
      <c r="BT113" s="357"/>
      <c r="BU113" s="335">
        <f>SUM(BS113:BS115)</f>
        <v>233639390</v>
      </c>
      <c r="BV113" s="335"/>
      <c r="BW113" s="335"/>
      <c r="BX113" s="335"/>
      <c r="BY113" s="335"/>
      <c r="BZ113" s="335"/>
      <c r="CA113" s="335"/>
      <c r="CB113" s="335"/>
      <c r="CC113" s="335"/>
      <c r="CD113" s="335"/>
      <c r="CE113" s="335"/>
      <c r="CF113" s="335"/>
      <c r="CG113" s="335"/>
      <c r="CH113" s="335">
        <f>SUM(BW113:CG115)</f>
        <v>0</v>
      </c>
      <c r="CI113" s="335">
        <f>CH113+BV113</f>
        <v>0</v>
      </c>
      <c r="CJ113" s="335"/>
      <c r="CK113" s="335"/>
      <c r="CL113" s="335"/>
      <c r="CM113" s="335"/>
      <c r="CN113" s="335"/>
      <c r="CO113" s="335"/>
      <c r="CP113" s="335">
        <f>SUM(CK113:CO115)</f>
        <v>0</v>
      </c>
      <c r="CQ113" s="335">
        <f>CP113+CJ113</f>
        <v>0</v>
      </c>
      <c r="CR113" s="335"/>
      <c r="CS113" s="335"/>
      <c r="CT113" s="335"/>
      <c r="CU113" s="335"/>
      <c r="CV113" s="335">
        <f>SUM(CS113:CU115)</f>
        <v>0</v>
      </c>
      <c r="CW113" s="335">
        <f>CV113+CR113</f>
        <v>0</v>
      </c>
      <c r="CX113" s="335"/>
      <c r="CY113" s="335"/>
      <c r="CZ113" s="335"/>
      <c r="DA113" s="335">
        <f>SUM(CY113:CZ115)</f>
        <v>0</v>
      </c>
      <c r="DB113" s="335">
        <f>DA113+CX113</f>
        <v>0</v>
      </c>
      <c r="DC113" s="335"/>
      <c r="DD113" s="335">
        <f>DB113+CW113+CQ113+CI113+DC113</f>
        <v>0</v>
      </c>
      <c r="DE113" s="335"/>
    </row>
    <row r="114" spans="1:109" s="4" customFormat="1" ht="36">
      <c r="A114" s="582"/>
      <c r="B114" s="614"/>
      <c r="C114" s="623"/>
      <c r="D114" s="584"/>
      <c r="E114" s="558"/>
      <c r="F114" s="558"/>
      <c r="G114" s="558"/>
      <c r="H114" s="335"/>
      <c r="I114" s="335"/>
      <c r="J114" s="335"/>
      <c r="K114" s="335"/>
      <c r="L114" s="335"/>
      <c r="M114" s="335"/>
      <c r="N114" s="335"/>
      <c r="O114" s="335"/>
      <c r="P114" s="335"/>
      <c r="Q114" s="335"/>
      <c r="R114" s="335"/>
      <c r="S114" s="335"/>
      <c r="T114" s="335"/>
      <c r="U114" s="335"/>
      <c r="V114" s="335"/>
      <c r="W114" s="335"/>
      <c r="X114" s="335"/>
      <c r="Y114" s="335"/>
      <c r="Z114" s="335"/>
      <c r="AA114" s="335"/>
      <c r="AB114" s="335"/>
      <c r="AC114" s="335"/>
      <c r="AD114" s="335"/>
      <c r="AE114" s="335"/>
      <c r="AF114" s="335"/>
      <c r="AG114" s="335"/>
      <c r="AH114" s="335"/>
      <c r="AI114" s="335"/>
      <c r="AJ114" s="620"/>
      <c r="AK114" s="645" t="s">
        <v>75</v>
      </c>
      <c r="AL114" s="262" t="s">
        <v>314</v>
      </c>
      <c r="AM114" s="242">
        <v>41760</v>
      </c>
      <c r="AN114" s="259">
        <v>41971</v>
      </c>
      <c r="AO114" s="319"/>
      <c r="AP114" s="319"/>
      <c r="AQ114" s="560"/>
      <c r="AR114" s="319"/>
      <c r="AS114" s="319"/>
      <c r="AT114" s="560"/>
      <c r="AU114" s="319"/>
      <c r="AV114" s="319"/>
      <c r="AW114" s="560"/>
      <c r="AX114" s="263"/>
      <c r="AY114" s="242"/>
      <c r="AZ114" s="242"/>
      <c r="BA114" s="242"/>
      <c r="BB114" s="242"/>
      <c r="BC114" s="242"/>
      <c r="BD114" s="242"/>
      <c r="BE114" s="242"/>
      <c r="BF114" s="242"/>
      <c r="BG114" s="242"/>
      <c r="BH114" s="242"/>
      <c r="BI114" s="242"/>
      <c r="BJ114" s="242"/>
      <c r="BK114" s="242"/>
      <c r="BL114" s="242"/>
      <c r="BM114" s="76">
        <v>15000000</v>
      </c>
      <c r="BN114" s="146"/>
      <c r="BO114" s="229"/>
      <c r="BP114" s="84"/>
      <c r="BQ114" s="229"/>
      <c r="BR114" s="242"/>
      <c r="BS114" s="74">
        <f t="shared" si="8"/>
        <v>15000000</v>
      </c>
      <c r="BT114" s="359"/>
      <c r="BU114" s="335"/>
      <c r="BV114" s="335"/>
      <c r="BW114" s="335"/>
      <c r="BX114" s="335"/>
      <c r="BY114" s="335"/>
      <c r="BZ114" s="335"/>
      <c r="CA114" s="335"/>
      <c r="CB114" s="335"/>
      <c r="CC114" s="335"/>
      <c r="CD114" s="335"/>
      <c r="CE114" s="335"/>
      <c r="CF114" s="335"/>
      <c r="CG114" s="335"/>
      <c r="CH114" s="335"/>
      <c r="CI114" s="335"/>
      <c r="CJ114" s="335"/>
      <c r="CK114" s="335"/>
      <c r="CL114" s="335"/>
      <c r="CM114" s="335"/>
      <c r="CN114" s="335"/>
      <c r="CO114" s="335"/>
      <c r="CP114" s="335"/>
      <c r="CQ114" s="335"/>
      <c r="CR114" s="335"/>
      <c r="CS114" s="335"/>
      <c r="CT114" s="335"/>
      <c r="CU114" s="335"/>
      <c r="CV114" s="335"/>
      <c r="CW114" s="335"/>
      <c r="CX114" s="335"/>
      <c r="CY114" s="335"/>
      <c r="CZ114" s="335"/>
      <c r="DA114" s="335"/>
      <c r="DB114" s="335"/>
      <c r="DC114" s="335"/>
      <c r="DD114" s="335"/>
      <c r="DE114" s="335"/>
    </row>
    <row r="115" spans="1:109" s="4" customFormat="1" ht="24">
      <c r="A115" s="582"/>
      <c r="B115" s="614"/>
      <c r="C115" s="623"/>
      <c r="D115" s="574"/>
      <c r="E115" s="559"/>
      <c r="F115" s="559"/>
      <c r="G115" s="559"/>
      <c r="H115" s="335"/>
      <c r="I115" s="335"/>
      <c r="J115" s="335"/>
      <c r="K115" s="335"/>
      <c r="L115" s="335"/>
      <c r="M115" s="335"/>
      <c r="N115" s="335"/>
      <c r="O115" s="335"/>
      <c r="P115" s="335"/>
      <c r="Q115" s="335"/>
      <c r="R115" s="335"/>
      <c r="S115" s="335"/>
      <c r="T115" s="335"/>
      <c r="U115" s="335"/>
      <c r="V115" s="335"/>
      <c r="W115" s="335"/>
      <c r="X115" s="335"/>
      <c r="Y115" s="335"/>
      <c r="Z115" s="335"/>
      <c r="AA115" s="335"/>
      <c r="AB115" s="335"/>
      <c r="AC115" s="335"/>
      <c r="AD115" s="335"/>
      <c r="AE115" s="335"/>
      <c r="AF115" s="335"/>
      <c r="AG115" s="335"/>
      <c r="AH115" s="335"/>
      <c r="AI115" s="335"/>
      <c r="AJ115" s="621"/>
      <c r="AK115" s="645"/>
      <c r="AL115" s="262" t="s">
        <v>315</v>
      </c>
      <c r="AM115" s="242">
        <v>41852</v>
      </c>
      <c r="AN115" s="259">
        <v>42338</v>
      </c>
      <c r="AO115" s="319"/>
      <c r="AP115" s="319"/>
      <c r="AQ115" s="560"/>
      <c r="AR115" s="319"/>
      <c r="AS115" s="319"/>
      <c r="AT115" s="560"/>
      <c r="AU115" s="319"/>
      <c r="AV115" s="319"/>
      <c r="AW115" s="560"/>
      <c r="AX115" s="263"/>
      <c r="AY115" s="242"/>
      <c r="AZ115" s="242"/>
      <c r="BA115" s="242"/>
      <c r="BB115" s="242"/>
      <c r="BC115" s="242"/>
      <c r="BD115" s="242"/>
      <c r="BE115" s="242"/>
      <c r="BF115" s="242"/>
      <c r="BG115" s="242"/>
      <c r="BH115" s="242"/>
      <c r="BI115" s="242"/>
      <c r="BJ115" s="242"/>
      <c r="BK115" s="242"/>
      <c r="BL115" s="242"/>
      <c r="BM115" s="76">
        <v>104193758</v>
      </c>
      <c r="BN115" s="146"/>
      <c r="BO115" s="229">
        <v>65000000</v>
      </c>
      <c r="BP115" s="84"/>
      <c r="BQ115" s="229">
        <v>40000000</v>
      </c>
      <c r="BR115" s="242"/>
      <c r="BS115" s="74">
        <f t="shared" si="8"/>
        <v>209193758</v>
      </c>
      <c r="BT115" s="358"/>
      <c r="BU115" s="335"/>
      <c r="BV115" s="335"/>
      <c r="BW115" s="335"/>
      <c r="BX115" s="335"/>
      <c r="BY115" s="335"/>
      <c r="BZ115" s="335"/>
      <c r="CA115" s="335"/>
      <c r="CB115" s="335"/>
      <c r="CC115" s="335"/>
      <c r="CD115" s="335"/>
      <c r="CE115" s="335"/>
      <c r="CF115" s="335"/>
      <c r="CG115" s="335"/>
      <c r="CH115" s="335"/>
      <c r="CI115" s="335"/>
      <c r="CJ115" s="335"/>
      <c r="CK115" s="335"/>
      <c r="CL115" s="335"/>
      <c r="CM115" s="335"/>
      <c r="CN115" s="335"/>
      <c r="CO115" s="335"/>
      <c r="CP115" s="335"/>
      <c r="CQ115" s="335"/>
      <c r="CR115" s="335"/>
      <c r="CS115" s="335"/>
      <c r="CT115" s="335"/>
      <c r="CU115" s="335"/>
      <c r="CV115" s="335"/>
      <c r="CW115" s="335"/>
      <c r="CX115" s="335"/>
      <c r="CY115" s="335"/>
      <c r="CZ115" s="335"/>
      <c r="DA115" s="335"/>
      <c r="DB115" s="335"/>
      <c r="DC115" s="335"/>
      <c r="DD115" s="335"/>
      <c r="DE115" s="335"/>
    </row>
    <row r="116" spans="1:109" s="4" customFormat="1" ht="66" customHeight="1">
      <c r="A116" s="582"/>
      <c r="B116" s="614"/>
      <c r="C116" s="623"/>
      <c r="D116" s="573" t="s">
        <v>229</v>
      </c>
      <c r="E116" s="557">
        <v>0.28000000000000003</v>
      </c>
      <c r="F116" s="625">
        <v>0.33</v>
      </c>
      <c r="G116" s="557">
        <v>0.39</v>
      </c>
      <c r="H116" s="340"/>
      <c r="I116" s="340"/>
      <c r="J116" s="340"/>
      <c r="K116" s="340"/>
      <c r="L116" s="340"/>
      <c r="M116" s="340"/>
      <c r="N116" s="340"/>
      <c r="O116" s="340"/>
      <c r="P116" s="340"/>
      <c r="Q116" s="340"/>
      <c r="R116" s="340"/>
      <c r="S116" s="340"/>
      <c r="T116" s="340"/>
      <c r="U116" s="340"/>
      <c r="V116" s="340"/>
      <c r="W116" s="340"/>
      <c r="X116" s="340"/>
      <c r="Y116" s="340"/>
      <c r="Z116" s="340"/>
      <c r="AA116" s="340"/>
      <c r="AB116" s="340"/>
      <c r="AC116" s="340"/>
      <c r="AD116" s="340"/>
      <c r="AE116" s="340"/>
      <c r="AF116" s="340"/>
      <c r="AG116" s="340"/>
      <c r="AH116" s="340"/>
      <c r="AI116" s="340"/>
      <c r="AJ116" s="619" t="s">
        <v>42</v>
      </c>
      <c r="AK116" s="227" t="s">
        <v>176</v>
      </c>
      <c r="AL116" s="248" t="s">
        <v>316</v>
      </c>
      <c r="AM116" s="80">
        <v>41414</v>
      </c>
      <c r="AN116" s="250">
        <v>41628</v>
      </c>
      <c r="AO116" s="319">
        <f>130000000+876600</f>
        <v>130876600</v>
      </c>
      <c r="AP116" s="319">
        <v>9000000</v>
      </c>
      <c r="AQ116" s="560">
        <f>AO116-AP116</f>
        <v>121876600</v>
      </c>
      <c r="AR116" s="319">
        <f>130000000+876600</f>
        <v>130876600</v>
      </c>
      <c r="AS116" s="319">
        <v>9000000</v>
      </c>
      <c r="AT116" s="560">
        <f>AR116-AS116</f>
        <v>121876600</v>
      </c>
      <c r="AU116" s="319">
        <f>130000000+876600</f>
        <v>130876600</v>
      </c>
      <c r="AV116" s="319">
        <v>9000000</v>
      </c>
      <c r="AW116" s="560">
        <f>AU116-AV116</f>
        <v>121876600</v>
      </c>
      <c r="AX116" s="249"/>
      <c r="AY116" s="80"/>
      <c r="AZ116" s="80"/>
      <c r="BA116" s="80"/>
      <c r="BB116" s="80"/>
      <c r="BC116" s="80"/>
      <c r="BD116" s="80"/>
      <c r="BE116" s="80"/>
      <c r="BF116" s="80"/>
      <c r="BG116" s="80"/>
      <c r="BH116" s="80"/>
      <c r="BI116" s="80"/>
      <c r="BJ116" s="80"/>
      <c r="BK116" s="80"/>
      <c r="BL116" s="80"/>
      <c r="BM116" s="76">
        <f>217000000+80000000</f>
        <v>297000000</v>
      </c>
      <c r="BN116" s="146"/>
      <c r="BO116" s="229">
        <f>87000000+40000000</f>
        <v>127000000</v>
      </c>
      <c r="BP116" s="84"/>
      <c r="BQ116" s="225">
        <v>0</v>
      </c>
      <c r="BR116" s="242"/>
      <c r="BS116" s="74">
        <f t="shared" si="8"/>
        <v>424000000</v>
      </c>
      <c r="BT116" s="430"/>
      <c r="BU116" s="340">
        <f>SUM(BS116:BS117)</f>
        <v>437946951</v>
      </c>
      <c r="BV116" s="340"/>
      <c r="BW116" s="340"/>
      <c r="BX116" s="340"/>
      <c r="BY116" s="340"/>
      <c r="BZ116" s="340"/>
      <c r="CA116" s="340"/>
      <c r="CB116" s="340"/>
      <c r="CC116" s="340"/>
      <c r="CD116" s="340"/>
      <c r="CE116" s="340"/>
      <c r="CF116" s="340"/>
      <c r="CG116" s="340"/>
      <c r="CH116" s="340">
        <f>SUM(BW116:CG117)</f>
        <v>0</v>
      </c>
      <c r="CI116" s="340">
        <f>CH116+BV116</f>
        <v>0</v>
      </c>
      <c r="CJ116" s="340"/>
      <c r="CK116" s="340"/>
      <c r="CL116" s="340"/>
      <c r="CM116" s="340"/>
      <c r="CN116" s="340"/>
      <c r="CO116" s="340"/>
      <c r="CP116" s="340">
        <f>SUM(CK116:CO117)</f>
        <v>0</v>
      </c>
      <c r="CQ116" s="340">
        <f>CP116+CJ116</f>
        <v>0</v>
      </c>
      <c r="CR116" s="340"/>
      <c r="CS116" s="340"/>
      <c r="CT116" s="340"/>
      <c r="CU116" s="340"/>
      <c r="CV116" s="340">
        <f>SUM(CS116:CU117)</f>
        <v>0</v>
      </c>
      <c r="CW116" s="340">
        <f>CV116+CR116</f>
        <v>0</v>
      </c>
      <c r="CX116" s="340"/>
      <c r="CY116" s="340"/>
      <c r="CZ116" s="340"/>
      <c r="DA116" s="340">
        <f>SUM(CY116:CZ117)</f>
        <v>0</v>
      </c>
      <c r="DB116" s="340">
        <f>DA116+CX116</f>
        <v>0</v>
      </c>
      <c r="DC116" s="340"/>
      <c r="DD116" s="340">
        <f>DB116+CW116+CQ116+CI116+DC116</f>
        <v>0</v>
      </c>
      <c r="DE116" s="340"/>
    </row>
    <row r="117" spans="1:109" s="4" customFormat="1" ht="60">
      <c r="A117" s="582"/>
      <c r="B117" s="614"/>
      <c r="C117" s="624"/>
      <c r="D117" s="574"/>
      <c r="E117" s="559"/>
      <c r="F117" s="626"/>
      <c r="G117" s="559"/>
      <c r="H117" s="340"/>
      <c r="I117" s="340"/>
      <c r="J117" s="340"/>
      <c r="K117" s="340"/>
      <c r="L117" s="340"/>
      <c r="M117" s="340"/>
      <c r="N117" s="340"/>
      <c r="O117" s="340"/>
      <c r="P117" s="340"/>
      <c r="Q117" s="340"/>
      <c r="R117" s="340"/>
      <c r="S117" s="340"/>
      <c r="T117" s="340"/>
      <c r="U117" s="340"/>
      <c r="V117" s="340"/>
      <c r="W117" s="340"/>
      <c r="X117" s="340"/>
      <c r="Y117" s="340"/>
      <c r="Z117" s="340"/>
      <c r="AA117" s="340"/>
      <c r="AB117" s="340"/>
      <c r="AC117" s="340"/>
      <c r="AD117" s="340"/>
      <c r="AE117" s="340"/>
      <c r="AF117" s="340"/>
      <c r="AG117" s="340"/>
      <c r="AH117" s="340"/>
      <c r="AI117" s="340"/>
      <c r="AJ117" s="620"/>
      <c r="AK117" s="275" t="s">
        <v>177</v>
      </c>
      <c r="AL117" s="248" t="s">
        <v>317</v>
      </c>
      <c r="AM117" s="80">
        <v>41487</v>
      </c>
      <c r="AN117" s="250">
        <v>41628</v>
      </c>
      <c r="AO117" s="319"/>
      <c r="AP117" s="319"/>
      <c r="AQ117" s="560"/>
      <c r="AR117" s="319"/>
      <c r="AS117" s="319"/>
      <c r="AT117" s="560"/>
      <c r="AU117" s="319"/>
      <c r="AV117" s="319"/>
      <c r="AW117" s="560"/>
      <c r="AX117" s="249"/>
      <c r="AY117" s="80"/>
      <c r="AZ117" s="80"/>
      <c r="BA117" s="80"/>
      <c r="BB117" s="80"/>
      <c r="BC117" s="80"/>
      <c r="BD117" s="80"/>
      <c r="BE117" s="80"/>
      <c r="BF117" s="80"/>
      <c r="BG117" s="80"/>
      <c r="BH117" s="80"/>
      <c r="BI117" s="80"/>
      <c r="BJ117" s="80"/>
      <c r="BK117" s="80"/>
      <c r="BL117" s="80"/>
      <c r="BM117" s="76">
        <v>8946951</v>
      </c>
      <c r="BN117" s="146"/>
      <c r="BO117" s="229">
        <v>5000000</v>
      </c>
      <c r="BP117" s="84"/>
      <c r="BQ117" s="225">
        <v>0</v>
      </c>
      <c r="BR117" s="242"/>
      <c r="BS117" s="74">
        <f t="shared" si="8"/>
        <v>13946951</v>
      </c>
      <c r="BT117" s="432"/>
      <c r="BU117" s="340"/>
      <c r="BV117" s="340"/>
      <c r="BW117" s="340"/>
      <c r="BX117" s="340"/>
      <c r="BY117" s="340"/>
      <c r="BZ117" s="340"/>
      <c r="CA117" s="340"/>
      <c r="CB117" s="340"/>
      <c r="CC117" s="340"/>
      <c r="CD117" s="340"/>
      <c r="CE117" s="340"/>
      <c r="CF117" s="340"/>
      <c r="CG117" s="340"/>
      <c r="CH117" s="340"/>
      <c r="CI117" s="340"/>
      <c r="CJ117" s="340"/>
      <c r="CK117" s="340"/>
      <c r="CL117" s="340"/>
      <c r="CM117" s="340"/>
      <c r="CN117" s="340"/>
      <c r="CO117" s="340"/>
      <c r="CP117" s="340"/>
      <c r="CQ117" s="340"/>
      <c r="CR117" s="340"/>
      <c r="CS117" s="340"/>
      <c r="CT117" s="340"/>
      <c r="CU117" s="340"/>
      <c r="CV117" s="340"/>
      <c r="CW117" s="340"/>
      <c r="CX117" s="340"/>
      <c r="CY117" s="340"/>
      <c r="CZ117" s="340"/>
      <c r="DA117" s="340"/>
      <c r="DB117" s="340"/>
      <c r="DC117" s="340"/>
      <c r="DD117" s="340"/>
      <c r="DE117" s="340"/>
    </row>
    <row r="118" spans="1:109" s="4" customFormat="1" ht="66" customHeight="1">
      <c r="A118" s="582"/>
      <c r="B118" s="614"/>
      <c r="C118" s="622" t="s">
        <v>230</v>
      </c>
      <c r="D118" s="573" t="s">
        <v>231</v>
      </c>
      <c r="E118" s="557">
        <v>0.25</v>
      </c>
      <c r="F118" s="557">
        <v>0.45</v>
      </c>
      <c r="G118" s="557">
        <v>0.3</v>
      </c>
      <c r="H118" s="340"/>
      <c r="I118" s="340"/>
      <c r="J118" s="340"/>
      <c r="K118" s="340"/>
      <c r="L118" s="340"/>
      <c r="M118" s="340"/>
      <c r="N118" s="340"/>
      <c r="O118" s="340"/>
      <c r="P118" s="340"/>
      <c r="Q118" s="340"/>
      <c r="R118" s="340"/>
      <c r="S118" s="340"/>
      <c r="T118" s="340"/>
      <c r="U118" s="340"/>
      <c r="V118" s="340"/>
      <c r="W118" s="340"/>
      <c r="X118" s="340"/>
      <c r="Y118" s="340"/>
      <c r="Z118" s="340"/>
      <c r="AA118" s="340"/>
      <c r="AB118" s="340"/>
      <c r="AC118" s="340"/>
      <c r="AD118" s="340"/>
      <c r="AE118" s="340"/>
      <c r="AF118" s="340"/>
      <c r="AG118" s="340"/>
      <c r="AH118" s="340"/>
      <c r="AI118" s="340"/>
      <c r="AJ118" s="646" t="s">
        <v>60</v>
      </c>
      <c r="AK118" s="530" t="s">
        <v>178</v>
      </c>
      <c r="AL118" s="248" t="s">
        <v>318</v>
      </c>
      <c r="AM118" s="80">
        <v>41414</v>
      </c>
      <c r="AN118" s="250">
        <v>41639</v>
      </c>
      <c r="AO118" s="319">
        <f>34949368+876600+40320000</f>
        <v>76145968</v>
      </c>
      <c r="AP118" s="319">
        <f>1051000+34075201</f>
        <v>35126201</v>
      </c>
      <c r="AQ118" s="560">
        <f>AO118-AP118</f>
        <v>41019767</v>
      </c>
      <c r="AR118" s="319">
        <f>34949368+876600+40320000</f>
        <v>76145968</v>
      </c>
      <c r="AS118" s="319">
        <f>1051000+34075201</f>
        <v>35126201</v>
      </c>
      <c r="AT118" s="560">
        <f>AR118-AS118</f>
        <v>41019767</v>
      </c>
      <c r="AU118" s="319">
        <f>34949368+876600+40320000</f>
        <v>76145968</v>
      </c>
      <c r="AV118" s="319">
        <f>1051000+34075201</f>
        <v>35126201</v>
      </c>
      <c r="AW118" s="560">
        <f>AU118-AV118</f>
        <v>41019767</v>
      </c>
      <c r="AX118" s="249"/>
      <c r="AY118" s="80"/>
      <c r="AZ118" s="80"/>
      <c r="BA118" s="80"/>
      <c r="BB118" s="80"/>
      <c r="BC118" s="80"/>
      <c r="BD118" s="80"/>
      <c r="BE118" s="80"/>
      <c r="BF118" s="80"/>
      <c r="BG118" s="80"/>
      <c r="BH118" s="80"/>
      <c r="BI118" s="80"/>
      <c r="BJ118" s="80"/>
      <c r="BK118" s="80"/>
      <c r="BL118" s="80"/>
      <c r="BM118" s="378">
        <v>15961360</v>
      </c>
      <c r="BN118" s="255"/>
      <c r="BO118" s="429">
        <v>9445632</v>
      </c>
      <c r="BP118" s="253"/>
      <c r="BQ118" s="429">
        <v>9445632</v>
      </c>
      <c r="BR118" s="253"/>
      <c r="BS118" s="376">
        <f t="shared" si="8"/>
        <v>34852624</v>
      </c>
      <c r="BT118" s="430"/>
      <c r="BU118" s="340">
        <f>SUM(BS118:BS120)</f>
        <v>219852624</v>
      </c>
      <c r="BV118" s="340"/>
      <c r="BW118" s="340"/>
      <c r="BX118" s="340"/>
      <c r="BY118" s="340"/>
      <c r="BZ118" s="340"/>
      <c r="CA118" s="340"/>
      <c r="CB118" s="340"/>
      <c r="CC118" s="340"/>
      <c r="CD118" s="340"/>
      <c r="CE118" s="340"/>
      <c r="CF118" s="340"/>
      <c r="CG118" s="340"/>
      <c r="CH118" s="310">
        <f>SUM(BW118:CG120)</f>
        <v>0</v>
      </c>
      <c r="CI118" s="310">
        <f>CH118+BV118</f>
        <v>0</v>
      </c>
      <c r="CJ118" s="340">
        <v>93600000</v>
      </c>
      <c r="CK118" s="340"/>
      <c r="CL118" s="340"/>
      <c r="CM118" s="340"/>
      <c r="CN118" s="340"/>
      <c r="CO118" s="340"/>
      <c r="CP118" s="310">
        <f>SUM(CK118:CO120)</f>
        <v>0</v>
      </c>
      <c r="CQ118" s="310">
        <f>CP118+CJ118</f>
        <v>93600000</v>
      </c>
      <c r="CR118" s="340"/>
      <c r="CS118" s="340"/>
      <c r="CT118" s="340"/>
      <c r="CU118" s="340"/>
      <c r="CV118" s="310">
        <f>SUM(CS118:CU120)</f>
        <v>0</v>
      </c>
      <c r="CW118" s="310">
        <f>CV118+CR118</f>
        <v>0</v>
      </c>
      <c r="CX118" s="340"/>
      <c r="CY118" s="340"/>
      <c r="CZ118" s="340"/>
      <c r="DA118" s="310">
        <f>SUM(CY118:CZ120)</f>
        <v>0</v>
      </c>
      <c r="DB118" s="310">
        <f>DA118+CX118</f>
        <v>0</v>
      </c>
      <c r="DC118" s="340"/>
      <c r="DD118" s="310">
        <f>DB118+CW118+CQ118+CI118+DC118</f>
        <v>93600000</v>
      </c>
      <c r="DE118" s="310"/>
    </row>
    <row r="119" spans="1:109" s="4" customFormat="1" ht="96">
      <c r="A119" s="582"/>
      <c r="B119" s="614"/>
      <c r="C119" s="623"/>
      <c r="D119" s="584"/>
      <c r="E119" s="558"/>
      <c r="F119" s="558"/>
      <c r="G119" s="558"/>
      <c r="H119" s="340"/>
      <c r="I119" s="340"/>
      <c r="J119" s="340"/>
      <c r="K119" s="340"/>
      <c r="L119" s="340"/>
      <c r="M119" s="340"/>
      <c r="N119" s="340"/>
      <c r="O119" s="340"/>
      <c r="P119" s="340"/>
      <c r="Q119" s="340"/>
      <c r="R119" s="340"/>
      <c r="S119" s="340"/>
      <c r="T119" s="340"/>
      <c r="U119" s="340"/>
      <c r="V119" s="340"/>
      <c r="W119" s="340"/>
      <c r="X119" s="340"/>
      <c r="Y119" s="340"/>
      <c r="Z119" s="340"/>
      <c r="AA119" s="340"/>
      <c r="AB119" s="340"/>
      <c r="AC119" s="340"/>
      <c r="AD119" s="340"/>
      <c r="AE119" s="340"/>
      <c r="AF119" s="340"/>
      <c r="AG119" s="340"/>
      <c r="AH119" s="340"/>
      <c r="AI119" s="340"/>
      <c r="AJ119" s="646"/>
      <c r="AK119" s="531"/>
      <c r="AL119" s="248" t="s">
        <v>319</v>
      </c>
      <c r="AM119" s="80">
        <v>41414</v>
      </c>
      <c r="AN119" s="250">
        <v>41628</v>
      </c>
      <c r="AO119" s="319"/>
      <c r="AP119" s="319"/>
      <c r="AQ119" s="560"/>
      <c r="AR119" s="319"/>
      <c r="AS119" s="319"/>
      <c r="AT119" s="560"/>
      <c r="AU119" s="319"/>
      <c r="AV119" s="319"/>
      <c r="AW119" s="560"/>
      <c r="AX119" s="249"/>
      <c r="AY119" s="80"/>
      <c r="AZ119" s="80"/>
      <c r="BA119" s="80"/>
      <c r="BB119" s="80"/>
      <c r="BC119" s="80"/>
      <c r="BD119" s="80"/>
      <c r="BE119" s="80"/>
      <c r="BF119" s="80"/>
      <c r="BG119" s="80"/>
      <c r="BH119" s="80"/>
      <c r="BI119" s="80"/>
      <c r="BJ119" s="80"/>
      <c r="BK119" s="80"/>
      <c r="BL119" s="80"/>
      <c r="BM119" s="378"/>
      <c r="BN119" s="255"/>
      <c r="BO119" s="429"/>
      <c r="BP119" s="253"/>
      <c r="BQ119" s="429"/>
      <c r="BR119" s="253"/>
      <c r="BS119" s="377"/>
      <c r="BT119" s="431"/>
      <c r="BU119" s="340"/>
      <c r="BV119" s="340"/>
      <c r="BW119" s="340"/>
      <c r="BX119" s="340"/>
      <c r="BY119" s="340"/>
      <c r="BZ119" s="340"/>
      <c r="CA119" s="340"/>
      <c r="CB119" s="340"/>
      <c r="CC119" s="340"/>
      <c r="CD119" s="340"/>
      <c r="CE119" s="340"/>
      <c r="CF119" s="340"/>
      <c r="CG119" s="340"/>
      <c r="CH119" s="310"/>
      <c r="CI119" s="310"/>
      <c r="CJ119" s="340"/>
      <c r="CK119" s="340"/>
      <c r="CL119" s="340"/>
      <c r="CM119" s="340"/>
      <c r="CN119" s="340"/>
      <c r="CO119" s="340"/>
      <c r="CP119" s="310"/>
      <c r="CQ119" s="310"/>
      <c r="CR119" s="340"/>
      <c r="CS119" s="340"/>
      <c r="CT119" s="340"/>
      <c r="CU119" s="340"/>
      <c r="CV119" s="310"/>
      <c r="CW119" s="310"/>
      <c r="CX119" s="340"/>
      <c r="CY119" s="340"/>
      <c r="CZ119" s="340"/>
      <c r="DA119" s="310"/>
      <c r="DB119" s="310"/>
      <c r="DC119" s="340"/>
      <c r="DD119" s="310"/>
      <c r="DE119" s="310"/>
    </row>
    <row r="120" spans="1:109" s="4" customFormat="1" ht="12.75">
      <c r="A120" s="582"/>
      <c r="B120" s="614"/>
      <c r="C120" s="623"/>
      <c r="D120" s="574"/>
      <c r="E120" s="559"/>
      <c r="F120" s="559"/>
      <c r="G120" s="559"/>
      <c r="H120" s="340"/>
      <c r="I120" s="340"/>
      <c r="J120" s="340"/>
      <c r="K120" s="340"/>
      <c r="L120" s="340"/>
      <c r="M120" s="340"/>
      <c r="N120" s="340"/>
      <c r="O120" s="340"/>
      <c r="P120" s="340"/>
      <c r="Q120" s="340"/>
      <c r="R120" s="340"/>
      <c r="S120" s="340"/>
      <c r="T120" s="340"/>
      <c r="U120" s="340"/>
      <c r="V120" s="340"/>
      <c r="W120" s="340"/>
      <c r="X120" s="340"/>
      <c r="Y120" s="340"/>
      <c r="Z120" s="340"/>
      <c r="AA120" s="340"/>
      <c r="AB120" s="340"/>
      <c r="AC120" s="340"/>
      <c r="AD120" s="340"/>
      <c r="AE120" s="340"/>
      <c r="AF120" s="340"/>
      <c r="AG120" s="340"/>
      <c r="AH120" s="340"/>
      <c r="AI120" s="340"/>
      <c r="AJ120" s="646"/>
      <c r="AK120" s="532"/>
      <c r="AL120" s="248"/>
      <c r="AM120" s="80"/>
      <c r="AN120" s="250"/>
      <c r="AO120" s="319"/>
      <c r="AP120" s="319"/>
      <c r="AQ120" s="560"/>
      <c r="AR120" s="319"/>
      <c r="AS120" s="319"/>
      <c r="AT120" s="560"/>
      <c r="AU120" s="319"/>
      <c r="AV120" s="319"/>
      <c r="AW120" s="560"/>
      <c r="AX120" s="251"/>
      <c r="AY120" s="248"/>
      <c r="AZ120" s="248"/>
      <c r="BA120" s="248"/>
      <c r="BB120" s="248"/>
      <c r="BC120" s="248"/>
      <c r="BD120" s="248"/>
      <c r="BE120" s="248"/>
      <c r="BF120" s="248"/>
      <c r="BG120" s="248"/>
      <c r="BH120" s="248"/>
      <c r="BI120" s="248"/>
      <c r="BJ120" s="248"/>
      <c r="BK120" s="248"/>
      <c r="BL120" s="248"/>
      <c r="BM120" s="80">
        <v>60000000</v>
      </c>
      <c r="BN120" s="255"/>
      <c r="BO120" s="77">
        <v>70000000</v>
      </c>
      <c r="BP120" s="253"/>
      <c r="BQ120" s="87">
        <v>55000000</v>
      </c>
      <c r="BR120" s="253"/>
      <c r="BS120" s="74">
        <f>BO120+BQ120+BM120</f>
        <v>185000000</v>
      </c>
      <c r="BT120" s="432"/>
      <c r="BU120" s="340"/>
      <c r="BV120" s="340"/>
      <c r="BW120" s="340"/>
      <c r="BX120" s="340"/>
      <c r="BY120" s="340"/>
      <c r="BZ120" s="340"/>
      <c r="CA120" s="340"/>
      <c r="CB120" s="340"/>
      <c r="CC120" s="340"/>
      <c r="CD120" s="340"/>
      <c r="CE120" s="340"/>
      <c r="CF120" s="340"/>
      <c r="CG120" s="340"/>
      <c r="CH120" s="310"/>
      <c r="CI120" s="310"/>
      <c r="CJ120" s="340"/>
      <c r="CK120" s="340"/>
      <c r="CL120" s="340"/>
      <c r="CM120" s="340"/>
      <c r="CN120" s="340"/>
      <c r="CO120" s="340"/>
      <c r="CP120" s="310"/>
      <c r="CQ120" s="310"/>
      <c r="CR120" s="340"/>
      <c r="CS120" s="340"/>
      <c r="CT120" s="340"/>
      <c r="CU120" s="340"/>
      <c r="CV120" s="310"/>
      <c r="CW120" s="310"/>
      <c r="CX120" s="340"/>
      <c r="CY120" s="340"/>
      <c r="CZ120" s="340"/>
      <c r="DA120" s="310"/>
      <c r="DB120" s="310"/>
      <c r="DC120" s="340"/>
      <c r="DD120" s="310"/>
      <c r="DE120" s="310"/>
    </row>
    <row r="121" spans="1:109" s="4" customFormat="1" ht="33" customHeight="1">
      <c r="A121" s="582"/>
      <c r="B121" s="614"/>
      <c r="C121" s="623"/>
      <c r="D121" s="627" t="s">
        <v>320</v>
      </c>
      <c r="E121" s="619">
        <v>0.65</v>
      </c>
      <c r="F121" s="619">
        <v>0.2</v>
      </c>
      <c r="G121" s="619">
        <v>0.2</v>
      </c>
      <c r="H121" s="340"/>
      <c r="I121" s="340"/>
      <c r="J121" s="340"/>
      <c r="K121" s="340"/>
      <c r="L121" s="340"/>
      <c r="M121" s="340"/>
      <c r="N121" s="340"/>
      <c r="O121" s="340"/>
      <c r="P121" s="340"/>
      <c r="Q121" s="340"/>
      <c r="R121" s="340"/>
      <c r="S121" s="340"/>
      <c r="T121" s="340"/>
      <c r="U121" s="340"/>
      <c r="V121" s="340"/>
      <c r="W121" s="340"/>
      <c r="X121" s="340"/>
      <c r="Y121" s="340"/>
      <c r="Z121" s="340"/>
      <c r="AA121" s="340"/>
      <c r="AB121" s="340"/>
      <c r="AC121" s="340"/>
      <c r="AD121" s="340"/>
      <c r="AE121" s="340"/>
      <c r="AF121" s="340"/>
      <c r="AG121" s="340"/>
      <c r="AH121" s="340"/>
      <c r="AI121" s="340"/>
      <c r="AJ121" s="646" t="s">
        <v>44</v>
      </c>
      <c r="AK121" s="645" t="s">
        <v>179</v>
      </c>
      <c r="AL121" s="262" t="s">
        <v>321</v>
      </c>
      <c r="AM121" s="242">
        <v>41414</v>
      </c>
      <c r="AN121" s="259" t="s">
        <v>518</v>
      </c>
      <c r="AO121" s="319">
        <f>40000000+876600</f>
        <v>40876600</v>
      </c>
      <c r="AP121" s="319">
        <v>11800000</v>
      </c>
      <c r="AQ121" s="560">
        <f>AO121-AP121</f>
        <v>29076600</v>
      </c>
      <c r="AR121" s="319">
        <f>40000000+876600</f>
        <v>40876600</v>
      </c>
      <c r="AS121" s="319">
        <v>11800000</v>
      </c>
      <c r="AT121" s="560">
        <f>AR121-AS121</f>
        <v>29076600</v>
      </c>
      <c r="AU121" s="319">
        <f>40000000+876600</f>
        <v>40876600</v>
      </c>
      <c r="AV121" s="319">
        <v>11800000</v>
      </c>
      <c r="AW121" s="560">
        <f>AU121-AV121</f>
        <v>29076600</v>
      </c>
      <c r="AX121" s="263"/>
      <c r="AY121" s="242"/>
      <c r="AZ121" s="242"/>
      <c r="BA121" s="242"/>
      <c r="BB121" s="242"/>
      <c r="BC121" s="242"/>
      <c r="BD121" s="242"/>
      <c r="BE121" s="242"/>
      <c r="BF121" s="242"/>
      <c r="BG121" s="242"/>
      <c r="BH121" s="242"/>
      <c r="BI121" s="242"/>
      <c r="BJ121" s="242"/>
      <c r="BK121" s="242"/>
      <c r="BL121" s="242"/>
      <c r="BM121" s="147">
        <v>15886620</v>
      </c>
      <c r="BN121" s="434"/>
      <c r="BO121" s="225">
        <v>10000000</v>
      </c>
      <c r="BP121" s="527"/>
      <c r="BQ121" s="225">
        <v>10000000</v>
      </c>
      <c r="BR121" s="530"/>
      <c r="BS121" s="74">
        <f>BO121+BQ121+BM121</f>
        <v>35886620</v>
      </c>
      <c r="BT121" s="430"/>
      <c r="BU121" s="340">
        <f>SUM(BS121:BS124)</f>
        <v>179886620</v>
      </c>
      <c r="BV121" s="340"/>
      <c r="BW121" s="340"/>
      <c r="BX121" s="340"/>
      <c r="BY121" s="340"/>
      <c r="BZ121" s="340"/>
      <c r="CA121" s="340"/>
      <c r="CB121" s="340"/>
      <c r="CC121" s="340"/>
      <c r="CD121" s="340"/>
      <c r="CE121" s="340"/>
      <c r="CF121" s="340"/>
      <c r="CG121" s="340"/>
      <c r="CH121" s="340">
        <f>SUM(BW121:CG124)</f>
        <v>0</v>
      </c>
      <c r="CI121" s="340">
        <f>CH121+BV121</f>
        <v>0</v>
      </c>
      <c r="CJ121" s="340"/>
      <c r="CK121" s="340"/>
      <c r="CL121" s="340"/>
      <c r="CM121" s="340"/>
      <c r="CN121" s="340"/>
      <c r="CO121" s="340"/>
      <c r="CP121" s="340">
        <f>SUM(CK121:CO124)</f>
        <v>0</v>
      </c>
      <c r="CQ121" s="340">
        <f>CP121+CJ121</f>
        <v>0</v>
      </c>
      <c r="CR121" s="340"/>
      <c r="CS121" s="340"/>
      <c r="CT121" s="340"/>
      <c r="CU121" s="340"/>
      <c r="CV121" s="340">
        <f>SUM(CS121:CU124)</f>
        <v>0</v>
      </c>
      <c r="CW121" s="340">
        <f>CV121+CR121</f>
        <v>0</v>
      </c>
      <c r="CX121" s="340"/>
      <c r="CY121" s="340"/>
      <c r="CZ121" s="340"/>
      <c r="DA121" s="340">
        <f>SUM(CY121:CZ124)</f>
        <v>0</v>
      </c>
      <c r="DB121" s="340">
        <f>DA121+CX121</f>
        <v>0</v>
      </c>
      <c r="DC121" s="340"/>
      <c r="DD121" s="340">
        <f>DB121+CW121+CQ121+CI121+DC121</f>
        <v>0</v>
      </c>
      <c r="DE121" s="340"/>
    </row>
    <row r="122" spans="1:109" s="4" customFormat="1" ht="24">
      <c r="A122" s="582"/>
      <c r="B122" s="614"/>
      <c r="C122" s="623"/>
      <c r="D122" s="628"/>
      <c r="E122" s="620"/>
      <c r="F122" s="620"/>
      <c r="G122" s="620"/>
      <c r="H122" s="340"/>
      <c r="I122" s="340"/>
      <c r="J122" s="340"/>
      <c r="K122" s="340"/>
      <c r="L122" s="340"/>
      <c r="M122" s="340"/>
      <c r="N122" s="340"/>
      <c r="O122" s="340"/>
      <c r="P122" s="340"/>
      <c r="Q122" s="340"/>
      <c r="R122" s="340"/>
      <c r="S122" s="340"/>
      <c r="T122" s="340"/>
      <c r="U122" s="340"/>
      <c r="V122" s="340"/>
      <c r="W122" s="340"/>
      <c r="X122" s="340"/>
      <c r="Y122" s="340"/>
      <c r="Z122" s="340"/>
      <c r="AA122" s="340"/>
      <c r="AB122" s="340"/>
      <c r="AC122" s="340"/>
      <c r="AD122" s="340"/>
      <c r="AE122" s="340"/>
      <c r="AF122" s="340"/>
      <c r="AG122" s="340"/>
      <c r="AH122" s="340"/>
      <c r="AI122" s="340"/>
      <c r="AJ122" s="646"/>
      <c r="AK122" s="645"/>
      <c r="AL122" s="262" t="s">
        <v>43</v>
      </c>
      <c r="AM122" s="242">
        <v>41456</v>
      </c>
      <c r="AN122" s="259">
        <v>41628</v>
      </c>
      <c r="AO122" s="319"/>
      <c r="AP122" s="319"/>
      <c r="AQ122" s="560"/>
      <c r="AR122" s="319"/>
      <c r="AS122" s="319"/>
      <c r="AT122" s="560"/>
      <c r="AU122" s="319"/>
      <c r="AV122" s="319"/>
      <c r="AW122" s="560"/>
      <c r="AX122" s="263"/>
      <c r="AY122" s="242"/>
      <c r="AZ122" s="242"/>
      <c r="BA122" s="242"/>
      <c r="BB122" s="242"/>
      <c r="BC122" s="242"/>
      <c r="BD122" s="242"/>
      <c r="BE122" s="242"/>
      <c r="BF122" s="242"/>
      <c r="BG122" s="242"/>
      <c r="BH122" s="242"/>
      <c r="BI122" s="242"/>
      <c r="BJ122" s="242"/>
      <c r="BK122" s="242"/>
      <c r="BL122" s="242"/>
      <c r="BM122" s="147">
        <v>16000000</v>
      </c>
      <c r="BN122" s="435"/>
      <c r="BO122" s="225">
        <v>10000000</v>
      </c>
      <c r="BP122" s="528"/>
      <c r="BQ122" s="225">
        <v>10000000</v>
      </c>
      <c r="BR122" s="531"/>
      <c r="BS122" s="74">
        <f>BO122+BQ122+BM122</f>
        <v>36000000</v>
      </c>
      <c r="BT122" s="431"/>
      <c r="BU122" s="340"/>
      <c r="BV122" s="340"/>
      <c r="BW122" s="340"/>
      <c r="BX122" s="340"/>
      <c r="BY122" s="340"/>
      <c r="BZ122" s="340"/>
      <c r="CA122" s="340"/>
      <c r="CB122" s="340"/>
      <c r="CC122" s="340"/>
      <c r="CD122" s="340"/>
      <c r="CE122" s="340"/>
      <c r="CF122" s="340"/>
      <c r="CG122" s="340"/>
      <c r="CH122" s="340"/>
      <c r="CI122" s="340"/>
      <c r="CJ122" s="340"/>
      <c r="CK122" s="340"/>
      <c r="CL122" s="340"/>
      <c r="CM122" s="340"/>
      <c r="CN122" s="340"/>
      <c r="CO122" s="340"/>
      <c r="CP122" s="340"/>
      <c r="CQ122" s="340"/>
      <c r="CR122" s="340"/>
      <c r="CS122" s="340"/>
      <c r="CT122" s="340"/>
      <c r="CU122" s="340"/>
      <c r="CV122" s="340"/>
      <c r="CW122" s="340"/>
      <c r="CX122" s="340"/>
      <c r="CY122" s="340"/>
      <c r="CZ122" s="340"/>
      <c r="DA122" s="340"/>
      <c r="DB122" s="340"/>
      <c r="DC122" s="340"/>
      <c r="DD122" s="340"/>
      <c r="DE122" s="340"/>
    </row>
    <row r="123" spans="1:109" s="4" customFormat="1" ht="24">
      <c r="A123" s="582"/>
      <c r="B123" s="614"/>
      <c r="C123" s="623"/>
      <c r="D123" s="628"/>
      <c r="E123" s="620"/>
      <c r="F123" s="620"/>
      <c r="G123" s="620"/>
      <c r="H123" s="340"/>
      <c r="I123" s="340"/>
      <c r="J123" s="340"/>
      <c r="K123" s="340"/>
      <c r="L123" s="340"/>
      <c r="M123" s="340"/>
      <c r="N123" s="340"/>
      <c r="O123" s="340"/>
      <c r="P123" s="340"/>
      <c r="Q123" s="340"/>
      <c r="R123" s="340"/>
      <c r="S123" s="340"/>
      <c r="T123" s="340"/>
      <c r="U123" s="340"/>
      <c r="V123" s="340"/>
      <c r="W123" s="340"/>
      <c r="X123" s="340"/>
      <c r="Y123" s="340"/>
      <c r="Z123" s="340"/>
      <c r="AA123" s="340"/>
      <c r="AB123" s="340"/>
      <c r="AC123" s="340"/>
      <c r="AD123" s="340"/>
      <c r="AE123" s="340"/>
      <c r="AF123" s="340"/>
      <c r="AG123" s="340"/>
      <c r="AH123" s="340"/>
      <c r="AI123" s="340"/>
      <c r="AJ123" s="646"/>
      <c r="AK123" s="645" t="s">
        <v>180</v>
      </c>
      <c r="AL123" s="262" t="s">
        <v>45</v>
      </c>
      <c r="AM123" s="242">
        <v>41414</v>
      </c>
      <c r="AN123" s="259">
        <v>41628</v>
      </c>
      <c r="AO123" s="319"/>
      <c r="AP123" s="319"/>
      <c r="AQ123" s="560"/>
      <c r="AR123" s="319"/>
      <c r="AS123" s="319"/>
      <c r="AT123" s="560"/>
      <c r="AU123" s="319"/>
      <c r="AV123" s="319"/>
      <c r="AW123" s="560"/>
      <c r="AX123" s="263"/>
      <c r="AY123" s="242"/>
      <c r="AZ123" s="242"/>
      <c r="BA123" s="242"/>
      <c r="BB123" s="242"/>
      <c r="BC123" s="242"/>
      <c r="BD123" s="242"/>
      <c r="BE123" s="242"/>
      <c r="BF123" s="242"/>
      <c r="BG123" s="242"/>
      <c r="BH123" s="242"/>
      <c r="BI123" s="242"/>
      <c r="BJ123" s="242"/>
      <c r="BK123" s="242"/>
      <c r="BL123" s="242"/>
      <c r="BM123" s="147">
        <v>24000000</v>
      </c>
      <c r="BN123" s="435"/>
      <c r="BO123" s="225">
        <v>15000000</v>
      </c>
      <c r="BP123" s="528"/>
      <c r="BQ123" s="225">
        <v>15000000</v>
      </c>
      <c r="BR123" s="531"/>
      <c r="BS123" s="74">
        <f>BO123+BQ123+BM123</f>
        <v>54000000</v>
      </c>
      <c r="BT123" s="431"/>
      <c r="BU123" s="340"/>
      <c r="BV123" s="340"/>
      <c r="BW123" s="340"/>
      <c r="BX123" s="340"/>
      <c r="BY123" s="340"/>
      <c r="BZ123" s="340"/>
      <c r="CA123" s="340"/>
      <c r="CB123" s="340"/>
      <c r="CC123" s="340"/>
      <c r="CD123" s="340"/>
      <c r="CE123" s="340"/>
      <c r="CF123" s="340"/>
      <c r="CG123" s="340"/>
      <c r="CH123" s="340"/>
      <c r="CI123" s="340"/>
      <c r="CJ123" s="340"/>
      <c r="CK123" s="340"/>
      <c r="CL123" s="340"/>
      <c r="CM123" s="340"/>
      <c r="CN123" s="340"/>
      <c r="CO123" s="340"/>
      <c r="CP123" s="340"/>
      <c r="CQ123" s="340"/>
      <c r="CR123" s="340"/>
      <c r="CS123" s="340"/>
      <c r="CT123" s="340"/>
      <c r="CU123" s="340"/>
      <c r="CV123" s="340"/>
      <c r="CW123" s="340"/>
      <c r="CX123" s="340"/>
      <c r="CY123" s="340"/>
      <c r="CZ123" s="340"/>
      <c r="DA123" s="340"/>
      <c r="DB123" s="340"/>
      <c r="DC123" s="340"/>
      <c r="DD123" s="340"/>
      <c r="DE123" s="340"/>
    </row>
    <row r="124" spans="1:109" s="4" customFormat="1" ht="24">
      <c r="A124" s="582"/>
      <c r="B124" s="615"/>
      <c r="C124" s="624"/>
      <c r="D124" s="629"/>
      <c r="E124" s="621"/>
      <c r="F124" s="621"/>
      <c r="G124" s="621"/>
      <c r="H124" s="340"/>
      <c r="I124" s="340"/>
      <c r="J124" s="340"/>
      <c r="K124" s="340"/>
      <c r="L124" s="340"/>
      <c r="M124" s="340"/>
      <c r="N124" s="340"/>
      <c r="O124" s="340"/>
      <c r="P124" s="340"/>
      <c r="Q124" s="340"/>
      <c r="R124" s="340"/>
      <c r="S124" s="340"/>
      <c r="T124" s="340"/>
      <c r="U124" s="340"/>
      <c r="V124" s="340"/>
      <c r="W124" s="340"/>
      <c r="X124" s="340"/>
      <c r="Y124" s="340"/>
      <c r="Z124" s="340"/>
      <c r="AA124" s="340"/>
      <c r="AB124" s="340"/>
      <c r="AC124" s="340"/>
      <c r="AD124" s="340"/>
      <c r="AE124" s="340"/>
      <c r="AF124" s="340"/>
      <c r="AG124" s="340"/>
      <c r="AH124" s="340"/>
      <c r="AI124" s="340"/>
      <c r="AJ124" s="646"/>
      <c r="AK124" s="645"/>
      <c r="AL124" s="262" t="s">
        <v>322</v>
      </c>
      <c r="AM124" s="242">
        <v>41428</v>
      </c>
      <c r="AN124" s="259">
        <v>41628</v>
      </c>
      <c r="AO124" s="319"/>
      <c r="AP124" s="319"/>
      <c r="AQ124" s="560"/>
      <c r="AR124" s="319"/>
      <c r="AS124" s="319"/>
      <c r="AT124" s="560"/>
      <c r="AU124" s="319"/>
      <c r="AV124" s="319"/>
      <c r="AW124" s="560"/>
      <c r="AX124" s="263"/>
      <c r="AY124" s="242"/>
      <c r="AZ124" s="242"/>
      <c r="BA124" s="242"/>
      <c r="BB124" s="242"/>
      <c r="BC124" s="242"/>
      <c r="BD124" s="242"/>
      <c r="BE124" s="242"/>
      <c r="BF124" s="242"/>
      <c r="BG124" s="242"/>
      <c r="BH124" s="242"/>
      <c r="BI124" s="242"/>
      <c r="BJ124" s="242"/>
      <c r="BK124" s="242"/>
      <c r="BL124" s="242"/>
      <c r="BM124" s="147">
        <v>24000000</v>
      </c>
      <c r="BN124" s="436"/>
      <c r="BO124" s="225">
        <v>15000000</v>
      </c>
      <c r="BP124" s="529"/>
      <c r="BQ124" s="225">
        <v>15000000</v>
      </c>
      <c r="BR124" s="532"/>
      <c r="BS124" s="74">
        <f>BO124+BQ124+BM124</f>
        <v>54000000</v>
      </c>
      <c r="BT124" s="432"/>
      <c r="BU124" s="340"/>
      <c r="BV124" s="340"/>
      <c r="BW124" s="340"/>
      <c r="BX124" s="340"/>
      <c r="BY124" s="340"/>
      <c r="BZ124" s="340"/>
      <c r="CA124" s="340"/>
      <c r="CB124" s="340"/>
      <c r="CC124" s="340"/>
      <c r="CD124" s="340"/>
      <c r="CE124" s="340"/>
      <c r="CF124" s="340"/>
      <c r="CG124" s="340"/>
      <c r="CH124" s="340"/>
      <c r="CI124" s="340"/>
      <c r="CJ124" s="340"/>
      <c r="CK124" s="340"/>
      <c r="CL124" s="340"/>
      <c r="CM124" s="340"/>
      <c r="CN124" s="340"/>
      <c r="CO124" s="340"/>
      <c r="CP124" s="340"/>
      <c r="CQ124" s="340"/>
      <c r="CR124" s="340"/>
      <c r="CS124" s="340"/>
      <c r="CT124" s="340"/>
      <c r="CU124" s="340"/>
      <c r="CV124" s="340"/>
      <c r="CW124" s="340"/>
      <c r="CX124" s="340"/>
      <c r="CY124" s="340"/>
      <c r="CZ124" s="340"/>
      <c r="DA124" s="340"/>
      <c r="DB124" s="340"/>
      <c r="DC124" s="340"/>
      <c r="DD124" s="340"/>
      <c r="DE124" s="340"/>
    </row>
    <row r="125" spans="1:109" s="34" customFormat="1" ht="11.1" customHeight="1">
      <c r="A125" s="582"/>
      <c r="B125" s="601" t="s">
        <v>135</v>
      </c>
      <c r="C125" s="602"/>
      <c r="D125" s="603"/>
      <c r="E125" s="232"/>
      <c r="F125" s="232"/>
      <c r="G125" s="232"/>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276"/>
      <c r="AK125" s="232"/>
      <c r="AL125" s="247">
        <v>808698712</v>
      </c>
      <c r="AM125" s="232"/>
      <c r="AN125" s="232"/>
      <c r="AO125" s="294">
        <f t="shared" ref="AO125:AT125" si="9">SUM(AO80:AO124)</f>
        <v>808698712</v>
      </c>
      <c r="AP125" s="294">
        <f t="shared" si="9"/>
        <v>303086916</v>
      </c>
      <c r="AQ125" s="294">
        <f t="shared" si="9"/>
        <v>505611796</v>
      </c>
      <c r="AR125" s="294">
        <f t="shared" si="9"/>
        <v>808698712</v>
      </c>
      <c r="AS125" s="294">
        <f t="shared" si="9"/>
        <v>325560766</v>
      </c>
      <c r="AT125" s="294">
        <f t="shared" si="9"/>
        <v>483137946</v>
      </c>
      <c r="AU125" s="215"/>
      <c r="AV125" s="215"/>
      <c r="AW125" s="215"/>
      <c r="AX125" s="247"/>
      <c r="AY125" s="247"/>
      <c r="AZ125" s="247"/>
      <c r="BA125" s="247"/>
      <c r="BB125" s="247"/>
      <c r="BC125" s="247"/>
      <c r="BD125" s="247"/>
      <c r="BE125" s="247"/>
      <c r="BF125" s="247"/>
      <c r="BG125" s="247"/>
      <c r="BH125" s="247"/>
      <c r="BI125" s="247"/>
      <c r="BJ125" s="247"/>
      <c r="BK125" s="247"/>
      <c r="BL125" s="247"/>
      <c r="BM125" s="46"/>
      <c r="BN125" s="46"/>
      <c r="BO125" s="46"/>
      <c r="BP125" s="46"/>
      <c r="BQ125" s="46"/>
      <c r="BR125" s="46"/>
      <c r="BS125" s="33">
        <f>SUM(BS80:BS124)</f>
        <v>3002988719.8400002</v>
      </c>
      <c r="BT125" s="33"/>
      <c r="BU125" s="46">
        <f t="shared" ref="BU125:CH125" si="10">SUM(BU80:BU124)</f>
        <v>3002988719.8400002</v>
      </c>
      <c r="BV125" s="46">
        <f t="shared" si="10"/>
        <v>0</v>
      </c>
      <c r="BW125" s="46">
        <f t="shared" si="10"/>
        <v>0</v>
      </c>
      <c r="BX125" s="46">
        <f t="shared" si="10"/>
        <v>0</v>
      </c>
      <c r="BY125" s="46">
        <f t="shared" si="10"/>
        <v>0</v>
      </c>
      <c r="BZ125" s="46">
        <f t="shared" si="10"/>
        <v>0</v>
      </c>
      <c r="CA125" s="46">
        <f t="shared" si="10"/>
        <v>0</v>
      </c>
      <c r="CB125" s="46">
        <f t="shared" si="10"/>
        <v>0</v>
      </c>
      <c r="CC125" s="46">
        <f t="shared" si="10"/>
        <v>0</v>
      </c>
      <c r="CD125" s="46">
        <f t="shared" si="10"/>
        <v>0</v>
      </c>
      <c r="CE125" s="46">
        <f t="shared" si="10"/>
        <v>0</v>
      </c>
      <c r="CF125" s="46">
        <f t="shared" si="10"/>
        <v>0</v>
      </c>
      <c r="CG125" s="46">
        <f t="shared" si="10"/>
        <v>0</v>
      </c>
      <c r="CH125" s="46">
        <f t="shared" si="10"/>
        <v>0</v>
      </c>
      <c r="CI125" s="232">
        <f>CH125+BV125</f>
        <v>0</v>
      </c>
      <c r="CJ125" s="46">
        <f>SUM(CJ80:CJ124)</f>
        <v>236600000</v>
      </c>
      <c r="CK125" s="46">
        <f t="shared" ref="CK125:DC125" si="11">SUM(CK80:CK124)</f>
        <v>0</v>
      </c>
      <c r="CL125" s="46">
        <f t="shared" si="11"/>
        <v>0</v>
      </c>
      <c r="CM125" s="46">
        <f t="shared" si="11"/>
        <v>0</v>
      </c>
      <c r="CN125" s="46">
        <f t="shared" si="11"/>
        <v>0</v>
      </c>
      <c r="CO125" s="46">
        <f t="shared" si="11"/>
        <v>0</v>
      </c>
      <c r="CP125" s="46">
        <f t="shared" si="11"/>
        <v>0</v>
      </c>
      <c r="CQ125" s="46">
        <f t="shared" si="11"/>
        <v>236600000</v>
      </c>
      <c r="CR125" s="46">
        <f t="shared" si="11"/>
        <v>84000000</v>
      </c>
      <c r="CS125" s="46">
        <f t="shared" si="11"/>
        <v>0</v>
      </c>
      <c r="CT125" s="46">
        <f t="shared" si="11"/>
        <v>0</v>
      </c>
      <c r="CU125" s="46">
        <f t="shared" si="11"/>
        <v>0</v>
      </c>
      <c r="CV125" s="46">
        <f t="shared" si="11"/>
        <v>0</v>
      </c>
      <c r="CW125" s="46">
        <f t="shared" si="11"/>
        <v>84000000</v>
      </c>
      <c r="CX125" s="46">
        <f t="shared" si="11"/>
        <v>204000000</v>
      </c>
      <c r="CY125" s="46">
        <f t="shared" si="11"/>
        <v>0</v>
      </c>
      <c r="CZ125" s="46">
        <f t="shared" si="11"/>
        <v>330000000</v>
      </c>
      <c r="DA125" s="46">
        <f t="shared" si="11"/>
        <v>330000000</v>
      </c>
      <c r="DB125" s="46">
        <f t="shared" si="11"/>
        <v>534000000</v>
      </c>
      <c r="DC125" s="46">
        <f t="shared" si="11"/>
        <v>0</v>
      </c>
      <c r="DD125" s="46">
        <f>SUM(DD80:DD124)</f>
        <v>854600000</v>
      </c>
      <c r="DE125" s="180"/>
    </row>
    <row r="126" spans="1:109" s="4" customFormat="1" ht="44.1" customHeight="1">
      <c r="A126" s="582"/>
      <c r="B126" s="592" t="s">
        <v>387</v>
      </c>
      <c r="C126" s="588" t="s">
        <v>323</v>
      </c>
      <c r="D126" s="573" t="s">
        <v>503</v>
      </c>
      <c r="E126" s="319">
        <v>2000</v>
      </c>
      <c r="F126" s="418">
        <v>5250</v>
      </c>
      <c r="G126" s="418">
        <v>5250</v>
      </c>
      <c r="H126" s="407"/>
      <c r="I126" s="407"/>
      <c r="J126" s="407"/>
      <c r="K126" s="407"/>
      <c r="L126" s="407"/>
      <c r="M126" s="407"/>
      <c r="N126" s="407"/>
      <c r="O126" s="407"/>
      <c r="P126" s="407"/>
      <c r="Q126" s="407"/>
      <c r="R126" s="407"/>
      <c r="S126" s="407"/>
      <c r="T126" s="407"/>
      <c r="U126" s="407"/>
      <c r="V126" s="407"/>
      <c r="W126" s="407"/>
      <c r="X126" s="407"/>
      <c r="Y126" s="407"/>
      <c r="Z126" s="407"/>
      <c r="AA126" s="407"/>
      <c r="AB126" s="407"/>
      <c r="AC126" s="407"/>
      <c r="AD126" s="407"/>
      <c r="AE126" s="407"/>
      <c r="AF126" s="407"/>
      <c r="AG126" s="407"/>
      <c r="AH126" s="407"/>
      <c r="AI126" s="407"/>
      <c r="AJ126" s="325" t="s">
        <v>183</v>
      </c>
      <c r="AK126" s="325" t="s">
        <v>184</v>
      </c>
      <c r="AL126" s="127" t="s">
        <v>324</v>
      </c>
      <c r="AM126" s="182">
        <v>41428</v>
      </c>
      <c r="AN126" s="97" t="s">
        <v>519</v>
      </c>
      <c r="AO126" s="319">
        <v>0</v>
      </c>
      <c r="AP126" s="642">
        <v>0</v>
      </c>
      <c r="AQ126" s="319">
        <f>AO126-AP126</f>
        <v>0</v>
      </c>
      <c r="AR126" s="319">
        <v>0</v>
      </c>
      <c r="AS126" s="418">
        <v>0</v>
      </c>
      <c r="AT126" s="319">
        <f>AR126-AS126</f>
        <v>0</v>
      </c>
      <c r="AU126" s="319">
        <v>0</v>
      </c>
      <c r="AV126" s="642">
        <v>0</v>
      </c>
      <c r="AW126" s="319">
        <f>AU126-AV126</f>
        <v>0</v>
      </c>
      <c r="AX126" s="227"/>
      <c r="AY126" s="227"/>
      <c r="AZ126" s="227"/>
      <c r="BA126" s="227"/>
      <c r="BB126" s="227"/>
      <c r="BC126" s="227"/>
      <c r="BD126" s="227"/>
      <c r="BE126" s="227"/>
      <c r="BF126" s="227"/>
      <c r="BG126" s="227"/>
      <c r="BH126" s="227"/>
      <c r="BI126" s="227"/>
      <c r="BJ126" s="227"/>
      <c r="BK126" s="227"/>
      <c r="BL126" s="227"/>
      <c r="BM126" s="367"/>
      <c r="BN126" s="367"/>
      <c r="BO126" s="357"/>
      <c r="BP126" s="357"/>
      <c r="BQ126" s="357"/>
      <c r="BR126" s="357"/>
      <c r="BS126" s="357"/>
      <c r="BT126" s="357"/>
      <c r="BU126" s="357"/>
      <c r="BV126" s="357">
        <v>1070000000</v>
      </c>
      <c r="BW126" s="357"/>
      <c r="BX126" s="357"/>
      <c r="BY126" s="357"/>
      <c r="BZ126" s="357"/>
      <c r="CA126" s="357"/>
      <c r="CB126" s="357"/>
      <c r="CC126" s="357"/>
      <c r="CD126" s="357"/>
      <c r="CE126" s="357"/>
      <c r="CF126" s="357"/>
      <c r="CG126" s="357"/>
      <c r="CH126" s="26">
        <f>SUM(BW126:CG126)</f>
        <v>0</v>
      </c>
      <c r="CI126" s="26">
        <f>CH126+BV126</f>
        <v>1070000000</v>
      </c>
      <c r="CJ126" s="179">
        <v>1222000000</v>
      </c>
      <c r="CK126" s="24"/>
      <c r="CL126" s="24"/>
      <c r="CM126" s="24"/>
      <c r="CN126" s="24"/>
      <c r="CO126" s="24"/>
      <c r="CP126" s="364">
        <f>SUM(CK126:CO126)</f>
        <v>0</v>
      </c>
      <c r="CQ126" s="364">
        <f>CP126+CJ126</f>
        <v>1222000000</v>
      </c>
      <c r="CR126" s="357">
        <v>668722625</v>
      </c>
      <c r="CS126" s="357"/>
      <c r="CT126" s="357"/>
      <c r="CU126" s="357"/>
      <c r="CV126" s="364">
        <f>SUM(CS126:CU126)</f>
        <v>0</v>
      </c>
      <c r="CW126" s="364">
        <f>CV126+CR126</f>
        <v>668722625</v>
      </c>
      <c r="CX126" s="357">
        <v>300000000</v>
      </c>
      <c r="CY126" s="357"/>
      <c r="CZ126" s="357"/>
      <c r="DA126" s="364">
        <f>SUM(CY126:CZ126)</f>
        <v>0</v>
      </c>
      <c r="DB126" s="364">
        <f>DA126+CX126</f>
        <v>300000000</v>
      </c>
      <c r="DC126" s="357">
        <f>49350000+8250000</f>
        <v>57600000</v>
      </c>
      <c r="DD126" s="364">
        <f>DB126+CW126+CQ126+CI126+DC126</f>
        <v>3318322625</v>
      </c>
      <c r="DE126" s="364"/>
    </row>
    <row r="127" spans="1:109" s="4" customFormat="1" ht="36">
      <c r="A127" s="582"/>
      <c r="B127" s="593"/>
      <c r="C127" s="589"/>
      <c r="D127" s="584"/>
      <c r="E127" s="319"/>
      <c r="F127" s="419"/>
      <c r="G127" s="419"/>
      <c r="H127" s="407"/>
      <c r="I127" s="407"/>
      <c r="J127" s="407"/>
      <c r="K127" s="407"/>
      <c r="L127" s="407"/>
      <c r="M127" s="407"/>
      <c r="N127" s="407"/>
      <c r="O127" s="407"/>
      <c r="P127" s="407"/>
      <c r="Q127" s="407"/>
      <c r="R127" s="407"/>
      <c r="S127" s="407"/>
      <c r="T127" s="407"/>
      <c r="U127" s="407"/>
      <c r="V127" s="407"/>
      <c r="W127" s="407"/>
      <c r="X127" s="407"/>
      <c r="Y127" s="407"/>
      <c r="Z127" s="407"/>
      <c r="AA127" s="407"/>
      <c r="AB127" s="407"/>
      <c r="AC127" s="407"/>
      <c r="AD127" s="407"/>
      <c r="AE127" s="407"/>
      <c r="AF127" s="407"/>
      <c r="AG127" s="407"/>
      <c r="AH127" s="407"/>
      <c r="AI127" s="407"/>
      <c r="AJ127" s="326"/>
      <c r="AK127" s="326"/>
      <c r="AL127" s="127" t="s">
        <v>325</v>
      </c>
      <c r="AM127" s="182">
        <v>41428</v>
      </c>
      <c r="AN127" s="182">
        <v>41607</v>
      </c>
      <c r="AO127" s="319"/>
      <c r="AP127" s="643"/>
      <c r="AQ127" s="319"/>
      <c r="AR127" s="319"/>
      <c r="AS127" s="419"/>
      <c r="AT127" s="319"/>
      <c r="AU127" s="319"/>
      <c r="AV127" s="643"/>
      <c r="AW127" s="319"/>
      <c r="AX127" s="228"/>
      <c r="AY127" s="228"/>
      <c r="AZ127" s="228"/>
      <c r="BA127" s="228"/>
      <c r="BB127" s="228"/>
      <c r="BC127" s="228"/>
      <c r="BD127" s="228"/>
      <c r="BE127" s="228"/>
      <c r="BF127" s="228"/>
      <c r="BG127" s="228"/>
      <c r="BH127" s="228"/>
      <c r="BI127" s="228"/>
      <c r="BJ127" s="228"/>
      <c r="BK127" s="228"/>
      <c r="BL127" s="228"/>
      <c r="BM127" s="368"/>
      <c r="BN127" s="368"/>
      <c r="BO127" s="359"/>
      <c r="BP127" s="359"/>
      <c r="BQ127" s="359"/>
      <c r="BR127" s="359"/>
      <c r="BS127" s="359"/>
      <c r="BT127" s="359"/>
      <c r="BU127" s="359"/>
      <c r="BV127" s="359"/>
      <c r="BW127" s="359"/>
      <c r="BX127" s="359"/>
      <c r="BY127" s="359"/>
      <c r="BZ127" s="359"/>
      <c r="CA127" s="359"/>
      <c r="CB127" s="359"/>
      <c r="CC127" s="359"/>
      <c r="CD127" s="359"/>
      <c r="CE127" s="359"/>
      <c r="CF127" s="359"/>
      <c r="CG127" s="359"/>
      <c r="CH127" s="26"/>
      <c r="CI127" s="26"/>
      <c r="CJ127" s="179"/>
      <c r="CK127" s="24"/>
      <c r="CL127" s="24"/>
      <c r="CM127" s="24"/>
      <c r="CN127" s="24"/>
      <c r="CO127" s="24"/>
      <c r="CP127" s="365"/>
      <c r="CQ127" s="365"/>
      <c r="CR127" s="359"/>
      <c r="CS127" s="359"/>
      <c r="CT127" s="359"/>
      <c r="CU127" s="359"/>
      <c r="CV127" s="365"/>
      <c r="CW127" s="365"/>
      <c r="CX127" s="359"/>
      <c r="CY127" s="359"/>
      <c r="CZ127" s="359"/>
      <c r="DA127" s="365"/>
      <c r="DB127" s="365"/>
      <c r="DC127" s="359"/>
      <c r="DD127" s="365"/>
      <c r="DE127" s="365"/>
    </row>
    <row r="128" spans="1:109" s="4" customFormat="1" ht="48">
      <c r="A128" s="582"/>
      <c r="B128" s="593"/>
      <c r="C128" s="589"/>
      <c r="D128" s="584"/>
      <c r="E128" s="319"/>
      <c r="F128" s="419"/>
      <c r="G128" s="419"/>
      <c r="H128" s="407"/>
      <c r="I128" s="407"/>
      <c r="J128" s="407"/>
      <c r="K128" s="407"/>
      <c r="L128" s="407"/>
      <c r="M128" s="407"/>
      <c r="N128" s="407"/>
      <c r="O128" s="407"/>
      <c r="P128" s="407"/>
      <c r="Q128" s="407"/>
      <c r="R128" s="407"/>
      <c r="S128" s="407"/>
      <c r="T128" s="407"/>
      <c r="U128" s="407"/>
      <c r="V128" s="407"/>
      <c r="W128" s="407"/>
      <c r="X128" s="407"/>
      <c r="Y128" s="407"/>
      <c r="Z128" s="407"/>
      <c r="AA128" s="407"/>
      <c r="AB128" s="407"/>
      <c r="AC128" s="407"/>
      <c r="AD128" s="407"/>
      <c r="AE128" s="407"/>
      <c r="AF128" s="407"/>
      <c r="AG128" s="407"/>
      <c r="AH128" s="407"/>
      <c r="AI128" s="407"/>
      <c r="AJ128" s="326"/>
      <c r="AK128" s="326"/>
      <c r="AL128" s="127" t="s">
        <v>326</v>
      </c>
      <c r="AM128" s="182">
        <v>41428</v>
      </c>
      <c r="AN128" s="182">
        <v>41607</v>
      </c>
      <c r="AO128" s="319"/>
      <c r="AP128" s="643"/>
      <c r="AQ128" s="319"/>
      <c r="AR128" s="319"/>
      <c r="AS128" s="419"/>
      <c r="AT128" s="319"/>
      <c r="AU128" s="319"/>
      <c r="AV128" s="643"/>
      <c r="AW128" s="319"/>
      <c r="AX128" s="228"/>
      <c r="AY128" s="228"/>
      <c r="AZ128" s="228"/>
      <c r="BA128" s="228"/>
      <c r="BB128" s="228"/>
      <c r="BC128" s="228"/>
      <c r="BD128" s="228"/>
      <c r="BE128" s="228"/>
      <c r="BF128" s="228"/>
      <c r="BG128" s="228"/>
      <c r="BH128" s="228"/>
      <c r="BI128" s="228"/>
      <c r="BJ128" s="228"/>
      <c r="BK128" s="228"/>
      <c r="BL128" s="228"/>
      <c r="BM128" s="368"/>
      <c r="BN128" s="368"/>
      <c r="BO128" s="359"/>
      <c r="BP128" s="359"/>
      <c r="BQ128" s="359"/>
      <c r="BR128" s="359"/>
      <c r="BS128" s="359"/>
      <c r="BT128" s="359"/>
      <c r="BU128" s="359"/>
      <c r="BV128" s="359"/>
      <c r="BW128" s="359"/>
      <c r="BX128" s="359"/>
      <c r="BY128" s="359"/>
      <c r="BZ128" s="359"/>
      <c r="CA128" s="359"/>
      <c r="CB128" s="359"/>
      <c r="CC128" s="359"/>
      <c r="CD128" s="359"/>
      <c r="CE128" s="359"/>
      <c r="CF128" s="359"/>
      <c r="CG128" s="359"/>
      <c r="CH128" s="26"/>
      <c r="CI128" s="26"/>
      <c r="CJ128" s="179"/>
      <c r="CK128" s="24"/>
      <c r="CL128" s="24"/>
      <c r="CM128" s="24"/>
      <c r="CN128" s="24"/>
      <c r="CO128" s="24"/>
      <c r="CP128" s="365"/>
      <c r="CQ128" s="365"/>
      <c r="CR128" s="359"/>
      <c r="CS128" s="359"/>
      <c r="CT128" s="359"/>
      <c r="CU128" s="359"/>
      <c r="CV128" s="365"/>
      <c r="CW128" s="365"/>
      <c r="CX128" s="359"/>
      <c r="CY128" s="359"/>
      <c r="CZ128" s="359"/>
      <c r="DA128" s="365"/>
      <c r="DB128" s="365"/>
      <c r="DC128" s="359"/>
      <c r="DD128" s="365"/>
      <c r="DE128" s="365"/>
    </row>
    <row r="129" spans="1:109" s="4" customFormat="1" ht="48">
      <c r="A129" s="582"/>
      <c r="B129" s="593"/>
      <c r="C129" s="590"/>
      <c r="D129" s="574"/>
      <c r="E129" s="319"/>
      <c r="F129" s="420"/>
      <c r="G129" s="420"/>
      <c r="H129" s="407"/>
      <c r="I129" s="407"/>
      <c r="J129" s="407"/>
      <c r="K129" s="407"/>
      <c r="L129" s="407"/>
      <c r="M129" s="407"/>
      <c r="N129" s="407"/>
      <c r="O129" s="407"/>
      <c r="P129" s="407"/>
      <c r="Q129" s="407"/>
      <c r="R129" s="407"/>
      <c r="S129" s="407"/>
      <c r="T129" s="407"/>
      <c r="U129" s="407"/>
      <c r="V129" s="407"/>
      <c r="W129" s="407"/>
      <c r="X129" s="407"/>
      <c r="Y129" s="407"/>
      <c r="Z129" s="407"/>
      <c r="AA129" s="407"/>
      <c r="AB129" s="407"/>
      <c r="AC129" s="407"/>
      <c r="AD129" s="407"/>
      <c r="AE129" s="407"/>
      <c r="AF129" s="407"/>
      <c r="AG129" s="407"/>
      <c r="AH129" s="407"/>
      <c r="AI129" s="407"/>
      <c r="AJ129" s="327"/>
      <c r="AK129" s="327"/>
      <c r="AL129" s="288" t="s">
        <v>327</v>
      </c>
      <c r="AM129" s="289">
        <v>41487</v>
      </c>
      <c r="AN129" s="289">
        <v>41607</v>
      </c>
      <c r="AO129" s="319"/>
      <c r="AP129" s="644"/>
      <c r="AQ129" s="319"/>
      <c r="AR129" s="319"/>
      <c r="AS129" s="420"/>
      <c r="AT129" s="319"/>
      <c r="AU129" s="319"/>
      <c r="AV129" s="644"/>
      <c r="AW129" s="319"/>
      <c r="AX129" s="277"/>
      <c r="AY129" s="277"/>
      <c r="AZ129" s="277"/>
      <c r="BA129" s="277"/>
      <c r="BB129" s="277"/>
      <c r="BC129" s="277"/>
      <c r="BD129" s="277"/>
      <c r="BE129" s="277"/>
      <c r="BF129" s="277"/>
      <c r="BG129" s="277"/>
      <c r="BH129" s="277"/>
      <c r="BI129" s="277"/>
      <c r="BJ129" s="277"/>
      <c r="BK129" s="277"/>
      <c r="BL129" s="277"/>
      <c r="BM129" s="369"/>
      <c r="BN129" s="369"/>
      <c r="BO129" s="358"/>
      <c r="BP129" s="358"/>
      <c r="BQ129" s="358"/>
      <c r="BR129" s="358"/>
      <c r="BS129" s="358"/>
      <c r="BT129" s="358"/>
      <c r="BU129" s="358"/>
      <c r="BV129" s="358"/>
      <c r="BW129" s="358"/>
      <c r="BX129" s="358"/>
      <c r="BY129" s="358"/>
      <c r="BZ129" s="358"/>
      <c r="CA129" s="358"/>
      <c r="CB129" s="358"/>
      <c r="CC129" s="358"/>
      <c r="CD129" s="358"/>
      <c r="CE129" s="358"/>
      <c r="CF129" s="358"/>
      <c r="CG129" s="358"/>
      <c r="CH129" s="26"/>
      <c r="CI129" s="26"/>
      <c r="CJ129" s="179"/>
      <c r="CK129" s="24"/>
      <c r="CL129" s="24"/>
      <c r="CM129" s="24"/>
      <c r="CN129" s="24"/>
      <c r="CO129" s="24"/>
      <c r="CP129" s="366"/>
      <c r="CQ129" s="366"/>
      <c r="CR129" s="358"/>
      <c r="CS129" s="358"/>
      <c r="CT129" s="358"/>
      <c r="CU129" s="358"/>
      <c r="CV129" s="366"/>
      <c r="CW129" s="366"/>
      <c r="CX129" s="358"/>
      <c r="CY129" s="358"/>
      <c r="CZ129" s="358"/>
      <c r="DA129" s="366"/>
      <c r="DB129" s="366"/>
      <c r="DC129" s="358"/>
      <c r="DD129" s="366"/>
      <c r="DE129" s="366"/>
    </row>
    <row r="130" spans="1:109" s="4" customFormat="1" ht="87.75" customHeight="1">
      <c r="A130" s="582"/>
      <c r="B130" s="593"/>
      <c r="C130" s="588" t="s">
        <v>328</v>
      </c>
      <c r="D130" s="573" t="s">
        <v>504</v>
      </c>
      <c r="E130" s="319">
        <v>6</v>
      </c>
      <c r="F130" s="418">
        <v>9</v>
      </c>
      <c r="G130" s="418">
        <v>0</v>
      </c>
      <c r="H130" s="407"/>
      <c r="I130" s="407"/>
      <c r="J130" s="407"/>
      <c r="K130" s="407"/>
      <c r="L130" s="407"/>
      <c r="M130" s="407"/>
      <c r="N130" s="407"/>
      <c r="O130" s="407"/>
      <c r="P130" s="407"/>
      <c r="Q130" s="407"/>
      <c r="R130" s="407"/>
      <c r="S130" s="407"/>
      <c r="T130" s="407"/>
      <c r="U130" s="407"/>
      <c r="V130" s="407"/>
      <c r="W130" s="407"/>
      <c r="X130" s="407"/>
      <c r="Y130" s="407"/>
      <c r="Z130" s="407"/>
      <c r="AA130" s="407"/>
      <c r="AB130" s="407"/>
      <c r="AC130" s="407"/>
      <c r="AD130" s="407"/>
      <c r="AE130" s="407"/>
      <c r="AF130" s="407"/>
      <c r="AG130" s="407"/>
      <c r="AH130" s="407"/>
      <c r="AI130" s="407"/>
      <c r="AJ130" s="325" t="s">
        <v>49</v>
      </c>
      <c r="AK130" s="325" t="s">
        <v>61</v>
      </c>
      <c r="AL130" s="290" t="s">
        <v>329</v>
      </c>
      <c r="AM130" s="182">
        <v>41409</v>
      </c>
      <c r="AN130" s="182">
        <v>41607</v>
      </c>
      <c r="AO130" s="319">
        <v>0</v>
      </c>
      <c r="AP130" s="638">
        <v>0</v>
      </c>
      <c r="AQ130" s="319">
        <v>0</v>
      </c>
      <c r="AR130" s="319">
        <v>0</v>
      </c>
      <c r="AS130" s="319">
        <v>5929920</v>
      </c>
      <c r="AT130" s="319">
        <v>0</v>
      </c>
      <c r="AU130" s="319">
        <v>0</v>
      </c>
      <c r="AV130" s="638">
        <v>0</v>
      </c>
      <c r="AW130" s="319">
        <v>0</v>
      </c>
      <c r="AX130" s="223"/>
      <c r="AY130" s="223"/>
      <c r="AZ130" s="223"/>
      <c r="BA130" s="223"/>
      <c r="BB130" s="223"/>
      <c r="BC130" s="223"/>
      <c r="BD130" s="223"/>
      <c r="BE130" s="223"/>
      <c r="BF130" s="223"/>
      <c r="BG130" s="223"/>
      <c r="BH130" s="223"/>
      <c r="BI130" s="223"/>
      <c r="BJ130" s="223"/>
      <c r="BK130" s="223"/>
      <c r="BL130" s="223"/>
      <c r="BM130" s="367"/>
      <c r="BN130" s="367"/>
      <c r="BO130" s="357"/>
      <c r="BP130" s="357"/>
      <c r="BQ130" s="357"/>
      <c r="BR130" s="357"/>
      <c r="BS130" s="357"/>
      <c r="BT130" s="357"/>
      <c r="BU130" s="357"/>
      <c r="BV130" s="357"/>
      <c r="BW130" s="357"/>
      <c r="BX130" s="357"/>
      <c r="BY130" s="357"/>
      <c r="BZ130" s="357"/>
      <c r="CA130" s="357"/>
      <c r="CB130" s="357"/>
      <c r="CC130" s="357"/>
      <c r="CD130" s="357"/>
      <c r="CE130" s="357"/>
      <c r="CF130" s="357"/>
      <c r="CG130" s="357"/>
      <c r="CH130" s="26">
        <f>SUM(BW130:CG130)</f>
        <v>0</v>
      </c>
      <c r="CI130" s="26">
        <f>CH130+BV130</f>
        <v>0</v>
      </c>
      <c r="CJ130" s="179"/>
      <c r="CK130" s="24"/>
      <c r="CL130" s="24"/>
      <c r="CM130" s="24"/>
      <c r="CN130" s="24"/>
      <c r="CO130" s="24"/>
      <c r="CP130" s="26">
        <f>SUM(CK130:CO130)</f>
        <v>0</v>
      </c>
      <c r="CQ130" s="26">
        <f>CP130+CJ130</f>
        <v>0</v>
      </c>
      <c r="CR130" s="179"/>
      <c r="CS130" s="24"/>
      <c r="CT130" s="24"/>
      <c r="CU130" s="24"/>
      <c r="CV130" s="26">
        <f>SUM(CS130:CU130)</f>
        <v>0</v>
      </c>
      <c r="CW130" s="364">
        <f>CV130+CR130</f>
        <v>0</v>
      </c>
      <c r="CX130" s="357"/>
      <c r="CY130" s="357"/>
      <c r="CZ130" s="357"/>
      <c r="DA130" s="364">
        <f>SUM(CY130:CZ130)</f>
        <v>0</v>
      </c>
      <c r="DB130" s="364">
        <f>DA130+CX130</f>
        <v>0</v>
      </c>
      <c r="DC130" s="357"/>
      <c r="DD130" s="364">
        <f>DB130+CW130+CQ130+CI130+DC130</f>
        <v>0</v>
      </c>
      <c r="DE130" s="364"/>
    </row>
    <row r="131" spans="1:109" s="4" customFormat="1" ht="48">
      <c r="A131" s="582"/>
      <c r="B131" s="593"/>
      <c r="C131" s="589"/>
      <c r="D131" s="574"/>
      <c r="E131" s="319"/>
      <c r="F131" s="420"/>
      <c r="G131" s="420"/>
      <c r="H131" s="407"/>
      <c r="I131" s="407"/>
      <c r="J131" s="407"/>
      <c r="K131" s="407"/>
      <c r="L131" s="407"/>
      <c r="M131" s="407"/>
      <c r="N131" s="407"/>
      <c r="O131" s="407"/>
      <c r="P131" s="407"/>
      <c r="Q131" s="407"/>
      <c r="R131" s="407"/>
      <c r="S131" s="407"/>
      <c r="T131" s="407"/>
      <c r="U131" s="407"/>
      <c r="V131" s="407"/>
      <c r="W131" s="407"/>
      <c r="X131" s="407"/>
      <c r="Y131" s="407"/>
      <c r="Z131" s="407"/>
      <c r="AA131" s="407"/>
      <c r="AB131" s="407"/>
      <c r="AC131" s="407"/>
      <c r="AD131" s="407"/>
      <c r="AE131" s="407"/>
      <c r="AF131" s="407"/>
      <c r="AG131" s="407"/>
      <c r="AH131" s="407"/>
      <c r="AI131" s="407"/>
      <c r="AJ131" s="327"/>
      <c r="AK131" s="327"/>
      <c r="AL131" s="290" t="s">
        <v>330</v>
      </c>
      <c r="AM131" s="182">
        <v>41610</v>
      </c>
      <c r="AN131" s="182">
        <v>41820</v>
      </c>
      <c r="AO131" s="319"/>
      <c r="AP131" s="638"/>
      <c r="AQ131" s="319"/>
      <c r="AR131" s="319"/>
      <c r="AS131" s="319"/>
      <c r="AT131" s="319"/>
      <c r="AU131" s="319"/>
      <c r="AV131" s="638"/>
      <c r="AW131" s="319"/>
      <c r="AX131" s="224"/>
      <c r="AY131" s="224"/>
      <c r="AZ131" s="224"/>
      <c r="BA131" s="224"/>
      <c r="BB131" s="224"/>
      <c r="BC131" s="224"/>
      <c r="BD131" s="224"/>
      <c r="BE131" s="224"/>
      <c r="BF131" s="224"/>
      <c r="BG131" s="224"/>
      <c r="BH131" s="224"/>
      <c r="BI131" s="224"/>
      <c r="BJ131" s="224"/>
      <c r="BK131" s="224"/>
      <c r="BL131" s="224"/>
      <c r="BM131" s="369"/>
      <c r="BN131" s="369"/>
      <c r="BO131" s="358"/>
      <c r="BP131" s="358"/>
      <c r="BQ131" s="358"/>
      <c r="BR131" s="358"/>
      <c r="BS131" s="358"/>
      <c r="BT131" s="358"/>
      <c r="BU131" s="358"/>
      <c r="BV131" s="358"/>
      <c r="BW131" s="358"/>
      <c r="BX131" s="358"/>
      <c r="BY131" s="358"/>
      <c r="BZ131" s="358"/>
      <c r="CA131" s="358"/>
      <c r="CB131" s="358"/>
      <c r="CC131" s="358"/>
      <c r="CD131" s="358"/>
      <c r="CE131" s="358"/>
      <c r="CF131" s="358"/>
      <c r="CG131" s="358"/>
      <c r="CH131" s="26"/>
      <c r="CI131" s="26"/>
      <c r="CJ131" s="179"/>
      <c r="CK131" s="24"/>
      <c r="CL131" s="24"/>
      <c r="CM131" s="24"/>
      <c r="CN131" s="24"/>
      <c r="CO131" s="24"/>
      <c r="CP131" s="26"/>
      <c r="CQ131" s="26"/>
      <c r="CR131" s="179"/>
      <c r="CS131" s="24"/>
      <c r="CT131" s="24"/>
      <c r="CU131" s="24"/>
      <c r="CV131" s="26"/>
      <c r="CW131" s="366"/>
      <c r="CX131" s="358"/>
      <c r="CY131" s="358"/>
      <c r="CZ131" s="358"/>
      <c r="DA131" s="366"/>
      <c r="DB131" s="366"/>
      <c r="DC131" s="358"/>
      <c r="DD131" s="366"/>
      <c r="DE131" s="366"/>
    </row>
    <row r="132" spans="1:109" s="4" customFormat="1" ht="33" customHeight="1">
      <c r="A132" s="582"/>
      <c r="B132" s="593"/>
      <c r="C132" s="589"/>
      <c r="D132" s="604" t="s">
        <v>505</v>
      </c>
      <c r="E132" s="319">
        <v>5000</v>
      </c>
      <c r="F132" s="418">
        <v>9200</v>
      </c>
      <c r="G132" s="418">
        <v>9200</v>
      </c>
      <c r="H132" s="407"/>
      <c r="I132" s="407"/>
      <c r="J132" s="407"/>
      <c r="K132" s="407"/>
      <c r="L132" s="407"/>
      <c r="M132" s="407"/>
      <c r="N132" s="407"/>
      <c r="O132" s="407"/>
      <c r="P132" s="407"/>
      <c r="Q132" s="407"/>
      <c r="R132" s="407"/>
      <c r="S132" s="407"/>
      <c r="T132" s="407"/>
      <c r="U132" s="407"/>
      <c r="V132" s="407"/>
      <c r="W132" s="407"/>
      <c r="X132" s="407"/>
      <c r="Y132" s="407"/>
      <c r="Z132" s="407"/>
      <c r="AA132" s="407"/>
      <c r="AB132" s="407"/>
      <c r="AC132" s="407"/>
      <c r="AD132" s="407"/>
      <c r="AE132" s="407"/>
      <c r="AF132" s="407"/>
      <c r="AG132" s="407"/>
      <c r="AH132" s="407"/>
      <c r="AI132" s="407"/>
      <c r="AJ132" s="639" t="s">
        <v>185</v>
      </c>
      <c r="AK132" s="639" t="s">
        <v>24</v>
      </c>
      <c r="AL132" s="127" t="s">
        <v>186</v>
      </c>
      <c r="AM132" s="182">
        <v>41409</v>
      </c>
      <c r="AN132" s="182">
        <v>41485</v>
      </c>
      <c r="AO132" s="319">
        <v>60000000</v>
      </c>
      <c r="AP132" s="319">
        <v>12100000</v>
      </c>
      <c r="AQ132" s="319">
        <f>AO132-AP132</f>
        <v>47900000</v>
      </c>
      <c r="AR132" s="319">
        <v>60000000</v>
      </c>
      <c r="AS132" s="319">
        <f>12100000</f>
        <v>12100000</v>
      </c>
      <c r="AT132" s="319">
        <f>AR132-AS132</f>
        <v>47900000</v>
      </c>
      <c r="AU132" s="319">
        <v>60000000</v>
      </c>
      <c r="AV132" s="319">
        <v>12100000</v>
      </c>
      <c r="AW132" s="319">
        <f>AU132-AV132</f>
        <v>47900000</v>
      </c>
      <c r="AX132" s="223"/>
      <c r="AY132" s="223"/>
      <c r="AZ132" s="223"/>
      <c r="BA132" s="223"/>
      <c r="BB132" s="223"/>
      <c r="BC132" s="223"/>
      <c r="BD132" s="223"/>
      <c r="BE132" s="223"/>
      <c r="BF132" s="223"/>
      <c r="BG132" s="223"/>
      <c r="BH132" s="223"/>
      <c r="BI132" s="223"/>
      <c r="BJ132" s="223"/>
      <c r="BK132" s="223"/>
      <c r="BL132" s="223"/>
      <c r="BM132" s="367"/>
      <c r="BN132" s="367"/>
      <c r="BO132" s="357"/>
      <c r="BP132" s="357"/>
      <c r="BQ132" s="357"/>
      <c r="BR132" s="357"/>
      <c r="BS132" s="357"/>
      <c r="BT132" s="357"/>
      <c r="BU132" s="357">
        <v>150000000</v>
      </c>
      <c r="BV132" s="357"/>
      <c r="BW132" s="357"/>
      <c r="BX132" s="357"/>
      <c r="BY132" s="357"/>
      <c r="BZ132" s="357"/>
      <c r="CA132" s="357"/>
      <c r="CB132" s="357"/>
      <c r="CC132" s="357"/>
      <c r="CD132" s="357"/>
      <c r="CE132" s="357"/>
      <c r="CF132" s="357"/>
      <c r="CG132" s="357"/>
      <c r="CH132" s="335">
        <f>SUM(BW132:CG133)</f>
        <v>0</v>
      </c>
      <c r="CI132" s="335">
        <f>CH132+BV132</f>
        <v>0</v>
      </c>
      <c r="CJ132" s="335"/>
      <c r="CK132" s="335"/>
      <c r="CL132" s="335"/>
      <c r="CM132" s="335"/>
      <c r="CN132" s="335"/>
      <c r="CO132" s="335"/>
      <c r="CP132" s="335">
        <f>SUM(CK132:CO133)</f>
        <v>0</v>
      </c>
      <c r="CQ132" s="335">
        <f>CP132+CJ132</f>
        <v>0</v>
      </c>
      <c r="CR132" s="335"/>
      <c r="CS132" s="335"/>
      <c r="CT132" s="335"/>
      <c r="CU132" s="335"/>
      <c r="CV132" s="335">
        <f>SUM(CS132:CU133)</f>
        <v>0</v>
      </c>
      <c r="CW132" s="357">
        <f>CV132+CR132</f>
        <v>0</v>
      </c>
      <c r="CX132" s="357"/>
      <c r="CY132" s="357"/>
      <c r="CZ132" s="357"/>
      <c r="DA132" s="357">
        <f>SUM(CY132:CZ133)</f>
        <v>0</v>
      </c>
      <c r="DB132" s="357">
        <f>DA132+CX132</f>
        <v>0</v>
      </c>
      <c r="DC132" s="357">
        <v>11500000</v>
      </c>
      <c r="DD132" s="357">
        <f>DB132+CW132+CQ132+CI132+DC132</f>
        <v>11500000</v>
      </c>
      <c r="DE132" s="357"/>
    </row>
    <row r="133" spans="1:109" s="4" customFormat="1" ht="96">
      <c r="A133" s="582"/>
      <c r="B133" s="593"/>
      <c r="C133" s="589"/>
      <c r="D133" s="605"/>
      <c r="E133" s="319"/>
      <c r="F133" s="419"/>
      <c r="G133" s="419"/>
      <c r="H133" s="407"/>
      <c r="I133" s="407"/>
      <c r="J133" s="407"/>
      <c r="K133" s="407"/>
      <c r="L133" s="407"/>
      <c r="M133" s="407"/>
      <c r="N133" s="407"/>
      <c r="O133" s="407"/>
      <c r="P133" s="407"/>
      <c r="Q133" s="407"/>
      <c r="R133" s="407"/>
      <c r="S133" s="407"/>
      <c r="T133" s="407"/>
      <c r="U133" s="407"/>
      <c r="V133" s="407"/>
      <c r="W133" s="407"/>
      <c r="X133" s="407"/>
      <c r="Y133" s="407"/>
      <c r="Z133" s="407"/>
      <c r="AA133" s="407"/>
      <c r="AB133" s="407"/>
      <c r="AC133" s="407"/>
      <c r="AD133" s="407"/>
      <c r="AE133" s="407"/>
      <c r="AF133" s="407"/>
      <c r="AG133" s="407"/>
      <c r="AH133" s="407"/>
      <c r="AI133" s="407"/>
      <c r="AJ133" s="640"/>
      <c r="AK133" s="640"/>
      <c r="AL133" s="127" t="s">
        <v>520</v>
      </c>
      <c r="AM133" s="182">
        <v>41456</v>
      </c>
      <c r="AN133" s="182">
        <v>41517</v>
      </c>
      <c r="AO133" s="319"/>
      <c r="AP133" s="319"/>
      <c r="AQ133" s="319"/>
      <c r="AR133" s="319"/>
      <c r="AS133" s="319"/>
      <c r="AT133" s="319"/>
      <c r="AU133" s="319"/>
      <c r="AV133" s="319"/>
      <c r="AW133" s="319"/>
      <c r="AX133" s="125"/>
      <c r="AY133" s="125"/>
      <c r="AZ133" s="125"/>
      <c r="BA133" s="125"/>
      <c r="BB133" s="125"/>
      <c r="BC133" s="125"/>
      <c r="BD133" s="125"/>
      <c r="BE133" s="125"/>
      <c r="BF133" s="125"/>
      <c r="BG133" s="125"/>
      <c r="BH133" s="125"/>
      <c r="BI133" s="125"/>
      <c r="BJ133" s="125"/>
      <c r="BK133" s="125"/>
      <c r="BL133" s="125"/>
      <c r="BM133" s="368"/>
      <c r="BN133" s="368"/>
      <c r="BO133" s="359"/>
      <c r="BP133" s="359"/>
      <c r="BQ133" s="359"/>
      <c r="BR133" s="359"/>
      <c r="BS133" s="359"/>
      <c r="BT133" s="359"/>
      <c r="BU133" s="359"/>
      <c r="BV133" s="359"/>
      <c r="BW133" s="359"/>
      <c r="BX133" s="359"/>
      <c r="BY133" s="359"/>
      <c r="BZ133" s="359"/>
      <c r="CA133" s="359"/>
      <c r="CB133" s="359"/>
      <c r="CC133" s="359"/>
      <c r="CD133" s="359"/>
      <c r="CE133" s="359"/>
      <c r="CF133" s="359"/>
      <c r="CG133" s="359"/>
      <c r="CH133" s="335"/>
      <c r="CI133" s="335"/>
      <c r="CJ133" s="335"/>
      <c r="CK133" s="335"/>
      <c r="CL133" s="335"/>
      <c r="CM133" s="335"/>
      <c r="CN133" s="335"/>
      <c r="CO133" s="335"/>
      <c r="CP133" s="335"/>
      <c r="CQ133" s="335"/>
      <c r="CR133" s="335"/>
      <c r="CS133" s="335"/>
      <c r="CT133" s="335"/>
      <c r="CU133" s="335"/>
      <c r="CV133" s="335"/>
      <c r="CW133" s="359"/>
      <c r="CX133" s="359"/>
      <c r="CY133" s="359"/>
      <c r="CZ133" s="359"/>
      <c r="DA133" s="359"/>
      <c r="DB133" s="359"/>
      <c r="DC133" s="359"/>
      <c r="DD133" s="359"/>
      <c r="DE133" s="359"/>
    </row>
    <row r="134" spans="1:109" s="4" customFormat="1" ht="72">
      <c r="A134" s="582"/>
      <c r="B134" s="593"/>
      <c r="C134" s="590"/>
      <c r="D134" s="606"/>
      <c r="E134" s="319"/>
      <c r="F134" s="420"/>
      <c r="G134" s="420"/>
      <c r="H134" s="407"/>
      <c r="I134" s="407"/>
      <c r="J134" s="407"/>
      <c r="K134" s="407"/>
      <c r="L134" s="407"/>
      <c r="M134" s="407"/>
      <c r="N134" s="407"/>
      <c r="O134" s="407"/>
      <c r="P134" s="407"/>
      <c r="Q134" s="407"/>
      <c r="R134" s="407"/>
      <c r="S134" s="407"/>
      <c r="T134" s="407"/>
      <c r="U134" s="407"/>
      <c r="V134" s="407"/>
      <c r="W134" s="407"/>
      <c r="X134" s="407"/>
      <c r="Y134" s="407"/>
      <c r="Z134" s="407"/>
      <c r="AA134" s="407"/>
      <c r="AB134" s="407"/>
      <c r="AC134" s="407"/>
      <c r="AD134" s="407"/>
      <c r="AE134" s="407"/>
      <c r="AF134" s="407"/>
      <c r="AG134" s="407"/>
      <c r="AH134" s="407"/>
      <c r="AI134" s="407"/>
      <c r="AJ134" s="640"/>
      <c r="AK134" s="641"/>
      <c r="AL134" s="127" t="s">
        <v>521</v>
      </c>
      <c r="AM134" s="182">
        <v>41487</v>
      </c>
      <c r="AN134" s="182">
        <v>41607</v>
      </c>
      <c r="AO134" s="319"/>
      <c r="AP134" s="319"/>
      <c r="AQ134" s="319"/>
      <c r="AR134" s="319"/>
      <c r="AS134" s="319"/>
      <c r="AT134" s="319"/>
      <c r="AU134" s="319"/>
      <c r="AV134" s="319"/>
      <c r="AW134" s="319"/>
      <c r="AX134" s="125"/>
      <c r="AY134" s="125"/>
      <c r="AZ134" s="125"/>
      <c r="BA134" s="125"/>
      <c r="BB134" s="125"/>
      <c r="BC134" s="125"/>
      <c r="BD134" s="125"/>
      <c r="BE134" s="125"/>
      <c r="BF134" s="125"/>
      <c r="BG134" s="125"/>
      <c r="BH134" s="125"/>
      <c r="BI134" s="125"/>
      <c r="BJ134" s="125"/>
      <c r="BK134" s="125"/>
      <c r="BL134" s="125"/>
      <c r="BM134" s="368"/>
      <c r="BN134" s="368"/>
      <c r="BO134" s="359"/>
      <c r="BP134" s="359"/>
      <c r="BQ134" s="359"/>
      <c r="BR134" s="359"/>
      <c r="BS134" s="359"/>
      <c r="BT134" s="359"/>
      <c r="BU134" s="359"/>
      <c r="BV134" s="359"/>
      <c r="BW134" s="359"/>
      <c r="BX134" s="359"/>
      <c r="BY134" s="359"/>
      <c r="BZ134" s="359"/>
      <c r="CA134" s="359"/>
      <c r="CB134" s="359"/>
      <c r="CC134" s="359"/>
      <c r="CD134" s="359"/>
      <c r="CE134" s="359"/>
      <c r="CF134" s="359"/>
      <c r="CG134" s="359"/>
      <c r="CH134" s="220"/>
      <c r="CI134" s="220"/>
      <c r="CJ134" s="179"/>
      <c r="CK134" s="179"/>
      <c r="CL134" s="179"/>
      <c r="CM134" s="179"/>
      <c r="CN134" s="179"/>
      <c r="CO134" s="179"/>
      <c r="CP134" s="179"/>
      <c r="CQ134" s="179"/>
      <c r="CR134" s="179"/>
      <c r="CS134" s="179"/>
      <c r="CT134" s="179"/>
      <c r="CU134" s="179"/>
      <c r="CV134" s="179"/>
      <c r="CW134" s="359"/>
      <c r="CX134" s="359"/>
      <c r="CY134" s="359"/>
      <c r="CZ134" s="359"/>
      <c r="DA134" s="359"/>
      <c r="DB134" s="359"/>
      <c r="DC134" s="359"/>
      <c r="DD134" s="359"/>
      <c r="DE134" s="359"/>
    </row>
    <row r="135" spans="1:109" s="4" customFormat="1" ht="48" customHeight="1">
      <c r="A135" s="582"/>
      <c r="B135" s="593"/>
      <c r="C135" s="588" t="s">
        <v>334</v>
      </c>
      <c r="D135" s="588" t="s">
        <v>506</v>
      </c>
      <c r="E135" s="554" t="s">
        <v>656</v>
      </c>
      <c r="F135" s="554" t="s">
        <v>656</v>
      </c>
      <c r="G135" s="554" t="s">
        <v>656</v>
      </c>
      <c r="H135" s="407"/>
      <c r="I135" s="407"/>
      <c r="J135" s="407"/>
      <c r="K135" s="407"/>
      <c r="L135" s="407"/>
      <c r="M135" s="407"/>
      <c r="N135" s="407"/>
      <c r="O135" s="407"/>
      <c r="P135" s="407"/>
      <c r="Q135" s="407"/>
      <c r="R135" s="407"/>
      <c r="S135" s="407"/>
      <c r="T135" s="407"/>
      <c r="U135" s="407"/>
      <c r="V135" s="407"/>
      <c r="W135" s="407"/>
      <c r="X135" s="407"/>
      <c r="Y135" s="407"/>
      <c r="Z135" s="407"/>
      <c r="AA135" s="407"/>
      <c r="AB135" s="407"/>
      <c r="AC135" s="407"/>
      <c r="AD135" s="407"/>
      <c r="AE135" s="407"/>
      <c r="AF135" s="407"/>
      <c r="AG135" s="407"/>
      <c r="AH135" s="407"/>
      <c r="AI135" s="407"/>
      <c r="AJ135" s="325" t="s">
        <v>65</v>
      </c>
      <c r="AK135" s="325" t="s">
        <v>62</v>
      </c>
      <c r="AL135" s="129" t="s">
        <v>335</v>
      </c>
      <c r="AM135" s="186">
        <v>41456</v>
      </c>
      <c r="AN135" s="186">
        <v>41486</v>
      </c>
      <c r="AO135" s="550">
        <v>70187100</v>
      </c>
      <c r="AP135" s="638">
        <v>63149920</v>
      </c>
      <c r="AQ135" s="550">
        <f>AO135-AP135</f>
        <v>7037180</v>
      </c>
      <c r="AR135" s="550">
        <v>70187100</v>
      </c>
      <c r="AS135" s="319">
        <f>63149920+12500000+219633+2225000+366055+606377</f>
        <v>79066985</v>
      </c>
      <c r="AT135" s="550">
        <f>AR135-AS135</f>
        <v>-8879885</v>
      </c>
      <c r="AU135" s="550">
        <v>70187100</v>
      </c>
      <c r="AV135" s="638">
        <v>63149920</v>
      </c>
      <c r="AW135" s="550">
        <f>AU135-AV135</f>
        <v>7037180</v>
      </c>
      <c r="AX135" s="239"/>
      <c r="AY135" s="239"/>
      <c r="AZ135" s="239"/>
      <c r="BA135" s="239"/>
      <c r="BB135" s="239"/>
      <c r="BC135" s="239"/>
      <c r="BD135" s="239"/>
      <c r="BE135" s="239"/>
      <c r="BF135" s="239"/>
      <c r="BG135" s="239"/>
      <c r="BH135" s="239"/>
      <c r="BI135" s="239"/>
      <c r="BJ135" s="239"/>
      <c r="BK135" s="239"/>
      <c r="BL135" s="239"/>
      <c r="BM135" s="367"/>
      <c r="BN135" s="367"/>
      <c r="BO135" s="357"/>
      <c r="BP135" s="357"/>
      <c r="BQ135" s="357"/>
      <c r="BR135" s="357"/>
      <c r="BS135" s="357"/>
      <c r="BT135" s="357"/>
      <c r="BU135" s="357">
        <v>135000000</v>
      </c>
      <c r="BV135" s="357"/>
      <c r="BW135" s="357"/>
      <c r="BX135" s="357"/>
      <c r="BY135" s="357"/>
      <c r="BZ135" s="357"/>
      <c r="CA135" s="357"/>
      <c r="CB135" s="357"/>
      <c r="CC135" s="357"/>
      <c r="CD135" s="357"/>
      <c r="CE135" s="357"/>
      <c r="CF135" s="357"/>
      <c r="CG135" s="357"/>
      <c r="CH135" s="310">
        <f>SUM(BW135:CG138)</f>
        <v>0</v>
      </c>
      <c r="CI135" s="310">
        <f>CH135+BV135</f>
        <v>0</v>
      </c>
      <c r="CJ135" s="335"/>
      <c r="CK135" s="335"/>
      <c r="CL135" s="335"/>
      <c r="CM135" s="335"/>
      <c r="CN135" s="335"/>
      <c r="CO135" s="335"/>
      <c r="CP135" s="310">
        <f>SUM(CK135:CO138)</f>
        <v>0</v>
      </c>
      <c r="CQ135" s="310">
        <f>CP135+CJ135</f>
        <v>0</v>
      </c>
      <c r="CR135" s="335"/>
      <c r="CS135" s="335"/>
      <c r="CT135" s="335"/>
      <c r="CU135" s="335"/>
      <c r="CV135" s="310">
        <f>SUM(CS135:CU138)</f>
        <v>0</v>
      </c>
      <c r="CW135" s="364">
        <f>CV135+CR135</f>
        <v>0</v>
      </c>
      <c r="CX135" s="357"/>
      <c r="CY135" s="357"/>
      <c r="CZ135" s="357"/>
      <c r="DA135" s="364">
        <f>SUM(CY135:CZ138)</f>
        <v>0</v>
      </c>
      <c r="DB135" s="364">
        <f>DA135+CX135</f>
        <v>0</v>
      </c>
      <c r="DC135" s="357"/>
      <c r="DD135" s="364">
        <f>DB135+CW135+CQ135+CI135+DC135</f>
        <v>0</v>
      </c>
      <c r="DE135" s="364"/>
    </row>
    <row r="136" spans="1:109" s="4" customFormat="1" ht="60">
      <c r="A136" s="582"/>
      <c r="B136" s="593"/>
      <c r="C136" s="589"/>
      <c r="D136" s="589"/>
      <c r="E136" s="555"/>
      <c r="F136" s="555"/>
      <c r="G136" s="555"/>
      <c r="H136" s="407"/>
      <c r="I136" s="407"/>
      <c r="J136" s="407"/>
      <c r="K136" s="407"/>
      <c r="L136" s="407"/>
      <c r="M136" s="407"/>
      <c r="N136" s="407"/>
      <c r="O136" s="407"/>
      <c r="P136" s="407"/>
      <c r="Q136" s="407"/>
      <c r="R136" s="407"/>
      <c r="S136" s="407"/>
      <c r="T136" s="407"/>
      <c r="U136" s="407"/>
      <c r="V136" s="407"/>
      <c r="W136" s="407"/>
      <c r="X136" s="407"/>
      <c r="Y136" s="407"/>
      <c r="Z136" s="407"/>
      <c r="AA136" s="407"/>
      <c r="AB136" s="407"/>
      <c r="AC136" s="407"/>
      <c r="AD136" s="407"/>
      <c r="AE136" s="407"/>
      <c r="AF136" s="407"/>
      <c r="AG136" s="407"/>
      <c r="AH136" s="407"/>
      <c r="AI136" s="407"/>
      <c r="AJ136" s="326"/>
      <c r="AK136" s="326"/>
      <c r="AL136" s="127" t="s">
        <v>336</v>
      </c>
      <c r="AM136" s="182">
        <v>41409</v>
      </c>
      <c r="AN136" s="182">
        <v>41882</v>
      </c>
      <c r="AO136" s="550"/>
      <c r="AP136" s="638"/>
      <c r="AQ136" s="550"/>
      <c r="AR136" s="550"/>
      <c r="AS136" s="319"/>
      <c r="AT136" s="550"/>
      <c r="AU136" s="550"/>
      <c r="AV136" s="638"/>
      <c r="AW136" s="550"/>
      <c r="AX136" s="125"/>
      <c r="AY136" s="125"/>
      <c r="AZ136" s="125"/>
      <c r="BA136" s="125"/>
      <c r="BB136" s="125"/>
      <c r="BC136" s="125"/>
      <c r="BD136" s="125"/>
      <c r="BE136" s="125"/>
      <c r="BF136" s="125"/>
      <c r="BG136" s="125"/>
      <c r="BH136" s="125"/>
      <c r="BI136" s="125"/>
      <c r="BJ136" s="125"/>
      <c r="BK136" s="125"/>
      <c r="BL136" s="125"/>
      <c r="BM136" s="368"/>
      <c r="BN136" s="368"/>
      <c r="BO136" s="359"/>
      <c r="BP136" s="359"/>
      <c r="BQ136" s="359"/>
      <c r="BR136" s="359"/>
      <c r="BS136" s="359"/>
      <c r="BT136" s="359"/>
      <c r="BU136" s="359"/>
      <c r="BV136" s="359"/>
      <c r="BW136" s="359"/>
      <c r="BX136" s="359"/>
      <c r="BY136" s="359"/>
      <c r="BZ136" s="359"/>
      <c r="CA136" s="359"/>
      <c r="CB136" s="359"/>
      <c r="CC136" s="359"/>
      <c r="CD136" s="359"/>
      <c r="CE136" s="359"/>
      <c r="CF136" s="359"/>
      <c r="CG136" s="359"/>
      <c r="CH136" s="310"/>
      <c r="CI136" s="310"/>
      <c r="CJ136" s="335"/>
      <c r="CK136" s="335"/>
      <c r="CL136" s="335"/>
      <c r="CM136" s="335"/>
      <c r="CN136" s="335"/>
      <c r="CO136" s="335"/>
      <c r="CP136" s="310"/>
      <c r="CQ136" s="310"/>
      <c r="CR136" s="335"/>
      <c r="CS136" s="335"/>
      <c r="CT136" s="335"/>
      <c r="CU136" s="335"/>
      <c r="CV136" s="310"/>
      <c r="CW136" s="365"/>
      <c r="CX136" s="359"/>
      <c r="CY136" s="359"/>
      <c r="CZ136" s="359"/>
      <c r="DA136" s="365"/>
      <c r="DB136" s="365"/>
      <c r="DC136" s="359"/>
      <c r="DD136" s="365"/>
      <c r="DE136" s="365"/>
    </row>
    <row r="137" spans="1:109" s="4" customFormat="1" ht="60">
      <c r="A137" s="582"/>
      <c r="B137" s="593"/>
      <c r="C137" s="589"/>
      <c r="D137" s="589"/>
      <c r="E137" s="555"/>
      <c r="F137" s="555"/>
      <c r="G137" s="555"/>
      <c r="H137" s="407"/>
      <c r="I137" s="407"/>
      <c r="J137" s="407"/>
      <c r="K137" s="407"/>
      <c r="L137" s="407"/>
      <c r="M137" s="407"/>
      <c r="N137" s="407"/>
      <c r="O137" s="407"/>
      <c r="P137" s="407"/>
      <c r="Q137" s="407"/>
      <c r="R137" s="407"/>
      <c r="S137" s="407"/>
      <c r="T137" s="407"/>
      <c r="U137" s="407"/>
      <c r="V137" s="407"/>
      <c r="W137" s="407"/>
      <c r="X137" s="407"/>
      <c r="Y137" s="407"/>
      <c r="Z137" s="407"/>
      <c r="AA137" s="407"/>
      <c r="AB137" s="407"/>
      <c r="AC137" s="407"/>
      <c r="AD137" s="407"/>
      <c r="AE137" s="407"/>
      <c r="AF137" s="407"/>
      <c r="AG137" s="407"/>
      <c r="AH137" s="407"/>
      <c r="AI137" s="407"/>
      <c r="AJ137" s="326"/>
      <c r="AK137" s="326"/>
      <c r="AL137" s="127" t="s">
        <v>337</v>
      </c>
      <c r="AM137" s="182">
        <v>41487</v>
      </c>
      <c r="AN137" s="182">
        <v>41820</v>
      </c>
      <c r="AO137" s="550"/>
      <c r="AP137" s="638"/>
      <c r="AQ137" s="550"/>
      <c r="AR137" s="550"/>
      <c r="AS137" s="319"/>
      <c r="AT137" s="550"/>
      <c r="AU137" s="550"/>
      <c r="AV137" s="638"/>
      <c r="AW137" s="550"/>
      <c r="AX137" s="125"/>
      <c r="AY137" s="125"/>
      <c r="AZ137" s="125"/>
      <c r="BA137" s="125"/>
      <c r="BB137" s="125"/>
      <c r="BC137" s="125"/>
      <c r="BD137" s="125"/>
      <c r="BE137" s="125"/>
      <c r="BF137" s="125"/>
      <c r="BG137" s="125"/>
      <c r="BH137" s="125"/>
      <c r="BI137" s="125"/>
      <c r="BJ137" s="125"/>
      <c r="BK137" s="125"/>
      <c r="BL137" s="125"/>
      <c r="BM137" s="368"/>
      <c r="BN137" s="368"/>
      <c r="BO137" s="359"/>
      <c r="BP137" s="359"/>
      <c r="BQ137" s="359"/>
      <c r="BR137" s="359"/>
      <c r="BS137" s="359"/>
      <c r="BT137" s="359"/>
      <c r="BU137" s="359"/>
      <c r="BV137" s="359"/>
      <c r="BW137" s="359"/>
      <c r="BX137" s="359"/>
      <c r="BY137" s="359"/>
      <c r="BZ137" s="359"/>
      <c r="CA137" s="359"/>
      <c r="CB137" s="359"/>
      <c r="CC137" s="359"/>
      <c r="CD137" s="359"/>
      <c r="CE137" s="359"/>
      <c r="CF137" s="359"/>
      <c r="CG137" s="359"/>
      <c r="CH137" s="310"/>
      <c r="CI137" s="310"/>
      <c r="CJ137" s="335"/>
      <c r="CK137" s="335"/>
      <c r="CL137" s="335"/>
      <c r="CM137" s="335"/>
      <c r="CN137" s="335"/>
      <c r="CO137" s="335"/>
      <c r="CP137" s="310"/>
      <c r="CQ137" s="310"/>
      <c r="CR137" s="335"/>
      <c r="CS137" s="335"/>
      <c r="CT137" s="335"/>
      <c r="CU137" s="335"/>
      <c r="CV137" s="310"/>
      <c r="CW137" s="365"/>
      <c r="CX137" s="359"/>
      <c r="CY137" s="359"/>
      <c r="CZ137" s="359"/>
      <c r="DA137" s="365"/>
      <c r="DB137" s="365"/>
      <c r="DC137" s="359"/>
      <c r="DD137" s="365"/>
      <c r="DE137" s="365"/>
    </row>
    <row r="138" spans="1:109" s="4" customFormat="1" ht="60">
      <c r="A138" s="582"/>
      <c r="B138" s="593"/>
      <c r="C138" s="589"/>
      <c r="D138" s="589"/>
      <c r="E138" s="555"/>
      <c r="F138" s="555"/>
      <c r="G138" s="555"/>
      <c r="H138" s="407"/>
      <c r="I138" s="407"/>
      <c r="J138" s="407"/>
      <c r="K138" s="407"/>
      <c r="L138" s="407"/>
      <c r="M138" s="407"/>
      <c r="N138" s="407"/>
      <c r="O138" s="407"/>
      <c r="P138" s="407"/>
      <c r="Q138" s="407"/>
      <c r="R138" s="407"/>
      <c r="S138" s="407"/>
      <c r="T138" s="407"/>
      <c r="U138" s="407"/>
      <c r="V138" s="407"/>
      <c r="W138" s="407"/>
      <c r="X138" s="407"/>
      <c r="Y138" s="407"/>
      <c r="Z138" s="407"/>
      <c r="AA138" s="407"/>
      <c r="AB138" s="407"/>
      <c r="AC138" s="407"/>
      <c r="AD138" s="407"/>
      <c r="AE138" s="407"/>
      <c r="AF138" s="407"/>
      <c r="AG138" s="407"/>
      <c r="AH138" s="407"/>
      <c r="AI138" s="407"/>
      <c r="AJ138" s="326"/>
      <c r="AK138" s="326"/>
      <c r="AL138" s="94" t="s">
        <v>338</v>
      </c>
      <c r="AM138" s="187">
        <v>41426</v>
      </c>
      <c r="AN138" s="187">
        <v>41517</v>
      </c>
      <c r="AO138" s="550"/>
      <c r="AP138" s="638"/>
      <c r="AQ138" s="550"/>
      <c r="AR138" s="550"/>
      <c r="AS138" s="319"/>
      <c r="AT138" s="550"/>
      <c r="AU138" s="550"/>
      <c r="AV138" s="638"/>
      <c r="AW138" s="550"/>
      <c r="AX138" s="237"/>
      <c r="AY138" s="237"/>
      <c r="AZ138" s="237"/>
      <c r="BA138" s="237"/>
      <c r="BB138" s="237"/>
      <c r="BC138" s="237"/>
      <c r="BD138" s="237"/>
      <c r="BE138" s="237"/>
      <c r="BF138" s="237"/>
      <c r="BG138" s="237"/>
      <c r="BH138" s="237"/>
      <c r="BI138" s="237"/>
      <c r="BJ138" s="237"/>
      <c r="BK138" s="237"/>
      <c r="BL138" s="237"/>
      <c r="BM138" s="368"/>
      <c r="BN138" s="368"/>
      <c r="BO138" s="359"/>
      <c r="BP138" s="359"/>
      <c r="BQ138" s="359"/>
      <c r="BR138" s="359"/>
      <c r="BS138" s="359"/>
      <c r="BT138" s="359"/>
      <c r="BU138" s="359"/>
      <c r="BV138" s="359"/>
      <c r="BW138" s="359"/>
      <c r="BX138" s="359"/>
      <c r="BY138" s="359"/>
      <c r="BZ138" s="359"/>
      <c r="CA138" s="359"/>
      <c r="CB138" s="359"/>
      <c r="CC138" s="359"/>
      <c r="CD138" s="359"/>
      <c r="CE138" s="359"/>
      <c r="CF138" s="359"/>
      <c r="CG138" s="359"/>
      <c r="CH138" s="310"/>
      <c r="CI138" s="310"/>
      <c r="CJ138" s="335"/>
      <c r="CK138" s="335"/>
      <c r="CL138" s="335"/>
      <c r="CM138" s="335"/>
      <c r="CN138" s="335"/>
      <c r="CO138" s="335"/>
      <c r="CP138" s="310"/>
      <c r="CQ138" s="310"/>
      <c r="CR138" s="335"/>
      <c r="CS138" s="335"/>
      <c r="CT138" s="335"/>
      <c r="CU138" s="335"/>
      <c r="CV138" s="310"/>
      <c r="CW138" s="365"/>
      <c r="CX138" s="359"/>
      <c r="CY138" s="359"/>
      <c r="CZ138" s="359"/>
      <c r="DA138" s="365"/>
      <c r="DB138" s="365"/>
      <c r="DC138" s="359"/>
      <c r="DD138" s="365"/>
      <c r="DE138" s="365"/>
    </row>
    <row r="139" spans="1:109" s="4" customFormat="1" ht="48">
      <c r="A139" s="582"/>
      <c r="B139" s="593"/>
      <c r="C139" s="589"/>
      <c r="D139" s="589"/>
      <c r="E139" s="555"/>
      <c r="F139" s="555"/>
      <c r="G139" s="555"/>
      <c r="H139" s="407"/>
      <c r="I139" s="407"/>
      <c r="J139" s="407"/>
      <c r="K139" s="407"/>
      <c r="L139" s="407"/>
      <c r="M139" s="407"/>
      <c r="N139" s="407"/>
      <c r="O139" s="407"/>
      <c r="P139" s="407"/>
      <c r="Q139" s="407"/>
      <c r="R139" s="407"/>
      <c r="S139" s="407"/>
      <c r="T139" s="407"/>
      <c r="U139" s="407"/>
      <c r="V139" s="407"/>
      <c r="W139" s="407"/>
      <c r="X139" s="407"/>
      <c r="Y139" s="407"/>
      <c r="Z139" s="407"/>
      <c r="AA139" s="407"/>
      <c r="AB139" s="407"/>
      <c r="AC139" s="407"/>
      <c r="AD139" s="407"/>
      <c r="AE139" s="407"/>
      <c r="AF139" s="407"/>
      <c r="AG139" s="407"/>
      <c r="AH139" s="407"/>
      <c r="AI139" s="407"/>
      <c r="AJ139" s="326"/>
      <c r="AK139" s="326"/>
      <c r="AL139" s="94" t="s">
        <v>522</v>
      </c>
      <c r="AM139" s="187">
        <v>41673</v>
      </c>
      <c r="AN139" s="187">
        <v>41882</v>
      </c>
      <c r="AO139" s="550"/>
      <c r="AP139" s="638"/>
      <c r="AQ139" s="550"/>
      <c r="AR139" s="550"/>
      <c r="AS139" s="319"/>
      <c r="AT139" s="550"/>
      <c r="AU139" s="550"/>
      <c r="AV139" s="638"/>
      <c r="AW139" s="550"/>
      <c r="AX139" s="238"/>
      <c r="AY139" s="238"/>
      <c r="AZ139" s="238"/>
      <c r="BA139" s="238"/>
      <c r="BB139" s="238"/>
      <c r="BC139" s="238"/>
      <c r="BD139" s="238"/>
      <c r="BE139" s="238"/>
      <c r="BF139" s="238"/>
      <c r="BG139" s="238"/>
      <c r="BH139" s="238"/>
      <c r="BI139" s="238"/>
      <c r="BJ139" s="238"/>
      <c r="BK139" s="238"/>
      <c r="BL139" s="238"/>
      <c r="BM139" s="369"/>
      <c r="BN139" s="369"/>
      <c r="BO139" s="358"/>
      <c r="BP139" s="358"/>
      <c r="BQ139" s="358"/>
      <c r="BR139" s="358"/>
      <c r="BS139" s="358"/>
      <c r="BT139" s="358"/>
      <c r="BU139" s="358"/>
      <c r="BV139" s="358"/>
      <c r="BW139" s="358"/>
      <c r="BX139" s="358"/>
      <c r="BY139" s="358"/>
      <c r="BZ139" s="358"/>
      <c r="CA139" s="358"/>
      <c r="CB139" s="358"/>
      <c r="CC139" s="358"/>
      <c r="CD139" s="358"/>
      <c r="CE139" s="358"/>
      <c r="CF139" s="358"/>
      <c r="CG139" s="358"/>
      <c r="CH139" s="26"/>
      <c r="CI139" s="26"/>
      <c r="CJ139" s="179"/>
      <c r="CK139" s="179"/>
      <c r="CL139" s="179"/>
      <c r="CM139" s="179"/>
      <c r="CN139" s="179"/>
      <c r="CO139" s="179"/>
      <c r="CP139" s="26"/>
      <c r="CQ139" s="26"/>
      <c r="CR139" s="179"/>
      <c r="CS139" s="179"/>
      <c r="CT139" s="179"/>
      <c r="CU139" s="179"/>
      <c r="CV139" s="26"/>
      <c r="CW139" s="366"/>
      <c r="CX139" s="358"/>
      <c r="CY139" s="358"/>
      <c r="CZ139" s="358"/>
      <c r="DA139" s="366"/>
      <c r="DB139" s="366"/>
      <c r="DC139" s="358"/>
      <c r="DD139" s="366"/>
      <c r="DE139" s="366"/>
    </row>
    <row r="140" spans="1:109" s="4" customFormat="1" ht="48">
      <c r="A140" s="582"/>
      <c r="B140" s="593"/>
      <c r="C140" s="589"/>
      <c r="D140" s="590"/>
      <c r="E140" s="556"/>
      <c r="F140" s="556"/>
      <c r="G140" s="556"/>
      <c r="H140" s="140"/>
      <c r="I140" s="140"/>
      <c r="J140" s="140"/>
      <c r="K140" s="140"/>
      <c r="L140" s="140"/>
      <c r="M140" s="140"/>
      <c r="N140" s="140"/>
      <c r="O140" s="140"/>
      <c r="P140" s="140"/>
      <c r="Q140" s="140"/>
      <c r="R140" s="140"/>
      <c r="S140" s="140"/>
      <c r="T140" s="140"/>
      <c r="U140" s="140"/>
      <c r="V140" s="140"/>
      <c r="W140" s="140"/>
      <c r="X140" s="140"/>
      <c r="Y140" s="140"/>
      <c r="Z140" s="140"/>
      <c r="AA140" s="140"/>
      <c r="AB140" s="140"/>
      <c r="AC140" s="140"/>
      <c r="AD140" s="140"/>
      <c r="AE140" s="140"/>
      <c r="AF140" s="140"/>
      <c r="AG140" s="140"/>
      <c r="AH140" s="140"/>
      <c r="AI140" s="140"/>
      <c r="AJ140" s="327"/>
      <c r="AK140" s="327"/>
      <c r="AL140" s="94" t="s">
        <v>523</v>
      </c>
      <c r="AM140" s="187">
        <v>41640</v>
      </c>
      <c r="AN140" s="187">
        <v>42004</v>
      </c>
      <c r="AO140" s="550"/>
      <c r="AP140" s="638"/>
      <c r="AQ140" s="550"/>
      <c r="AR140" s="550"/>
      <c r="AS140" s="319"/>
      <c r="AT140" s="550"/>
      <c r="AU140" s="550"/>
      <c r="AV140" s="638"/>
      <c r="AW140" s="550"/>
      <c r="AX140" s="237"/>
      <c r="AY140" s="237"/>
      <c r="AZ140" s="237"/>
      <c r="BA140" s="237"/>
      <c r="BB140" s="237"/>
      <c r="BC140" s="237"/>
      <c r="BD140" s="237"/>
      <c r="BE140" s="237"/>
      <c r="BF140" s="237"/>
      <c r="BG140" s="237"/>
      <c r="BH140" s="237"/>
      <c r="BI140" s="237"/>
      <c r="BJ140" s="237"/>
      <c r="BK140" s="237"/>
      <c r="BL140" s="237"/>
      <c r="BM140" s="148"/>
      <c r="BN140" s="148"/>
      <c r="BO140" s="221"/>
      <c r="BP140" s="221"/>
      <c r="BQ140" s="221"/>
      <c r="BR140" s="221"/>
      <c r="BS140" s="221"/>
      <c r="BT140" s="221"/>
      <c r="BU140" s="221"/>
      <c r="BV140" s="221"/>
      <c r="BW140" s="221"/>
      <c r="BX140" s="221"/>
      <c r="BY140" s="221"/>
      <c r="BZ140" s="221"/>
      <c r="CA140" s="221"/>
      <c r="CB140" s="221"/>
      <c r="CC140" s="221"/>
      <c r="CD140" s="221"/>
      <c r="CE140" s="221"/>
      <c r="CF140" s="221"/>
      <c r="CG140" s="221"/>
      <c r="CH140" s="26"/>
      <c r="CI140" s="26"/>
      <c r="CJ140" s="183"/>
      <c r="CK140" s="183"/>
      <c r="CL140" s="183"/>
      <c r="CM140" s="183"/>
      <c r="CN140" s="183"/>
      <c r="CO140" s="183"/>
      <c r="CP140" s="26"/>
      <c r="CQ140" s="26"/>
      <c r="CR140" s="183"/>
      <c r="CS140" s="183"/>
      <c r="CT140" s="183"/>
      <c r="CU140" s="183"/>
      <c r="CV140" s="26"/>
      <c r="CW140" s="131"/>
      <c r="CX140" s="184"/>
      <c r="CY140" s="184"/>
      <c r="CZ140" s="184"/>
      <c r="DA140" s="131"/>
      <c r="DB140" s="131"/>
      <c r="DC140" s="184"/>
      <c r="DD140" s="131"/>
      <c r="DE140" s="131"/>
    </row>
    <row r="141" spans="1:109" s="4" customFormat="1" ht="54.75" customHeight="1">
      <c r="A141" s="582"/>
      <c r="B141" s="593"/>
      <c r="C141" s="589"/>
      <c r="D141" s="588" t="s">
        <v>339</v>
      </c>
      <c r="E141" s="549" t="s">
        <v>657</v>
      </c>
      <c r="F141" s="546" t="s">
        <v>658</v>
      </c>
      <c r="G141" s="546" t="s">
        <v>658</v>
      </c>
      <c r="H141" s="407"/>
      <c r="I141" s="407"/>
      <c r="J141" s="407"/>
      <c r="K141" s="407"/>
      <c r="L141" s="407"/>
      <c r="M141" s="407"/>
      <c r="N141" s="407"/>
      <c r="O141" s="407"/>
      <c r="P141" s="407"/>
      <c r="Q141" s="407"/>
      <c r="R141" s="407"/>
      <c r="S141" s="407"/>
      <c r="T141" s="407"/>
      <c r="U141" s="407"/>
      <c r="V141" s="407"/>
      <c r="W141" s="407"/>
      <c r="X141" s="407"/>
      <c r="Y141" s="407"/>
      <c r="Z141" s="407"/>
      <c r="AA141" s="407"/>
      <c r="AB141" s="407"/>
      <c r="AC141" s="407"/>
      <c r="AD141" s="407"/>
      <c r="AE141" s="407"/>
      <c r="AF141" s="407"/>
      <c r="AG141" s="407"/>
      <c r="AH141" s="407"/>
      <c r="AI141" s="407"/>
      <c r="AJ141" s="325" t="s">
        <v>101</v>
      </c>
      <c r="AK141" s="325" t="s">
        <v>47</v>
      </c>
      <c r="AL141" s="94" t="s">
        <v>340</v>
      </c>
      <c r="AM141" s="187">
        <v>41456</v>
      </c>
      <c r="AN141" s="187">
        <v>41517</v>
      </c>
      <c r="AO141" s="545">
        <v>60000000</v>
      </c>
      <c r="AP141" s="545">
        <v>0</v>
      </c>
      <c r="AQ141" s="545">
        <f>AO141-AP141</f>
        <v>60000000</v>
      </c>
      <c r="AR141" s="545">
        <v>60000000</v>
      </c>
      <c r="AS141" s="545">
        <v>12100000</v>
      </c>
      <c r="AT141" s="545">
        <f>AR141-AS141</f>
        <v>47900000</v>
      </c>
      <c r="AU141" s="545">
        <v>60000000</v>
      </c>
      <c r="AV141" s="545">
        <v>0</v>
      </c>
      <c r="AW141" s="545">
        <f>AU141-AV141</f>
        <v>60000000</v>
      </c>
      <c r="AX141" s="236"/>
      <c r="AY141" s="236"/>
      <c r="AZ141" s="236"/>
      <c r="BA141" s="236"/>
      <c r="BB141" s="236"/>
      <c r="BC141" s="236"/>
      <c r="BD141" s="236"/>
      <c r="BE141" s="236"/>
      <c r="BF141" s="236"/>
      <c r="BG141" s="236"/>
      <c r="BH141" s="236"/>
      <c r="BI141" s="236"/>
      <c r="BJ141" s="236"/>
      <c r="BK141" s="236"/>
      <c r="BL141" s="236"/>
      <c r="BM141" s="367"/>
      <c r="BN141" s="367"/>
      <c r="BO141" s="357"/>
      <c r="BP141" s="357"/>
      <c r="BQ141" s="357"/>
      <c r="BR141" s="357"/>
      <c r="BS141" s="357"/>
      <c r="BT141" s="357"/>
      <c r="BU141" s="357">
        <v>170000000</v>
      </c>
      <c r="BV141" s="357"/>
      <c r="BW141" s="357"/>
      <c r="BX141" s="357"/>
      <c r="BY141" s="357"/>
      <c r="BZ141" s="357"/>
      <c r="CA141" s="357"/>
      <c r="CB141" s="357"/>
      <c r="CC141" s="357"/>
      <c r="CD141" s="357"/>
      <c r="CE141" s="357"/>
      <c r="CF141" s="357"/>
      <c r="CG141" s="357"/>
      <c r="CH141" s="310">
        <f>SUM(BW141:CG148)</f>
        <v>0</v>
      </c>
      <c r="CI141" s="310">
        <f>BV141</f>
        <v>0</v>
      </c>
      <c r="CJ141" s="335"/>
      <c r="CK141" s="335"/>
      <c r="CL141" s="335"/>
      <c r="CM141" s="335"/>
      <c r="CN141" s="335"/>
      <c r="CO141" s="335"/>
      <c r="CP141" s="310">
        <f>SUM(CK141:CO148)</f>
        <v>0</v>
      </c>
      <c r="CQ141" s="310">
        <f>CP141+CJ141</f>
        <v>0</v>
      </c>
      <c r="CR141" s="335"/>
      <c r="CS141" s="335"/>
      <c r="CT141" s="335"/>
      <c r="CU141" s="335"/>
      <c r="CV141" s="310">
        <f>SUM(CS141:CU148)</f>
        <v>0</v>
      </c>
      <c r="CW141" s="364">
        <f>CV141+CR141</f>
        <v>0</v>
      </c>
      <c r="CX141" s="357"/>
      <c r="CY141" s="357"/>
      <c r="CZ141" s="357"/>
      <c r="DA141" s="364">
        <f>SUM(CY141:CZ148)</f>
        <v>0</v>
      </c>
      <c r="DB141" s="364">
        <f>DA141+CX141</f>
        <v>0</v>
      </c>
      <c r="DC141" s="357">
        <v>51600000</v>
      </c>
      <c r="DD141" s="364">
        <f>DB141+CW141+CQ141+CI141+DC147+DC141</f>
        <v>103200000</v>
      </c>
      <c r="DE141" s="364"/>
    </row>
    <row r="142" spans="1:109" s="4" customFormat="1" ht="48">
      <c r="A142" s="582"/>
      <c r="B142" s="593"/>
      <c r="C142" s="589"/>
      <c r="D142" s="589"/>
      <c r="E142" s="549"/>
      <c r="F142" s="547"/>
      <c r="G142" s="547"/>
      <c r="H142" s="407"/>
      <c r="I142" s="407"/>
      <c r="J142" s="407"/>
      <c r="K142" s="407"/>
      <c r="L142" s="407"/>
      <c r="M142" s="407"/>
      <c r="N142" s="407"/>
      <c r="O142" s="407"/>
      <c r="P142" s="407"/>
      <c r="Q142" s="407"/>
      <c r="R142" s="407"/>
      <c r="S142" s="407"/>
      <c r="T142" s="407"/>
      <c r="U142" s="407"/>
      <c r="V142" s="407"/>
      <c r="W142" s="407"/>
      <c r="X142" s="407"/>
      <c r="Y142" s="407"/>
      <c r="Z142" s="407"/>
      <c r="AA142" s="407"/>
      <c r="AB142" s="407"/>
      <c r="AC142" s="407"/>
      <c r="AD142" s="407"/>
      <c r="AE142" s="407"/>
      <c r="AF142" s="407"/>
      <c r="AG142" s="407"/>
      <c r="AH142" s="407"/>
      <c r="AI142" s="407"/>
      <c r="AJ142" s="326"/>
      <c r="AK142" s="326"/>
      <c r="AL142" s="94" t="s">
        <v>191</v>
      </c>
      <c r="AM142" s="187">
        <v>41519</v>
      </c>
      <c r="AN142" s="187">
        <v>41628</v>
      </c>
      <c r="AO142" s="545"/>
      <c r="AP142" s="545"/>
      <c r="AQ142" s="545"/>
      <c r="AR142" s="545"/>
      <c r="AS142" s="545"/>
      <c r="AT142" s="545"/>
      <c r="AU142" s="545"/>
      <c r="AV142" s="545"/>
      <c r="AW142" s="545"/>
      <c r="AX142" s="237"/>
      <c r="AY142" s="237"/>
      <c r="AZ142" s="237"/>
      <c r="BA142" s="237"/>
      <c r="BB142" s="237"/>
      <c r="BC142" s="237"/>
      <c r="BD142" s="237"/>
      <c r="BE142" s="237"/>
      <c r="BF142" s="237"/>
      <c r="BG142" s="237"/>
      <c r="BH142" s="237"/>
      <c r="BI142" s="237"/>
      <c r="BJ142" s="237"/>
      <c r="BK142" s="237"/>
      <c r="BL142" s="237"/>
      <c r="BM142" s="368"/>
      <c r="BN142" s="368"/>
      <c r="BO142" s="359"/>
      <c r="BP142" s="359"/>
      <c r="BQ142" s="359"/>
      <c r="BR142" s="359"/>
      <c r="BS142" s="359"/>
      <c r="BT142" s="359"/>
      <c r="BU142" s="359"/>
      <c r="BV142" s="359"/>
      <c r="BW142" s="359"/>
      <c r="BX142" s="359"/>
      <c r="BY142" s="359"/>
      <c r="BZ142" s="359"/>
      <c r="CA142" s="359"/>
      <c r="CB142" s="359"/>
      <c r="CC142" s="359"/>
      <c r="CD142" s="359"/>
      <c r="CE142" s="359"/>
      <c r="CF142" s="359"/>
      <c r="CG142" s="359"/>
      <c r="CH142" s="310"/>
      <c r="CI142" s="310"/>
      <c r="CJ142" s="335"/>
      <c r="CK142" s="335"/>
      <c r="CL142" s="335"/>
      <c r="CM142" s="335"/>
      <c r="CN142" s="335"/>
      <c r="CO142" s="335"/>
      <c r="CP142" s="310"/>
      <c r="CQ142" s="310"/>
      <c r="CR142" s="335"/>
      <c r="CS142" s="335"/>
      <c r="CT142" s="335"/>
      <c r="CU142" s="335"/>
      <c r="CV142" s="310"/>
      <c r="CW142" s="365"/>
      <c r="CX142" s="359"/>
      <c r="CY142" s="359"/>
      <c r="CZ142" s="359"/>
      <c r="DA142" s="365"/>
      <c r="DB142" s="365"/>
      <c r="DC142" s="359"/>
      <c r="DD142" s="365"/>
      <c r="DE142" s="365"/>
    </row>
    <row r="143" spans="1:109" s="4" customFormat="1" ht="48">
      <c r="A143" s="582"/>
      <c r="B143" s="593"/>
      <c r="C143" s="590"/>
      <c r="D143" s="590"/>
      <c r="E143" s="549"/>
      <c r="F143" s="548"/>
      <c r="G143" s="548"/>
      <c r="H143" s="407"/>
      <c r="I143" s="407"/>
      <c r="J143" s="407"/>
      <c r="K143" s="407"/>
      <c r="L143" s="407"/>
      <c r="M143" s="407"/>
      <c r="N143" s="407"/>
      <c r="O143" s="407"/>
      <c r="P143" s="407"/>
      <c r="Q143" s="407"/>
      <c r="R143" s="407"/>
      <c r="S143" s="407"/>
      <c r="T143" s="407"/>
      <c r="U143" s="407"/>
      <c r="V143" s="407"/>
      <c r="W143" s="407"/>
      <c r="X143" s="407"/>
      <c r="Y143" s="407"/>
      <c r="Z143" s="407"/>
      <c r="AA143" s="407"/>
      <c r="AB143" s="407"/>
      <c r="AC143" s="407"/>
      <c r="AD143" s="407"/>
      <c r="AE143" s="407"/>
      <c r="AF143" s="407"/>
      <c r="AG143" s="407"/>
      <c r="AH143" s="407"/>
      <c r="AI143" s="407"/>
      <c r="AJ143" s="327"/>
      <c r="AK143" s="327"/>
      <c r="AL143" s="94" t="s">
        <v>192</v>
      </c>
      <c r="AM143" s="187">
        <v>41519</v>
      </c>
      <c r="AN143" s="187">
        <v>41628</v>
      </c>
      <c r="AO143" s="545"/>
      <c r="AP143" s="545"/>
      <c r="AQ143" s="545"/>
      <c r="AR143" s="545"/>
      <c r="AS143" s="545"/>
      <c r="AT143" s="545"/>
      <c r="AU143" s="545"/>
      <c r="AV143" s="545"/>
      <c r="AW143" s="545"/>
      <c r="AX143" s="238"/>
      <c r="AY143" s="238"/>
      <c r="AZ143" s="238"/>
      <c r="BA143" s="238"/>
      <c r="BB143" s="238"/>
      <c r="BC143" s="238"/>
      <c r="BD143" s="238"/>
      <c r="BE143" s="238"/>
      <c r="BF143" s="238"/>
      <c r="BG143" s="238"/>
      <c r="BH143" s="238"/>
      <c r="BI143" s="238"/>
      <c r="BJ143" s="238"/>
      <c r="BK143" s="238"/>
      <c r="BL143" s="238"/>
      <c r="BM143" s="369"/>
      <c r="BN143" s="369"/>
      <c r="BO143" s="358"/>
      <c r="BP143" s="358"/>
      <c r="BQ143" s="358"/>
      <c r="BR143" s="358"/>
      <c r="BS143" s="358"/>
      <c r="BT143" s="358"/>
      <c r="BU143" s="359"/>
      <c r="BV143" s="359"/>
      <c r="BW143" s="359"/>
      <c r="BX143" s="359"/>
      <c r="BY143" s="359"/>
      <c r="BZ143" s="359"/>
      <c r="CA143" s="359"/>
      <c r="CB143" s="359"/>
      <c r="CC143" s="359"/>
      <c r="CD143" s="359"/>
      <c r="CE143" s="359"/>
      <c r="CF143" s="359"/>
      <c r="CG143" s="359"/>
      <c r="CH143" s="310"/>
      <c r="CI143" s="310"/>
      <c r="CJ143" s="335"/>
      <c r="CK143" s="335"/>
      <c r="CL143" s="335"/>
      <c r="CM143" s="335"/>
      <c r="CN143" s="335"/>
      <c r="CO143" s="335"/>
      <c r="CP143" s="310"/>
      <c r="CQ143" s="310"/>
      <c r="CR143" s="335"/>
      <c r="CS143" s="335"/>
      <c r="CT143" s="335"/>
      <c r="CU143" s="335"/>
      <c r="CV143" s="310"/>
      <c r="CW143" s="365"/>
      <c r="CX143" s="359"/>
      <c r="CY143" s="359"/>
      <c r="CZ143" s="359"/>
      <c r="DA143" s="365"/>
      <c r="DB143" s="365"/>
      <c r="DC143" s="358"/>
      <c r="DD143" s="365"/>
      <c r="DE143" s="365"/>
    </row>
    <row r="144" spans="1:109" s="4" customFormat="1" ht="77.099999999999994" customHeight="1">
      <c r="A144" s="582"/>
      <c r="B144" s="593"/>
      <c r="C144" s="588" t="s">
        <v>341</v>
      </c>
      <c r="D144" s="588" t="s">
        <v>342</v>
      </c>
      <c r="E144" s="550">
        <v>15000</v>
      </c>
      <c r="F144" s="551">
        <v>15000</v>
      </c>
      <c r="G144" s="551">
        <v>15000</v>
      </c>
      <c r="H144" s="407"/>
      <c r="I144" s="407"/>
      <c r="J144" s="407"/>
      <c r="K144" s="407"/>
      <c r="L144" s="407"/>
      <c r="M144" s="407"/>
      <c r="N144" s="407"/>
      <c r="O144" s="407"/>
      <c r="P144" s="407"/>
      <c r="Q144" s="407"/>
      <c r="R144" s="407"/>
      <c r="S144" s="407"/>
      <c r="T144" s="407"/>
      <c r="U144" s="407"/>
      <c r="V144" s="407"/>
      <c r="W144" s="407"/>
      <c r="X144" s="407"/>
      <c r="Y144" s="407"/>
      <c r="Z144" s="407"/>
      <c r="AA144" s="407"/>
      <c r="AB144" s="407"/>
      <c r="AC144" s="407"/>
      <c r="AD144" s="407"/>
      <c r="AE144" s="407"/>
      <c r="AF144" s="407"/>
      <c r="AG144" s="407"/>
      <c r="AH144" s="407"/>
      <c r="AI144" s="407"/>
      <c r="AJ144" s="325" t="s">
        <v>50</v>
      </c>
      <c r="AK144" s="325" t="s">
        <v>64</v>
      </c>
      <c r="AL144" s="129" t="s">
        <v>343</v>
      </c>
      <c r="AM144" s="186">
        <v>41487</v>
      </c>
      <c r="AN144" s="186">
        <v>41639</v>
      </c>
      <c r="AO144" s="550">
        <v>43800000</v>
      </c>
      <c r="AP144" s="638">
        <v>34399821</v>
      </c>
      <c r="AQ144" s="550">
        <f>AO144-AP144</f>
        <v>9400179</v>
      </c>
      <c r="AR144" s="550">
        <v>43800000</v>
      </c>
      <c r="AS144" s="319">
        <f>34399821+342000</f>
        <v>34741821</v>
      </c>
      <c r="AT144" s="550">
        <f>AR144-AS144</f>
        <v>9058179</v>
      </c>
      <c r="AU144" s="550">
        <v>43800000</v>
      </c>
      <c r="AV144" s="638">
        <v>34399821</v>
      </c>
      <c r="AW144" s="550">
        <f>AU144-AV144</f>
        <v>9400179</v>
      </c>
      <c r="AX144" s="239"/>
      <c r="AY144" s="239"/>
      <c r="AZ144" s="239"/>
      <c r="BA144" s="239"/>
      <c r="BB144" s="239"/>
      <c r="BC144" s="239"/>
      <c r="BD144" s="239"/>
      <c r="BE144" s="239"/>
      <c r="BF144" s="239"/>
      <c r="BG144" s="239"/>
      <c r="BH144" s="239"/>
      <c r="BI144" s="239"/>
      <c r="BJ144" s="239"/>
      <c r="BK144" s="239"/>
      <c r="BL144" s="239"/>
      <c r="BM144" s="367"/>
      <c r="BN144" s="367"/>
      <c r="BO144" s="357"/>
      <c r="BP144" s="357"/>
      <c r="BQ144" s="357"/>
      <c r="BR144" s="357"/>
      <c r="BS144" s="357"/>
      <c r="BT144" s="357"/>
      <c r="BU144" s="359"/>
      <c r="BV144" s="359"/>
      <c r="BW144" s="359"/>
      <c r="BX144" s="359"/>
      <c r="BY144" s="359"/>
      <c r="BZ144" s="359"/>
      <c r="CA144" s="359"/>
      <c r="CB144" s="359"/>
      <c r="CC144" s="359"/>
      <c r="CD144" s="359"/>
      <c r="CE144" s="359"/>
      <c r="CF144" s="359"/>
      <c r="CG144" s="359"/>
      <c r="CH144" s="310"/>
      <c r="CI144" s="310"/>
      <c r="CJ144" s="335"/>
      <c r="CK144" s="335"/>
      <c r="CL144" s="335"/>
      <c r="CM144" s="335"/>
      <c r="CN144" s="335"/>
      <c r="CO144" s="335"/>
      <c r="CP144" s="310"/>
      <c r="CQ144" s="310"/>
      <c r="CR144" s="335"/>
      <c r="CS144" s="335"/>
      <c r="CT144" s="335"/>
      <c r="CU144" s="335"/>
      <c r="CV144" s="310"/>
      <c r="CW144" s="365"/>
      <c r="CX144" s="359"/>
      <c r="CY144" s="359"/>
      <c r="CZ144" s="359"/>
      <c r="DA144" s="365"/>
      <c r="DB144" s="365"/>
      <c r="DC144" s="112"/>
      <c r="DD144" s="365"/>
      <c r="DE144" s="365"/>
    </row>
    <row r="145" spans="1:109" s="4" customFormat="1" ht="60">
      <c r="A145" s="582"/>
      <c r="B145" s="593"/>
      <c r="C145" s="589"/>
      <c r="D145" s="589"/>
      <c r="E145" s="550"/>
      <c r="F145" s="552"/>
      <c r="G145" s="552"/>
      <c r="H145" s="407"/>
      <c r="I145" s="407"/>
      <c r="J145" s="407"/>
      <c r="K145" s="407"/>
      <c r="L145" s="407"/>
      <c r="M145" s="407"/>
      <c r="N145" s="407"/>
      <c r="O145" s="407"/>
      <c r="P145" s="407"/>
      <c r="Q145" s="407"/>
      <c r="R145" s="407"/>
      <c r="S145" s="407"/>
      <c r="T145" s="407"/>
      <c r="U145" s="407"/>
      <c r="V145" s="407"/>
      <c r="W145" s="407"/>
      <c r="X145" s="407"/>
      <c r="Y145" s="407"/>
      <c r="Z145" s="407"/>
      <c r="AA145" s="407"/>
      <c r="AB145" s="407"/>
      <c r="AC145" s="407"/>
      <c r="AD145" s="407"/>
      <c r="AE145" s="407"/>
      <c r="AF145" s="407"/>
      <c r="AG145" s="407"/>
      <c r="AH145" s="407"/>
      <c r="AI145" s="407"/>
      <c r="AJ145" s="326"/>
      <c r="AK145" s="326"/>
      <c r="AL145" s="129" t="s">
        <v>524</v>
      </c>
      <c r="AM145" s="186">
        <v>41673</v>
      </c>
      <c r="AN145" s="186">
        <v>41789</v>
      </c>
      <c r="AO145" s="550"/>
      <c r="AP145" s="638"/>
      <c r="AQ145" s="550"/>
      <c r="AR145" s="550"/>
      <c r="AS145" s="319"/>
      <c r="AT145" s="550"/>
      <c r="AU145" s="550"/>
      <c r="AV145" s="638"/>
      <c r="AW145" s="550"/>
      <c r="AX145" s="240"/>
      <c r="AY145" s="240"/>
      <c r="AZ145" s="240"/>
      <c r="BA145" s="240"/>
      <c r="BB145" s="240"/>
      <c r="BC145" s="240"/>
      <c r="BD145" s="240"/>
      <c r="BE145" s="240"/>
      <c r="BF145" s="240"/>
      <c r="BG145" s="240"/>
      <c r="BH145" s="240"/>
      <c r="BI145" s="240"/>
      <c r="BJ145" s="240"/>
      <c r="BK145" s="240"/>
      <c r="BL145" s="240"/>
      <c r="BM145" s="368"/>
      <c r="BN145" s="368"/>
      <c r="BO145" s="359"/>
      <c r="BP145" s="359"/>
      <c r="BQ145" s="359"/>
      <c r="BR145" s="359"/>
      <c r="BS145" s="359"/>
      <c r="BT145" s="359"/>
      <c r="BU145" s="359"/>
      <c r="BV145" s="359"/>
      <c r="BW145" s="359"/>
      <c r="BX145" s="359"/>
      <c r="BY145" s="359"/>
      <c r="BZ145" s="359"/>
      <c r="CA145" s="359"/>
      <c r="CB145" s="359"/>
      <c r="CC145" s="359"/>
      <c r="CD145" s="359"/>
      <c r="CE145" s="359"/>
      <c r="CF145" s="359"/>
      <c r="CG145" s="359"/>
      <c r="CH145" s="310"/>
      <c r="CI145" s="310"/>
      <c r="CJ145" s="335"/>
      <c r="CK145" s="335"/>
      <c r="CL145" s="335"/>
      <c r="CM145" s="335"/>
      <c r="CN145" s="335"/>
      <c r="CO145" s="335"/>
      <c r="CP145" s="310"/>
      <c r="CQ145" s="310"/>
      <c r="CR145" s="335"/>
      <c r="CS145" s="335"/>
      <c r="CT145" s="335"/>
      <c r="CU145" s="335"/>
      <c r="CV145" s="310"/>
      <c r="CW145" s="365"/>
      <c r="CX145" s="359"/>
      <c r="CY145" s="359"/>
      <c r="CZ145" s="359"/>
      <c r="DA145" s="365"/>
      <c r="DB145" s="365"/>
      <c r="DC145" s="112"/>
      <c r="DD145" s="365"/>
      <c r="DE145" s="365"/>
    </row>
    <row r="146" spans="1:109" s="4" customFormat="1" ht="72">
      <c r="A146" s="582"/>
      <c r="B146" s="593"/>
      <c r="C146" s="589"/>
      <c r="D146" s="590"/>
      <c r="E146" s="550"/>
      <c r="F146" s="553"/>
      <c r="G146" s="553"/>
      <c r="H146" s="407"/>
      <c r="I146" s="407"/>
      <c r="J146" s="407"/>
      <c r="K146" s="407"/>
      <c r="L146" s="407"/>
      <c r="M146" s="407"/>
      <c r="N146" s="407"/>
      <c r="O146" s="407"/>
      <c r="P146" s="407"/>
      <c r="Q146" s="407"/>
      <c r="R146" s="407"/>
      <c r="S146" s="407"/>
      <c r="T146" s="407"/>
      <c r="U146" s="407"/>
      <c r="V146" s="407"/>
      <c r="W146" s="407"/>
      <c r="X146" s="407"/>
      <c r="Y146" s="407"/>
      <c r="Z146" s="407"/>
      <c r="AA146" s="407"/>
      <c r="AB146" s="407"/>
      <c r="AC146" s="407"/>
      <c r="AD146" s="407"/>
      <c r="AE146" s="407"/>
      <c r="AF146" s="407"/>
      <c r="AG146" s="407"/>
      <c r="AH146" s="407"/>
      <c r="AI146" s="407"/>
      <c r="AJ146" s="327"/>
      <c r="AK146" s="327"/>
      <c r="AL146" s="129" t="s">
        <v>345</v>
      </c>
      <c r="AM146" s="186">
        <v>41456</v>
      </c>
      <c r="AN146" s="186">
        <v>41628</v>
      </c>
      <c r="AO146" s="550"/>
      <c r="AP146" s="638"/>
      <c r="AQ146" s="550"/>
      <c r="AR146" s="550"/>
      <c r="AS146" s="319"/>
      <c r="AT146" s="550"/>
      <c r="AU146" s="550"/>
      <c r="AV146" s="638"/>
      <c r="AW146" s="550"/>
      <c r="AX146" s="241"/>
      <c r="AY146" s="241"/>
      <c r="AZ146" s="241"/>
      <c r="BA146" s="241"/>
      <c r="BB146" s="241"/>
      <c r="BC146" s="241"/>
      <c r="BD146" s="241"/>
      <c r="BE146" s="241"/>
      <c r="BF146" s="241"/>
      <c r="BG146" s="241"/>
      <c r="BH146" s="241"/>
      <c r="BI146" s="241"/>
      <c r="BJ146" s="241"/>
      <c r="BK146" s="241"/>
      <c r="BL146" s="241"/>
      <c r="BM146" s="369"/>
      <c r="BN146" s="369"/>
      <c r="BO146" s="358"/>
      <c r="BP146" s="358"/>
      <c r="BQ146" s="358"/>
      <c r="BR146" s="358"/>
      <c r="BS146" s="358"/>
      <c r="BT146" s="358"/>
      <c r="BU146" s="359"/>
      <c r="BV146" s="359"/>
      <c r="BW146" s="359"/>
      <c r="BX146" s="359"/>
      <c r="BY146" s="359"/>
      <c r="BZ146" s="359"/>
      <c r="CA146" s="359"/>
      <c r="CB146" s="359"/>
      <c r="CC146" s="359"/>
      <c r="CD146" s="359"/>
      <c r="CE146" s="359"/>
      <c r="CF146" s="359"/>
      <c r="CG146" s="359"/>
      <c r="CH146" s="310"/>
      <c r="CI146" s="310"/>
      <c r="CJ146" s="335"/>
      <c r="CK146" s="335"/>
      <c r="CL146" s="335"/>
      <c r="CM146" s="335"/>
      <c r="CN146" s="335"/>
      <c r="CO146" s="335"/>
      <c r="CP146" s="310"/>
      <c r="CQ146" s="310"/>
      <c r="CR146" s="335"/>
      <c r="CS146" s="335"/>
      <c r="CT146" s="335"/>
      <c r="CU146" s="335"/>
      <c r="CV146" s="310"/>
      <c r="CW146" s="365"/>
      <c r="CX146" s="359"/>
      <c r="CY146" s="359"/>
      <c r="CZ146" s="359"/>
      <c r="DA146" s="365"/>
      <c r="DB146" s="365"/>
      <c r="DC146" s="112"/>
      <c r="DD146" s="365"/>
      <c r="DE146" s="365"/>
    </row>
    <row r="147" spans="1:109" s="4" customFormat="1" ht="44.1" customHeight="1">
      <c r="A147" s="582"/>
      <c r="B147" s="593"/>
      <c r="C147" s="589"/>
      <c r="D147" s="588" t="s">
        <v>346</v>
      </c>
      <c r="E147" s="549" t="s">
        <v>659</v>
      </c>
      <c r="F147" s="546" t="s">
        <v>660</v>
      </c>
      <c r="G147" s="546" t="s">
        <v>660</v>
      </c>
      <c r="H147" s="407"/>
      <c r="I147" s="407"/>
      <c r="J147" s="407"/>
      <c r="K147" s="407"/>
      <c r="L147" s="407"/>
      <c r="M147" s="407"/>
      <c r="N147" s="407"/>
      <c r="O147" s="407"/>
      <c r="P147" s="407"/>
      <c r="Q147" s="407"/>
      <c r="R147" s="407"/>
      <c r="S147" s="407"/>
      <c r="T147" s="407"/>
      <c r="U147" s="407"/>
      <c r="V147" s="407"/>
      <c r="W147" s="407"/>
      <c r="X147" s="407"/>
      <c r="Y147" s="407"/>
      <c r="Z147" s="407"/>
      <c r="AA147" s="407"/>
      <c r="AB147" s="407"/>
      <c r="AC147" s="407"/>
      <c r="AD147" s="407"/>
      <c r="AE147" s="407"/>
      <c r="AF147" s="407"/>
      <c r="AG147" s="407"/>
      <c r="AH147" s="407"/>
      <c r="AI147" s="407"/>
      <c r="AJ147" s="325" t="s">
        <v>101</v>
      </c>
      <c r="AK147" s="325" t="s">
        <v>47</v>
      </c>
      <c r="AL147" s="291" t="s">
        <v>347</v>
      </c>
      <c r="AM147" s="187">
        <v>41409</v>
      </c>
      <c r="AN147" s="187">
        <v>41607</v>
      </c>
      <c r="AO147" s="545">
        <v>43974400</v>
      </c>
      <c r="AP147" s="545">
        <v>0</v>
      </c>
      <c r="AQ147" s="545">
        <f>AO147-AP147</f>
        <v>43974400</v>
      </c>
      <c r="AR147" s="545">
        <v>43974400</v>
      </c>
      <c r="AS147" s="545">
        <v>12064000</v>
      </c>
      <c r="AT147" s="545">
        <f>AR147-AS147</f>
        <v>31910400</v>
      </c>
      <c r="AU147" s="545">
        <v>43974400</v>
      </c>
      <c r="AV147" s="545">
        <v>0</v>
      </c>
      <c r="AW147" s="545">
        <f>AU147-AV147</f>
        <v>43974400</v>
      </c>
      <c r="AX147" s="236"/>
      <c r="AY147" s="236"/>
      <c r="AZ147" s="236"/>
      <c r="BA147" s="236"/>
      <c r="BB147" s="236"/>
      <c r="BC147" s="236"/>
      <c r="BD147" s="236"/>
      <c r="BE147" s="236"/>
      <c r="BF147" s="236"/>
      <c r="BG147" s="236"/>
      <c r="BH147" s="236"/>
      <c r="BI147" s="236"/>
      <c r="BJ147" s="236"/>
      <c r="BK147" s="236"/>
      <c r="BL147" s="236"/>
      <c r="BM147" s="367"/>
      <c r="BN147" s="367"/>
      <c r="BO147" s="357"/>
      <c r="BP147" s="357"/>
      <c r="BQ147" s="357"/>
      <c r="BR147" s="357"/>
      <c r="BS147" s="357"/>
      <c r="BT147" s="357"/>
      <c r="BU147" s="359"/>
      <c r="BV147" s="359"/>
      <c r="BW147" s="359"/>
      <c r="BX147" s="359"/>
      <c r="BY147" s="359"/>
      <c r="BZ147" s="359"/>
      <c r="CA147" s="359"/>
      <c r="CB147" s="359"/>
      <c r="CC147" s="359"/>
      <c r="CD147" s="359"/>
      <c r="CE147" s="359"/>
      <c r="CF147" s="359"/>
      <c r="CG147" s="359"/>
      <c r="CH147" s="310"/>
      <c r="CI147" s="310"/>
      <c r="CJ147" s="335"/>
      <c r="CK147" s="335"/>
      <c r="CL147" s="335"/>
      <c r="CM147" s="335"/>
      <c r="CN147" s="335"/>
      <c r="CO147" s="335"/>
      <c r="CP147" s="310"/>
      <c r="CQ147" s="310"/>
      <c r="CR147" s="335"/>
      <c r="CS147" s="335"/>
      <c r="CT147" s="335"/>
      <c r="CU147" s="335"/>
      <c r="CV147" s="310"/>
      <c r="CW147" s="365"/>
      <c r="CX147" s="359"/>
      <c r="CY147" s="359"/>
      <c r="CZ147" s="359"/>
      <c r="DA147" s="365"/>
      <c r="DB147" s="365"/>
      <c r="DC147" s="357">
        <v>51600000</v>
      </c>
      <c r="DD147" s="365"/>
      <c r="DE147" s="365"/>
    </row>
    <row r="148" spans="1:109" s="4" customFormat="1" ht="24">
      <c r="A148" s="582"/>
      <c r="B148" s="593"/>
      <c r="C148" s="589"/>
      <c r="D148" s="589"/>
      <c r="E148" s="549"/>
      <c r="F148" s="547"/>
      <c r="G148" s="547"/>
      <c r="H148" s="407"/>
      <c r="I148" s="407"/>
      <c r="J148" s="407"/>
      <c r="K148" s="407"/>
      <c r="L148" s="407"/>
      <c r="M148" s="407"/>
      <c r="N148" s="407"/>
      <c r="O148" s="407"/>
      <c r="P148" s="407"/>
      <c r="Q148" s="407"/>
      <c r="R148" s="407"/>
      <c r="S148" s="407"/>
      <c r="T148" s="407"/>
      <c r="U148" s="407"/>
      <c r="V148" s="407"/>
      <c r="W148" s="407"/>
      <c r="X148" s="407"/>
      <c r="Y148" s="407"/>
      <c r="Z148" s="407"/>
      <c r="AA148" s="407"/>
      <c r="AB148" s="407"/>
      <c r="AC148" s="407"/>
      <c r="AD148" s="407"/>
      <c r="AE148" s="407"/>
      <c r="AF148" s="407"/>
      <c r="AG148" s="407"/>
      <c r="AH148" s="407"/>
      <c r="AI148" s="407"/>
      <c r="AJ148" s="326"/>
      <c r="AK148" s="326"/>
      <c r="AL148" s="291" t="s">
        <v>190</v>
      </c>
      <c r="AM148" s="187">
        <v>41487</v>
      </c>
      <c r="AN148" s="187">
        <v>41628</v>
      </c>
      <c r="AO148" s="545"/>
      <c r="AP148" s="545"/>
      <c r="AQ148" s="545"/>
      <c r="AR148" s="545"/>
      <c r="AS148" s="545"/>
      <c r="AT148" s="545"/>
      <c r="AU148" s="545"/>
      <c r="AV148" s="545"/>
      <c r="AW148" s="545"/>
      <c r="AX148" s="237"/>
      <c r="AY148" s="237"/>
      <c r="AZ148" s="237"/>
      <c r="BA148" s="237"/>
      <c r="BB148" s="237"/>
      <c r="BC148" s="237"/>
      <c r="BD148" s="237"/>
      <c r="BE148" s="237"/>
      <c r="BF148" s="237"/>
      <c r="BG148" s="237"/>
      <c r="BH148" s="237"/>
      <c r="BI148" s="237"/>
      <c r="BJ148" s="237"/>
      <c r="BK148" s="237"/>
      <c r="BL148" s="237"/>
      <c r="BM148" s="368"/>
      <c r="BN148" s="368"/>
      <c r="BO148" s="359"/>
      <c r="BP148" s="359"/>
      <c r="BQ148" s="359"/>
      <c r="BR148" s="359"/>
      <c r="BS148" s="359"/>
      <c r="BT148" s="359"/>
      <c r="BU148" s="359"/>
      <c r="BV148" s="359"/>
      <c r="BW148" s="359"/>
      <c r="BX148" s="359"/>
      <c r="BY148" s="359"/>
      <c r="BZ148" s="359"/>
      <c r="CA148" s="359"/>
      <c r="CB148" s="359"/>
      <c r="CC148" s="359"/>
      <c r="CD148" s="359"/>
      <c r="CE148" s="359"/>
      <c r="CF148" s="359"/>
      <c r="CG148" s="359"/>
      <c r="CH148" s="310"/>
      <c r="CI148" s="310"/>
      <c r="CJ148" s="335"/>
      <c r="CK148" s="335"/>
      <c r="CL148" s="335"/>
      <c r="CM148" s="335"/>
      <c r="CN148" s="335"/>
      <c r="CO148" s="335"/>
      <c r="CP148" s="310"/>
      <c r="CQ148" s="310"/>
      <c r="CR148" s="335"/>
      <c r="CS148" s="335"/>
      <c r="CT148" s="335"/>
      <c r="CU148" s="335"/>
      <c r="CV148" s="310"/>
      <c r="CW148" s="365"/>
      <c r="CX148" s="359"/>
      <c r="CY148" s="359"/>
      <c r="CZ148" s="359"/>
      <c r="DA148" s="365"/>
      <c r="DB148" s="365"/>
      <c r="DC148" s="359"/>
      <c r="DD148" s="365"/>
      <c r="DE148" s="365"/>
    </row>
    <row r="149" spans="1:109" s="4" customFormat="1" ht="24">
      <c r="A149" s="582"/>
      <c r="B149" s="593"/>
      <c r="C149" s="589"/>
      <c r="D149" s="590"/>
      <c r="E149" s="549"/>
      <c r="F149" s="548"/>
      <c r="G149" s="548"/>
      <c r="H149" s="407"/>
      <c r="I149" s="407"/>
      <c r="J149" s="407"/>
      <c r="K149" s="407"/>
      <c r="L149" s="407"/>
      <c r="M149" s="407"/>
      <c r="N149" s="407"/>
      <c r="O149" s="407"/>
      <c r="P149" s="407"/>
      <c r="Q149" s="407"/>
      <c r="R149" s="407"/>
      <c r="S149" s="407"/>
      <c r="T149" s="407"/>
      <c r="U149" s="407"/>
      <c r="V149" s="407"/>
      <c r="W149" s="407"/>
      <c r="X149" s="407"/>
      <c r="Y149" s="407"/>
      <c r="Z149" s="407"/>
      <c r="AA149" s="407"/>
      <c r="AB149" s="407"/>
      <c r="AC149" s="407"/>
      <c r="AD149" s="407"/>
      <c r="AE149" s="407"/>
      <c r="AF149" s="407"/>
      <c r="AG149" s="407"/>
      <c r="AH149" s="407"/>
      <c r="AI149" s="407"/>
      <c r="AJ149" s="327"/>
      <c r="AK149" s="327"/>
      <c r="AL149" s="291" t="s">
        <v>348</v>
      </c>
      <c r="AM149" s="187">
        <v>41487</v>
      </c>
      <c r="AN149" s="187">
        <v>41628</v>
      </c>
      <c r="AO149" s="545"/>
      <c r="AP149" s="545"/>
      <c r="AQ149" s="545"/>
      <c r="AR149" s="545"/>
      <c r="AS149" s="545"/>
      <c r="AT149" s="545"/>
      <c r="AU149" s="545"/>
      <c r="AV149" s="545"/>
      <c r="AW149" s="545"/>
      <c r="AX149" s="238"/>
      <c r="AY149" s="238"/>
      <c r="AZ149" s="238"/>
      <c r="BA149" s="238"/>
      <c r="BB149" s="238"/>
      <c r="BC149" s="238"/>
      <c r="BD149" s="238"/>
      <c r="BE149" s="238"/>
      <c r="BF149" s="238"/>
      <c r="BG149" s="238"/>
      <c r="BH149" s="238"/>
      <c r="BI149" s="238"/>
      <c r="BJ149" s="238"/>
      <c r="BK149" s="238"/>
      <c r="BL149" s="238"/>
      <c r="BM149" s="369"/>
      <c r="BN149" s="369"/>
      <c r="BO149" s="358"/>
      <c r="BP149" s="358"/>
      <c r="BQ149" s="358"/>
      <c r="BR149" s="358"/>
      <c r="BS149" s="358"/>
      <c r="BT149" s="358"/>
      <c r="BU149" s="358"/>
      <c r="BV149" s="358"/>
      <c r="BW149" s="358"/>
      <c r="BX149" s="358"/>
      <c r="BY149" s="358"/>
      <c r="BZ149" s="358"/>
      <c r="CA149" s="358"/>
      <c r="CB149" s="358"/>
      <c r="CC149" s="358"/>
      <c r="CD149" s="358"/>
      <c r="CE149" s="358"/>
      <c r="CF149" s="358"/>
      <c r="CG149" s="358"/>
      <c r="CH149" s="26"/>
      <c r="CI149" s="26"/>
      <c r="CJ149" s="179"/>
      <c r="CK149" s="179"/>
      <c r="CL149" s="179"/>
      <c r="CM149" s="179"/>
      <c r="CN149" s="179"/>
      <c r="CO149" s="179"/>
      <c r="CP149" s="26"/>
      <c r="CQ149" s="26"/>
      <c r="CR149" s="179"/>
      <c r="CS149" s="179"/>
      <c r="CT149" s="179"/>
      <c r="CU149" s="179"/>
      <c r="CV149" s="26"/>
      <c r="CW149" s="366"/>
      <c r="CX149" s="358"/>
      <c r="CY149" s="358"/>
      <c r="CZ149" s="358"/>
      <c r="DA149" s="366"/>
      <c r="DB149" s="366"/>
      <c r="DC149" s="358"/>
      <c r="DD149" s="366"/>
      <c r="DE149" s="366"/>
    </row>
    <row r="150" spans="1:109" s="4" customFormat="1" ht="33" customHeight="1">
      <c r="A150" s="582"/>
      <c r="B150" s="593"/>
      <c r="C150" s="589"/>
      <c r="D150" s="588" t="s">
        <v>349</v>
      </c>
      <c r="E150" s="545">
        <v>425000000</v>
      </c>
      <c r="F150" s="561">
        <v>425000000</v>
      </c>
      <c r="G150" s="561">
        <v>425000000</v>
      </c>
      <c r="H150" s="407"/>
      <c r="I150" s="407"/>
      <c r="J150" s="407"/>
      <c r="K150" s="407"/>
      <c r="L150" s="407"/>
      <c r="M150" s="407"/>
      <c r="N150" s="407"/>
      <c r="O150" s="407"/>
      <c r="P150" s="407"/>
      <c r="Q150" s="407"/>
      <c r="R150" s="407"/>
      <c r="S150" s="407"/>
      <c r="T150" s="407"/>
      <c r="U150" s="407"/>
      <c r="V150" s="407"/>
      <c r="W150" s="407"/>
      <c r="X150" s="407"/>
      <c r="Y150" s="407"/>
      <c r="Z150" s="407"/>
      <c r="AA150" s="407"/>
      <c r="AB150" s="407"/>
      <c r="AC150" s="407"/>
      <c r="AD150" s="407"/>
      <c r="AE150" s="407"/>
      <c r="AF150" s="407"/>
      <c r="AG150" s="407"/>
      <c r="AH150" s="407"/>
      <c r="AI150" s="407"/>
      <c r="AJ150" s="325" t="s">
        <v>27</v>
      </c>
      <c r="AK150" s="325" t="s">
        <v>63</v>
      </c>
      <c r="AL150" s="94" t="s">
        <v>350</v>
      </c>
      <c r="AM150" s="187">
        <v>41659</v>
      </c>
      <c r="AN150" s="187">
        <v>41971</v>
      </c>
      <c r="AO150" s="545">
        <v>342748900</v>
      </c>
      <c r="AP150" s="545">
        <v>7902084</v>
      </c>
      <c r="AQ150" s="545">
        <f>AO150-AP150</f>
        <v>334846816</v>
      </c>
      <c r="AR150" s="545">
        <v>342748900</v>
      </c>
      <c r="AS150" s="545">
        <v>7902084</v>
      </c>
      <c r="AT150" s="545">
        <f>AR150-AS150</f>
        <v>334846816</v>
      </c>
      <c r="AU150" s="545">
        <v>342748900</v>
      </c>
      <c r="AV150" s="545">
        <v>7902084</v>
      </c>
      <c r="AW150" s="545">
        <f>AU150-AV150</f>
        <v>334846816</v>
      </c>
      <c r="AX150" s="236"/>
      <c r="AY150" s="236"/>
      <c r="AZ150" s="236"/>
      <c r="BA150" s="236"/>
      <c r="BB150" s="236"/>
      <c r="BC150" s="236"/>
      <c r="BD150" s="236"/>
      <c r="BE150" s="236"/>
      <c r="BF150" s="236"/>
      <c r="BG150" s="236"/>
      <c r="BH150" s="236"/>
      <c r="BI150" s="236"/>
      <c r="BJ150" s="236"/>
      <c r="BK150" s="236"/>
      <c r="BL150" s="236"/>
      <c r="BM150" s="367"/>
      <c r="BN150" s="367"/>
      <c r="BO150" s="357"/>
      <c r="BP150" s="357"/>
      <c r="BQ150" s="357"/>
      <c r="BR150" s="357"/>
      <c r="BS150" s="357"/>
      <c r="BT150" s="357"/>
      <c r="BU150" s="357">
        <f>1045000000-5634</f>
        <v>1044994366</v>
      </c>
      <c r="BV150" s="357"/>
      <c r="BW150" s="357"/>
      <c r="BX150" s="357"/>
      <c r="BY150" s="357"/>
      <c r="BZ150" s="357"/>
      <c r="CA150" s="357"/>
      <c r="CB150" s="357"/>
      <c r="CC150" s="357"/>
      <c r="CD150" s="357"/>
      <c r="CE150" s="357"/>
      <c r="CF150" s="357"/>
      <c r="CG150" s="357"/>
      <c r="CH150" s="364">
        <f>SUM(BW150:CG150)</f>
        <v>0</v>
      </c>
      <c r="CI150" s="364">
        <f>CH150+BV150</f>
        <v>0</v>
      </c>
      <c r="CJ150" s="357">
        <v>55117780</v>
      </c>
      <c r="CK150" s="357"/>
      <c r="CL150" s="357"/>
      <c r="CM150" s="357"/>
      <c r="CN150" s="357"/>
      <c r="CO150" s="357"/>
      <c r="CP150" s="364">
        <f>SUM(CK150:CO150)</f>
        <v>0</v>
      </c>
      <c r="CQ150" s="364">
        <f>CP150+CJ150</f>
        <v>55117780</v>
      </c>
      <c r="CR150" s="357"/>
      <c r="CS150" s="357"/>
      <c r="CT150" s="357"/>
      <c r="CU150" s="357"/>
      <c r="CV150" s="364">
        <f>SUM(CS150:CU150)</f>
        <v>0</v>
      </c>
      <c r="CW150" s="364">
        <f>CV150+CR150</f>
        <v>0</v>
      </c>
      <c r="CX150" s="357"/>
      <c r="CY150" s="357"/>
      <c r="CZ150" s="357"/>
      <c r="DA150" s="364">
        <f>SUM(CY150:CZ150)</f>
        <v>0</v>
      </c>
      <c r="DB150" s="364">
        <f>DA150+CX150</f>
        <v>0</v>
      </c>
      <c r="DC150" s="357">
        <v>13050000</v>
      </c>
      <c r="DD150" s="364">
        <f>DB150+CW150+CQ150+CI150+DC150</f>
        <v>68167780</v>
      </c>
      <c r="DE150" s="364"/>
    </row>
    <row r="151" spans="1:109" s="4" customFormat="1" ht="60">
      <c r="A151" s="582"/>
      <c r="B151" s="593"/>
      <c r="C151" s="589"/>
      <c r="D151" s="589"/>
      <c r="E151" s="545"/>
      <c r="F151" s="562"/>
      <c r="G151" s="562"/>
      <c r="H151" s="407"/>
      <c r="I151" s="407"/>
      <c r="J151" s="407"/>
      <c r="K151" s="407"/>
      <c r="L151" s="407"/>
      <c r="M151" s="407"/>
      <c r="N151" s="407"/>
      <c r="O151" s="407"/>
      <c r="P151" s="407"/>
      <c r="Q151" s="407"/>
      <c r="R151" s="407"/>
      <c r="S151" s="407"/>
      <c r="T151" s="407"/>
      <c r="U151" s="407"/>
      <c r="V151" s="407"/>
      <c r="W151" s="407"/>
      <c r="X151" s="407"/>
      <c r="Y151" s="407"/>
      <c r="Z151" s="407"/>
      <c r="AA151" s="407"/>
      <c r="AB151" s="407"/>
      <c r="AC151" s="407"/>
      <c r="AD151" s="407"/>
      <c r="AE151" s="407"/>
      <c r="AF151" s="407"/>
      <c r="AG151" s="407"/>
      <c r="AH151" s="407"/>
      <c r="AI151" s="407"/>
      <c r="AJ151" s="326"/>
      <c r="AK151" s="326"/>
      <c r="AL151" s="94" t="s">
        <v>351</v>
      </c>
      <c r="AM151" s="187">
        <v>41456</v>
      </c>
      <c r="AN151" s="187">
        <v>41628</v>
      </c>
      <c r="AO151" s="545"/>
      <c r="AP151" s="545"/>
      <c r="AQ151" s="545"/>
      <c r="AR151" s="545"/>
      <c r="AS151" s="545"/>
      <c r="AT151" s="545"/>
      <c r="AU151" s="545"/>
      <c r="AV151" s="545"/>
      <c r="AW151" s="545"/>
      <c r="AX151" s="237"/>
      <c r="AY151" s="237"/>
      <c r="AZ151" s="237"/>
      <c r="BA151" s="237"/>
      <c r="BB151" s="237"/>
      <c r="BC151" s="237"/>
      <c r="BD151" s="237"/>
      <c r="BE151" s="237"/>
      <c r="BF151" s="237"/>
      <c r="BG151" s="237"/>
      <c r="BH151" s="237"/>
      <c r="BI151" s="237"/>
      <c r="BJ151" s="237"/>
      <c r="BK151" s="237"/>
      <c r="BL151" s="237"/>
      <c r="BM151" s="368"/>
      <c r="BN151" s="368"/>
      <c r="BO151" s="359"/>
      <c r="BP151" s="359"/>
      <c r="BQ151" s="359"/>
      <c r="BR151" s="359"/>
      <c r="BS151" s="359"/>
      <c r="BT151" s="359"/>
      <c r="BU151" s="359"/>
      <c r="BV151" s="359"/>
      <c r="BW151" s="359"/>
      <c r="BX151" s="359"/>
      <c r="BY151" s="359"/>
      <c r="BZ151" s="359"/>
      <c r="CA151" s="359"/>
      <c r="CB151" s="359"/>
      <c r="CC151" s="359"/>
      <c r="CD151" s="359"/>
      <c r="CE151" s="359"/>
      <c r="CF151" s="359"/>
      <c r="CG151" s="359"/>
      <c r="CH151" s="365"/>
      <c r="CI151" s="365"/>
      <c r="CJ151" s="359"/>
      <c r="CK151" s="359"/>
      <c r="CL151" s="359"/>
      <c r="CM151" s="359"/>
      <c r="CN151" s="359"/>
      <c r="CO151" s="359"/>
      <c r="CP151" s="365"/>
      <c r="CQ151" s="365"/>
      <c r="CR151" s="359"/>
      <c r="CS151" s="359"/>
      <c r="CT151" s="359"/>
      <c r="CU151" s="359"/>
      <c r="CV151" s="365"/>
      <c r="CW151" s="365"/>
      <c r="CX151" s="359"/>
      <c r="CY151" s="359"/>
      <c r="CZ151" s="359"/>
      <c r="DA151" s="365"/>
      <c r="DB151" s="365"/>
      <c r="DC151" s="359"/>
      <c r="DD151" s="365"/>
      <c r="DE151" s="365"/>
    </row>
    <row r="152" spans="1:109" s="4" customFormat="1" ht="60">
      <c r="A152" s="582"/>
      <c r="B152" s="593"/>
      <c r="C152" s="590"/>
      <c r="D152" s="590"/>
      <c r="E152" s="545"/>
      <c r="F152" s="563"/>
      <c r="G152" s="563"/>
      <c r="H152" s="407"/>
      <c r="I152" s="407"/>
      <c r="J152" s="407"/>
      <c r="K152" s="407"/>
      <c r="L152" s="407"/>
      <c r="M152" s="407"/>
      <c r="N152" s="407"/>
      <c r="O152" s="407"/>
      <c r="P152" s="407"/>
      <c r="Q152" s="407"/>
      <c r="R152" s="407"/>
      <c r="S152" s="407"/>
      <c r="T152" s="407"/>
      <c r="U152" s="407"/>
      <c r="V152" s="407"/>
      <c r="W152" s="407"/>
      <c r="X152" s="407"/>
      <c r="Y152" s="407"/>
      <c r="Z152" s="407"/>
      <c r="AA152" s="407"/>
      <c r="AB152" s="407"/>
      <c r="AC152" s="407"/>
      <c r="AD152" s="407"/>
      <c r="AE152" s="407"/>
      <c r="AF152" s="407"/>
      <c r="AG152" s="407"/>
      <c r="AH152" s="407"/>
      <c r="AI152" s="407"/>
      <c r="AJ152" s="327"/>
      <c r="AK152" s="327"/>
      <c r="AL152" s="94" t="s">
        <v>352</v>
      </c>
      <c r="AM152" s="187">
        <v>41487</v>
      </c>
      <c r="AN152" s="187">
        <v>41628</v>
      </c>
      <c r="AO152" s="545"/>
      <c r="AP152" s="545"/>
      <c r="AQ152" s="545"/>
      <c r="AR152" s="545"/>
      <c r="AS152" s="545"/>
      <c r="AT152" s="545"/>
      <c r="AU152" s="545"/>
      <c r="AV152" s="545"/>
      <c r="AW152" s="545"/>
      <c r="AX152" s="238"/>
      <c r="AY152" s="238"/>
      <c r="AZ152" s="238"/>
      <c r="BA152" s="238"/>
      <c r="BB152" s="238"/>
      <c r="BC152" s="238"/>
      <c r="BD152" s="238"/>
      <c r="BE152" s="238"/>
      <c r="BF152" s="238"/>
      <c r="BG152" s="238"/>
      <c r="BH152" s="238"/>
      <c r="BI152" s="238"/>
      <c r="BJ152" s="238"/>
      <c r="BK152" s="238"/>
      <c r="BL152" s="238"/>
      <c r="BM152" s="369"/>
      <c r="BN152" s="369"/>
      <c r="BO152" s="358"/>
      <c r="BP152" s="358"/>
      <c r="BQ152" s="358"/>
      <c r="BR152" s="358"/>
      <c r="BS152" s="358"/>
      <c r="BT152" s="358"/>
      <c r="BU152" s="358"/>
      <c r="BV152" s="358"/>
      <c r="BW152" s="358"/>
      <c r="BX152" s="358"/>
      <c r="BY152" s="358"/>
      <c r="BZ152" s="358"/>
      <c r="CA152" s="358"/>
      <c r="CB152" s="358"/>
      <c r="CC152" s="358"/>
      <c r="CD152" s="358"/>
      <c r="CE152" s="358"/>
      <c r="CF152" s="358"/>
      <c r="CG152" s="358"/>
      <c r="CH152" s="366"/>
      <c r="CI152" s="366"/>
      <c r="CJ152" s="358"/>
      <c r="CK152" s="358"/>
      <c r="CL152" s="358"/>
      <c r="CM152" s="358"/>
      <c r="CN152" s="358"/>
      <c r="CO152" s="358"/>
      <c r="CP152" s="366"/>
      <c r="CQ152" s="366"/>
      <c r="CR152" s="358"/>
      <c r="CS152" s="358"/>
      <c r="CT152" s="358"/>
      <c r="CU152" s="358"/>
      <c r="CV152" s="366"/>
      <c r="CW152" s="366"/>
      <c r="CX152" s="358"/>
      <c r="CY152" s="358"/>
      <c r="CZ152" s="358"/>
      <c r="DA152" s="366"/>
      <c r="DB152" s="366"/>
      <c r="DC152" s="358"/>
      <c r="DD152" s="366"/>
      <c r="DE152" s="366"/>
    </row>
    <row r="153" spans="1:109" s="4" customFormat="1" ht="21.75" customHeight="1">
      <c r="A153" s="582"/>
      <c r="B153" s="593"/>
      <c r="C153" s="588" t="s">
        <v>353</v>
      </c>
      <c r="D153" s="588" t="s">
        <v>663</v>
      </c>
      <c r="E153" s="319">
        <v>60</v>
      </c>
      <c r="F153" s="418">
        <v>60</v>
      </c>
      <c r="G153" s="418">
        <v>60</v>
      </c>
      <c r="H153" s="407"/>
      <c r="I153" s="407"/>
      <c r="J153" s="407"/>
      <c r="K153" s="407"/>
      <c r="L153" s="407"/>
      <c r="M153" s="407"/>
      <c r="N153" s="407"/>
      <c r="O153" s="407"/>
      <c r="P153" s="407"/>
      <c r="Q153" s="407"/>
      <c r="R153" s="407"/>
      <c r="S153" s="407"/>
      <c r="T153" s="407"/>
      <c r="U153" s="407"/>
      <c r="V153" s="407"/>
      <c r="W153" s="407"/>
      <c r="X153" s="407"/>
      <c r="Y153" s="407"/>
      <c r="Z153" s="407"/>
      <c r="AA153" s="407"/>
      <c r="AB153" s="407"/>
      <c r="AC153" s="407"/>
      <c r="AD153" s="407"/>
      <c r="AE153" s="407"/>
      <c r="AF153" s="407"/>
      <c r="AG153" s="407"/>
      <c r="AH153" s="407"/>
      <c r="AI153" s="407"/>
      <c r="AJ153" s="325" t="s">
        <v>48</v>
      </c>
      <c r="AK153" s="325" t="s">
        <v>76</v>
      </c>
      <c r="AL153" s="127" t="s">
        <v>354</v>
      </c>
      <c r="AM153" s="182">
        <v>41409</v>
      </c>
      <c r="AN153" s="182">
        <v>41628</v>
      </c>
      <c r="AO153" s="319">
        <v>2912064000</v>
      </c>
      <c r="AP153" s="638">
        <v>1962163221</v>
      </c>
      <c r="AQ153" s="319">
        <f>AO153-AP153</f>
        <v>949900779</v>
      </c>
      <c r="AR153" s="319">
        <v>2912064000</v>
      </c>
      <c r="AS153" s="319">
        <f>1962163221+1740000+15487750+202126+124000000+155000000+142000000+97474200+129000000+4966000+28212000+3142000+10388000+4034000+561500+810000+50000000</f>
        <v>2729180797</v>
      </c>
      <c r="AT153" s="319">
        <f>AR153-AS153</f>
        <v>182883203</v>
      </c>
      <c r="AU153" s="319"/>
      <c r="AV153" s="638"/>
      <c r="AW153" s="319">
        <f>AU153-AV153</f>
        <v>0</v>
      </c>
      <c r="AX153" s="223"/>
      <c r="AY153" s="223"/>
      <c r="AZ153" s="223"/>
      <c r="BA153" s="223"/>
      <c r="BB153" s="223"/>
      <c r="BC153" s="223"/>
      <c r="BD153" s="223"/>
      <c r="BE153" s="223"/>
      <c r="BF153" s="223"/>
      <c r="BG153" s="223"/>
      <c r="BH153" s="223"/>
      <c r="BI153" s="223"/>
      <c r="BJ153" s="223"/>
      <c r="BK153" s="223"/>
      <c r="BL153" s="223"/>
      <c r="BM153" s="367"/>
      <c r="BN153" s="367"/>
      <c r="BO153" s="357"/>
      <c r="BP153" s="357"/>
      <c r="BQ153" s="357"/>
      <c r="BR153" s="357"/>
      <c r="BS153" s="357"/>
      <c r="BT153" s="357"/>
      <c r="BU153" s="357">
        <v>4350000000</v>
      </c>
      <c r="BV153" s="357"/>
      <c r="BW153" s="357"/>
      <c r="BX153" s="357"/>
      <c r="BY153" s="357"/>
      <c r="BZ153" s="357"/>
      <c r="CA153" s="357"/>
      <c r="CB153" s="357"/>
      <c r="CC153" s="357"/>
      <c r="CD153" s="357"/>
      <c r="CE153" s="357"/>
      <c r="CF153" s="357"/>
      <c r="CG153" s="357"/>
      <c r="CH153" s="335">
        <f>SUM(BW153:CG154)</f>
        <v>0</v>
      </c>
      <c r="CI153" s="310">
        <f>CH153+BV153</f>
        <v>0</v>
      </c>
      <c r="CJ153" s="335"/>
      <c r="CK153" s="335"/>
      <c r="CL153" s="335"/>
      <c r="CM153" s="335"/>
      <c r="CN153" s="335"/>
      <c r="CO153" s="357"/>
      <c r="CP153" s="357">
        <f>SUM(CK153:CO154)</f>
        <v>0</v>
      </c>
      <c r="CQ153" s="364">
        <f>CP153+CJ153</f>
        <v>0</v>
      </c>
      <c r="CR153" s="357"/>
      <c r="CS153" s="357"/>
      <c r="CT153" s="357"/>
      <c r="CU153" s="357"/>
      <c r="CV153" s="357">
        <f>SUM(CS153:CU154)</f>
        <v>0</v>
      </c>
      <c r="CW153" s="364">
        <f>CV153+CR153</f>
        <v>0</v>
      </c>
      <c r="CX153" s="357"/>
      <c r="CY153" s="357"/>
      <c r="CZ153" s="357"/>
      <c r="DA153" s="357">
        <f>SUM(CY153:CZ154)</f>
        <v>0</v>
      </c>
      <c r="DB153" s="364">
        <f>DA153+CX153</f>
        <v>0</v>
      </c>
      <c r="DC153" s="357"/>
      <c r="DD153" s="364">
        <f>DB153+CW153+CQ153+CI153+DC153</f>
        <v>0</v>
      </c>
      <c r="DE153" s="364"/>
    </row>
    <row r="154" spans="1:109" s="4" customFormat="1" ht="60">
      <c r="A154" s="582"/>
      <c r="B154" s="593"/>
      <c r="C154" s="589"/>
      <c r="D154" s="589"/>
      <c r="E154" s="319"/>
      <c r="F154" s="419"/>
      <c r="G154" s="419"/>
      <c r="H154" s="407"/>
      <c r="I154" s="407"/>
      <c r="J154" s="407"/>
      <c r="K154" s="407"/>
      <c r="L154" s="407"/>
      <c r="M154" s="407"/>
      <c r="N154" s="407"/>
      <c r="O154" s="407"/>
      <c r="P154" s="407"/>
      <c r="Q154" s="407"/>
      <c r="R154" s="407"/>
      <c r="S154" s="407"/>
      <c r="T154" s="407"/>
      <c r="U154" s="407"/>
      <c r="V154" s="407"/>
      <c r="W154" s="407"/>
      <c r="X154" s="407"/>
      <c r="Y154" s="407"/>
      <c r="Z154" s="407"/>
      <c r="AA154" s="407"/>
      <c r="AB154" s="407"/>
      <c r="AC154" s="407"/>
      <c r="AD154" s="407"/>
      <c r="AE154" s="407"/>
      <c r="AF154" s="407"/>
      <c r="AG154" s="407"/>
      <c r="AH154" s="407"/>
      <c r="AI154" s="407"/>
      <c r="AJ154" s="326"/>
      <c r="AK154" s="326"/>
      <c r="AL154" s="127" t="s">
        <v>417</v>
      </c>
      <c r="AM154" s="182">
        <v>41409</v>
      </c>
      <c r="AN154" s="182">
        <v>41628</v>
      </c>
      <c r="AO154" s="319"/>
      <c r="AP154" s="638"/>
      <c r="AQ154" s="319"/>
      <c r="AR154" s="319"/>
      <c r="AS154" s="319"/>
      <c r="AT154" s="319"/>
      <c r="AU154" s="319"/>
      <c r="AV154" s="638"/>
      <c r="AW154" s="319"/>
      <c r="AX154" s="125"/>
      <c r="AY154" s="125"/>
      <c r="AZ154" s="125"/>
      <c r="BA154" s="125"/>
      <c r="BB154" s="125"/>
      <c r="BC154" s="125"/>
      <c r="BD154" s="125"/>
      <c r="BE154" s="125"/>
      <c r="BF154" s="125"/>
      <c r="BG154" s="125"/>
      <c r="BH154" s="125"/>
      <c r="BI154" s="125"/>
      <c r="BJ154" s="125"/>
      <c r="BK154" s="125"/>
      <c r="BL154" s="125"/>
      <c r="BM154" s="368"/>
      <c r="BN154" s="368"/>
      <c r="BO154" s="359"/>
      <c r="BP154" s="359"/>
      <c r="BQ154" s="359"/>
      <c r="BR154" s="359"/>
      <c r="BS154" s="359"/>
      <c r="BT154" s="359"/>
      <c r="BU154" s="359"/>
      <c r="BV154" s="359"/>
      <c r="BW154" s="359"/>
      <c r="BX154" s="359"/>
      <c r="BY154" s="359"/>
      <c r="BZ154" s="359"/>
      <c r="CA154" s="359"/>
      <c r="CB154" s="359"/>
      <c r="CC154" s="359"/>
      <c r="CD154" s="359"/>
      <c r="CE154" s="359"/>
      <c r="CF154" s="359"/>
      <c r="CG154" s="359"/>
      <c r="CH154" s="335"/>
      <c r="CI154" s="310"/>
      <c r="CJ154" s="335"/>
      <c r="CK154" s="335"/>
      <c r="CL154" s="335"/>
      <c r="CM154" s="335"/>
      <c r="CN154" s="335"/>
      <c r="CO154" s="359"/>
      <c r="CP154" s="359"/>
      <c r="CQ154" s="365"/>
      <c r="CR154" s="359"/>
      <c r="CS154" s="359"/>
      <c r="CT154" s="359"/>
      <c r="CU154" s="359"/>
      <c r="CV154" s="359"/>
      <c r="CW154" s="365"/>
      <c r="CX154" s="359"/>
      <c r="CY154" s="359"/>
      <c r="CZ154" s="359"/>
      <c r="DA154" s="359"/>
      <c r="DB154" s="365"/>
      <c r="DC154" s="359"/>
      <c r="DD154" s="365"/>
      <c r="DE154" s="365"/>
    </row>
    <row r="155" spans="1:109" s="4" customFormat="1" ht="48">
      <c r="A155" s="582"/>
      <c r="B155" s="594"/>
      <c r="C155" s="590"/>
      <c r="D155" s="590"/>
      <c r="E155" s="319"/>
      <c r="F155" s="420"/>
      <c r="G155" s="420"/>
      <c r="H155" s="407"/>
      <c r="I155" s="407"/>
      <c r="J155" s="407"/>
      <c r="K155" s="407"/>
      <c r="L155" s="407"/>
      <c r="M155" s="407"/>
      <c r="N155" s="407"/>
      <c r="O155" s="407"/>
      <c r="P155" s="407"/>
      <c r="Q155" s="407"/>
      <c r="R155" s="407"/>
      <c r="S155" s="407"/>
      <c r="T155" s="407"/>
      <c r="U155" s="407"/>
      <c r="V155" s="407"/>
      <c r="W155" s="407"/>
      <c r="X155" s="407"/>
      <c r="Y155" s="407"/>
      <c r="Z155" s="407"/>
      <c r="AA155" s="407"/>
      <c r="AB155" s="407"/>
      <c r="AC155" s="407"/>
      <c r="AD155" s="407"/>
      <c r="AE155" s="407"/>
      <c r="AF155" s="407"/>
      <c r="AG155" s="407"/>
      <c r="AH155" s="407"/>
      <c r="AI155" s="407"/>
      <c r="AJ155" s="327"/>
      <c r="AK155" s="327"/>
      <c r="AL155" s="127" t="s">
        <v>355</v>
      </c>
      <c r="AM155" s="182">
        <v>41428</v>
      </c>
      <c r="AN155" s="182">
        <v>41628</v>
      </c>
      <c r="AO155" s="319"/>
      <c r="AP155" s="638"/>
      <c r="AQ155" s="319"/>
      <c r="AR155" s="319"/>
      <c r="AS155" s="319"/>
      <c r="AT155" s="319"/>
      <c r="AU155" s="319"/>
      <c r="AV155" s="638"/>
      <c r="AW155" s="319"/>
      <c r="AX155" s="224"/>
      <c r="AY155" s="224"/>
      <c r="AZ155" s="224"/>
      <c r="BA155" s="224"/>
      <c r="BB155" s="224"/>
      <c r="BC155" s="224"/>
      <c r="BD155" s="224"/>
      <c r="BE155" s="224"/>
      <c r="BF155" s="224"/>
      <c r="BG155" s="224"/>
      <c r="BH155" s="224"/>
      <c r="BI155" s="224"/>
      <c r="BJ155" s="224"/>
      <c r="BK155" s="224"/>
      <c r="BL155" s="224"/>
      <c r="BM155" s="369"/>
      <c r="BN155" s="369"/>
      <c r="BO155" s="358"/>
      <c r="BP155" s="358"/>
      <c r="BQ155" s="358"/>
      <c r="BR155" s="358"/>
      <c r="BS155" s="358"/>
      <c r="BT155" s="358"/>
      <c r="BU155" s="358"/>
      <c r="BV155" s="358"/>
      <c r="BW155" s="358"/>
      <c r="BX155" s="358"/>
      <c r="BY155" s="358"/>
      <c r="BZ155" s="358"/>
      <c r="CA155" s="358"/>
      <c r="CB155" s="358"/>
      <c r="CC155" s="358"/>
      <c r="CD155" s="358"/>
      <c r="CE155" s="358"/>
      <c r="CF155" s="358"/>
      <c r="CG155" s="358"/>
      <c r="CH155" s="220"/>
      <c r="CI155" s="26"/>
      <c r="CJ155" s="179"/>
      <c r="CK155" s="179"/>
      <c r="CL155" s="179"/>
      <c r="CM155" s="179"/>
      <c r="CN155" s="179"/>
      <c r="CO155" s="358"/>
      <c r="CP155" s="358"/>
      <c r="CQ155" s="366"/>
      <c r="CR155" s="358"/>
      <c r="CS155" s="358"/>
      <c r="CT155" s="358"/>
      <c r="CU155" s="358"/>
      <c r="CV155" s="358"/>
      <c r="CW155" s="366"/>
      <c r="CX155" s="358"/>
      <c r="CY155" s="358"/>
      <c r="CZ155" s="358"/>
      <c r="DA155" s="358"/>
      <c r="DB155" s="366"/>
      <c r="DC155" s="358"/>
      <c r="DD155" s="366"/>
      <c r="DE155" s="366"/>
    </row>
    <row r="156" spans="1:109" s="34" customFormat="1" ht="11.1" customHeight="1">
      <c r="A156" s="582"/>
      <c r="B156" s="610" t="s">
        <v>137</v>
      </c>
      <c r="C156" s="611"/>
      <c r="D156" s="612"/>
      <c r="E156" s="232"/>
      <c r="F156" s="232"/>
      <c r="G156" s="232">
        <f>2190418514-AS156</f>
        <v>-702667093</v>
      </c>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232"/>
      <c r="AK156" s="232"/>
      <c r="AL156" s="247">
        <v>3532774400</v>
      </c>
      <c r="AM156" s="232"/>
      <c r="AN156" s="232"/>
      <c r="AO156" s="294">
        <f t="shared" ref="AO156:AT156" si="12">SUM(AO126:AO155)</f>
        <v>3532774400</v>
      </c>
      <c r="AP156" s="294">
        <f t="shared" si="12"/>
        <v>2079715046</v>
      </c>
      <c r="AQ156" s="294">
        <f t="shared" si="12"/>
        <v>1453059354</v>
      </c>
      <c r="AR156" s="294">
        <f t="shared" si="12"/>
        <v>3532774400</v>
      </c>
      <c r="AS156" s="294">
        <f t="shared" si="12"/>
        <v>2893085607</v>
      </c>
      <c r="AT156" s="294">
        <f t="shared" si="12"/>
        <v>645618713</v>
      </c>
      <c r="AU156" s="215">
        <f>SUM(AU126)</f>
        <v>0</v>
      </c>
      <c r="AV156" s="215">
        <f>SUM(AV129:AV155)</f>
        <v>117551825</v>
      </c>
      <c r="AW156" s="215">
        <f>SUM(AW126)</f>
        <v>0</v>
      </c>
      <c r="AX156" s="247"/>
      <c r="AY156" s="247"/>
      <c r="AZ156" s="247"/>
      <c r="BA156" s="247"/>
      <c r="BB156" s="247"/>
      <c r="BC156" s="247"/>
      <c r="BD156" s="247"/>
      <c r="BE156" s="247"/>
      <c r="BF156" s="247"/>
      <c r="BG156" s="247"/>
      <c r="BH156" s="247"/>
      <c r="BI156" s="247"/>
      <c r="BJ156" s="247"/>
      <c r="BK156" s="247"/>
      <c r="BL156" s="247"/>
      <c r="BM156" s="46"/>
      <c r="BN156" s="46"/>
      <c r="BO156" s="46"/>
      <c r="BP156" s="46"/>
      <c r="BQ156" s="46"/>
      <c r="BR156" s="46"/>
      <c r="BS156" s="33"/>
      <c r="BT156" s="33"/>
      <c r="BU156" s="46" t="e">
        <f>SUM(BU126:BU150)-#REF!</f>
        <v>#REF!</v>
      </c>
      <c r="BV156" s="46">
        <f t="shared" ref="BV156:CG156" si="13">SUM(BV126:BV150)</f>
        <v>1070000000</v>
      </c>
      <c r="BW156" s="33">
        <f t="shared" si="13"/>
        <v>0</v>
      </c>
      <c r="BX156" s="33">
        <f t="shared" si="13"/>
        <v>0</v>
      </c>
      <c r="BY156" s="33">
        <f t="shared" si="13"/>
        <v>0</v>
      </c>
      <c r="BZ156" s="33">
        <f t="shared" si="13"/>
        <v>0</v>
      </c>
      <c r="CA156" s="33">
        <f t="shared" si="13"/>
        <v>0</v>
      </c>
      <c r="CB156" s="33">
        <f t="shared" si="13"/>
        <v>0</v>
      </c>
      <c r="CC156" s="33">
        <f t="shared" si="13"/>
        <v>0</v>
      </c>
      <c r="CD156" s="33">
        <f t="shared" si="13"/>
        <v>0</v>
      </c>
      <c r="CE156" s="33">
        <f t="shared" si="13"/>
        <v>0</v>
      </c>
      <c r="CF156" s="33">
        <f t="shared" si="13"/>
        <v>0</v>
      </c>
      <c r="CG156" s="33">
        <f t="shared" si="13"/>
        <v>0</v>
      </c>
      <c r="CH156" s="232">
        <f>SUM(BW156:CG156)</f>
        <v>0</v>
      </c>
      <c r="CI156" s="232">
        <f>CH156+BV156</f>
        <v>1070000000</v>
      </c>
      <c r="CJ156" s="46">
        <f>SUM(CJ126:CJ150)</f>
        <v>1277117780</v>
      </c>
      <c r="CK156" s="46">
        <f t="shared" ref="CK156:DC156" si="14">SUM(CK126:CK150)</f>
        <v>0</v>
      </c>
      <c r="CL156" s="46">
        <f t="shared" si="14"/>
        <v>0</v>
      </c>
      <c r="CM156" s="46">
        <f t="shared" si="14"/>
        <v>0</v>
      </c>
      <c r="CN156" s="46">
        <f t="shared" si="14"/>
        <v>0</v>
      </c>
      <c r="CO156" s="46">
        <f t="shared" si="14"/>
        <v>0</v>
      </c>
      <c r="CP156" s="46">
        <f t="shared" si="14"/>
        <v>0</v>
      </c>
      <c r="CQ156" s="46">
        <f t="shared" si="14"/>
        <v>1277117780</v>
      </c>
      <c r="CR156" s="46">
        <f t="shared" si="14"/>
        <v>668722625</v>
      </c>
      <c r="CS156" s="46">
        <f t="shared" si="14"/>
        <v>0</v>
      </c>
      <c r="CT156" s="46">
        <f t="shared" si="14"/>
        <v>0</v>
      </c>
      <c r="CU156" s="46">
        <f t="shared" si="14"/>
        <v>0</v>
      </c>
      <c r="CV156" s="46">
        <f t="shared" si="14"/>
        <v>0</v>
      </c>
      <c r="CW156" s="46">
        <f t="shared" si="14"/>
        <v>668722625</v>
      </c>
      <c r="CX156" s="46">
        <f t="shared" si="14"/>
        <v>300000000</v>
      </c>
      <c r="CY156" s="46">
        <f t="shared" si="14"/>
        <v>0</v>
      </c>
      <c r="CZ156" s="46">
        <f t="shared" si="14"/>
        <v>0</v>
      </c>
      <c r="DA156" s="46">
        <f t="shared" si="14"/>
        <v>0</v>
      </c>
      <c r="DB156" s="46">
        <f t="shared" si="14"/>
        <v>300000000</v>
      </c>
      <c r="DC156" s="46">
        <f t="shared" si="14"/>
        <v>185350000</v>
      </c>
      <c r="DD156" s="46">
        <f>SUM(DD126:DD152)</f>
        <v>3501190405</v>
      </c>
      <c r="DE156" s="180"/>
    </row>
    <row r="157" spans="1:109" s="4" customFormat="1" ht="21.75" customHeight="1">
      <c r="A157" s="582"/>
      <c r="B157" s="607" t="s">
        <v>384</v>
      </c>
      <c r="C157" s="598" t="s">
        <v>357</v>
      </c>
      <c r="D157" s="592" t="s">
        <v>491</v>
      </c>
      <c r="E157" s="319">
        <v>68712438</v>
      </c>
      <c r="F157" s="319"/>
      <c r="G157" s="319"/>
      <c r="H157" s="310"/>
      <c r="I157" s="310"/>
      <c r="J157" s="310"/>
      <c r="K157" s="310"/>
      <c r="L157" s="310"/>
      <c r="M157" s="310"/>
      <c r="N157" s="310"/>
      <c r="O157" s="310"/>
      <c r="P157" s="310"/>
      <c r="Q157" s="310"/>
      <c r="R157" s="310"/>
      <c r="S157" s="310"/>
      <c r="T157" s="310"/>
      <c r="U157" s="310"/>
      <c r="V157" s="310"/>
      <c r="W157" s="310"/>
      <c r="X157" s="310"/>
      <c r="Y157" s="310"/>
      <c r="Z157" s="310"/>
      <c r="AA157" s="310"/>
      <c r="AB157" s="310"/>
      <c r="AC157" s="310"/>
      <c r="AD157" s="310"/>
      <c r="AE157" s="310"/>
      <c r="AF157" s="310"/>
      <c r="AG157" s="310"/>
      <c r="AH157" s="310"/>
      <c r="AI157" s="310"/>
      <c r="AJ157" s="310" t="s">
        <v>27</v>
      </c>
      <c r="AK157" s="319" t="s">
        <v>10</v>
      </c>
      <c r="AL157" s="246" t="s">
        <v>358</v>
      </c>
      <c r="AM157" s="80">
        <v>41457</v>
      </c>
      <c r="AN157" s="80">
        <v>41639</v>
      </c>
      <c r="AO157" s="319">
        <v>68712438</v>
      </c>
      <c r="AP157" s="319">
        <v>30113596</v>
      </c>
      <c r="AQ157" s="319">
        <f>AO157-AP157</f>
        <v>38598842</v>
      </c>
      <c r="AR157" s="319">
        <v>68712438</v>
      </c>
      <c r="AS157" s="319">
        <v>30113596</v>
      </c>
      <c r="AT157" s="319">
        <f>AR157-AS157</f>
        <v>38598842</v>
      </c>
      <c r="AU157" s="319"/>
      <c r="AV157" s="319"/>
      <c r="AW157" s="319">
        <f>AU157-AV157</f>
        <v>0</v>
      </c>
      <c r="AX157" s="223"/>
      <c r="AY157" s="223"/>
      <c r="AZ157" s="223"/>
      <c r="BA157" s="223"/>
      <c r="BB157" s="223"/>
      <c r="BC157" s="223"/>
      <c r="BD157" s="223"/>
      <c r="BE157" s="223"/>
      <c r="BF157" s="223"/>
      <c r="BG157" s="223"/>
      <c r="BH157" s="223"/>
      <c r="BI157" s="223"/>
      <c r="BJ157" s="223"/>
      <c r="BK157" s="223"/>
      <c r="BL157" s="223"/>
      <c r="BM157" s="418"/>
      <c r="BN157" s="418"/>
      <c r="BO157" s="364"/>
      <c r="BP157" s="364"/>
      <c r="BQ157" s="364"/>
      <c r="BR157" s="364"/>
      <c r="BS157" s="364"/>
      <c r="BT157" s="364"/>
      <c r="BU157" s="392">
        <v>2000000000</v>
      </c>
      <c r="BV157" s="310">
        <v>640000000</v>
      </c>
      <c r="BW157" s="310"/>
      <c r="BX157" s="310"/>
      <c r="BY157" s="310"/>
      <c r="BZ157" s="310"/>
      <c r="CA157" s="310"/>
      <c r="CB157" s="310"/>
      <c r="CC157" s="310"/>
      <c r="CD157" s="310"/>
      <c r="CE157" s="310"/>
      <c r="CF157" s="310"/>
      <c r="CG157" s="310"/>
      <c r="CH157" s="310">
        <f>SUM(BW157:CG168)</f>
        <v>0</v>
      </c>
      <c r="CI157" s="310">
        <f>CH157+BV157</f>
        <v>640000000</v>
      </c>
      <c r="CJ157" s="310">
        <v>20000000</v>
      </c>
      <c r="CK157" s="310"/>
      <c r="CL157" s="310"/>
      <c r="CM157" s="310"/>
      <c r="CN157" s="310"/>
      <c r="CO157" s="310"/>
      <c r="CP157" s="310">
        <f>SUM(CK157:CO168)</f>
        <v>0</v>
      </c>
      <c r="CQ157" s="310">
        <f>CP157+CJ157</f>
        <v>20000000</v>
      </c>
      <c r="CR157" s="392">
        <v>3840000000</v>
      </c>
      <c r="CS157" s="310"/>
      <c r="CT157" s="310"/>
      <c r="CU157" s="310"/>
      <c r="CV157" s="310">
        <f>SUM(CS157:CU168)</f>
        <v>0</v>
      </c>
      <c r="CW157" s="310">
        <f>CV157+CR157</f>
        <v>3840000000</v>
      </c>
      <c r="CX157" s="310">
        <v>10000000</v>
      </c>
      <c r="CY157" s="310"/>
      <c r="CZ157" s="310"/>
      <c r="DA157" s="310">
        <f>SUM(CY157:CZ168)</f>
        <v>0</v>
      </c>
      <c r="DB157" s="310">
        <f>DA157+CX157</f>
        <v>10000000</v>
      </c>
      <c r="DC157" s="310"/>
      <c r="DD157" s="310">
        <f>DB157+CW157+CQ157+CI157+DC157</f>
        <v>4510000000</v>
      </c>
      <c r="DE157" s="310"/>
    </row>
    <row r="158" spans="1:109" s="4" customFormat="1" ht="48">
      <c r="A158" s="582"/>
      <c r="B158" s="608"/>
      <c r="C158" s="599"/>
      <c r="D158" s="593"/>
      <c r="E158" s="319"/>
      <c r="F158" s="319"/>
      <c r="G158" s="319"/>
      <c r="H158" s="310"/>
      <c r="I158" s="310"/>
      <c r="J158" s="310"/>
      <c r="K158" s="310"/>
      <c r="L158" s="310"/>
      <c r="M158" s="310"/>
      <c r="N158" s="310"/>
      <c r="O158" s="310"/>
      <c r="P158" s="310"/>
      <c r="Q158" s="310"/>
      <c r="R158" s="310"/>
      <c r="S158" s="310"/>
      <c r="T158" s="310"/>
      <c r="U158" s="310"/>
      <c r="V158" s="310"/>
      <c r="W158" s="310"/>
      <c r="X158" s="310"/>
      <c r="Y158" s="310"/>
      <c r="Z158" s="310"/>
      <c r="AA158" s="310"/>
      <c r="AB158" s="310"/>
      <c r="AC158" s="310"/>
      <c r="AD158" s="310"/>
      <c r="AE158" s="310"/>
      <c r="AF158" s="310"/>
      <c r="AG158" s="310"/>
      <c r="AH158" s="310"/>
      <c r="AI158" s="310"/>
      <c r="AJ158" s="310"/>
      <c r="AK158" s="319"/>
      <c r="AL158" s="246" t="s">
        <v>359</v>
      </c>
      <c r="AM158" s="80">
        <v>41457</v>
      </c>
      <c r="AN158" s="80">
        <v>41639</v>
      </c>
      <c r="AO158" s="319"/>
      <c r="AP158" s="319"/>
      <c r="AQ158" s="319"/>
      <c r="AR158" s="319"/>
      <c r="AS158" s="319"/>
      <c r="AT158" s="319"/>
      <c r="AU158" s="319"/>
      <c r="AV158" s="319"/>
      <c r="AW158" s="319"/>
      <c r="AX158" s="125"/>
      <c r="AY158" s="125"/>
      <c r="AZ158" s="125"/>
      <c r="BA158" s="125"/>
      <c r="BB158" s="125"/>
      <c r="BC158" s="125"/>
      <c r="BD158" s="125"/>
      <c r="BE158" s="125"/>
      <c r="BF158" s="125"/>
      <c r="BG158" s="125"/>
      <c r="BH158" s="125"/>
      <c r="BI158" s="125"/>
      <c r="BJ158" s="125"/>
      <c r="BK158" s="125"/>
      <c r="BL158" s="125"/>
      <c r="BM158" s="419"/>
      <c r="BN158" s="419"/>
      <c r="BO158" s="365"/>
      <c r="BP158" s="365"/>
      <c r="BQ158" s="365"/>
      <c r="BR158" s="365"/>
      <c r="BS158" s="365"/>
      <c r="BT158" s="365"/>
      <c r="BU158" s="392"/>
      <c r="BV158" s="310"/>
      <c r="BW158" s="310"/>
      <c r="BX158" s="310"/>
      <c r="BY158" s="310"/>
      <c r="BZ158" s="310"/>
      <c r="CA158" s="310"/>
      <c r="CB158" s="310"/>
      <c r="CC158" s="310"/>
      <c r="CD158" s="310"/>
      <c r="CE158" s="310"/>
      <c r="CF158" s="310"/>
      <c r="CG158" s="310"/>
      <c r="CH158" s="310"/>
      <c r="CI158" s="310"/>
      <c r="CJ158" s="310"/>
      <c r="CK158" s="310"/>
      <c r="CL158" s="310"/>
      <c r="CM158" s="310"/>
      <c r="CN158" s="310"/>
      <c r="CO158" s="310"/>
      <c r="CP158" s="310"/>
      <c r="CQ158" s="310"/>
      <c r="CR158" s="392"/>
      <c r="CS158" s="310"/>
      <c r="CT158" s="310"/>
      <c r="CU158" s="310"/>
      <c r="CV158" s="310"/>
      <c r="CW158" s="310"/>
      <c r="CX158" s="310"/>
      <c r="CY158" s="310"/>
      <c r="CZ158" s="310"/>
      <c r="DA158" s="310"/>
      <c r="DB158" s="310"/>
      <c r="DC158" s="310"/>
      <c r="DD158" s="310"/>
      <c r="DE158" s="310"/>
    </row>
    <row r="159" spans="1:109" s="4" customFormat="1" ht="48">
      <c r="A159" s="582"/>
      <c r="B159" s="608"/>
      <c r="C159" s="599"/>
      <c r="D159" s="593"/>
      <c r="E159" s="319"/>
      <c r="F159" s="319"/>
      <c r="G159" s="319"/>
      <c r="H159" s="310"/>
      <c r="I159" s="310"/>
      <c r="J159" s="310"/>
      <c r="K159" s="310"/>
      <c r="L159" s="310"/>
      <c r="M159" s="310"/>
      <c r="N159" s="310"/>
      <c r="O159" s="310"/>
      <c r="P159" s="310"/>
      <c r="Q159" s="310"/>
      <c r="R159" s="310"/>
      <c r="S159" s="310"/>
      <c r="T159" s="310"/>
      <c r="U159" s="310"/>
      <c r="V159" s="310"/>
      <c r="W159" s="310"/>
      <c r="X159" s="310"/>
      <c r="Y159" s="310"/>
      <c r="Z159" s="310"/>
      <c r="AA159" s="310"/>
      <c r="AB159" s="310"/>
      <c r="AC159" s="310"/>
      <c r="AD159" s="310"/>
      <c r="AE159" s="310"/>
      <c r="AF159" s="310"/>
      <c r="AG159" s="310"/>
      <c r="AH159" s="310"/>
      <c r="AI159" s="310"/>
      <c r="AJ159" s="310"/>
      <c r="AK159" s="319" t="s">
        <v>11</v>
      </c>
      <c r="AL159" s="246" t="s">
        <v>360</v>
      </c>
      <c r="AM159" s="80">
        <v>41457</v>
      </c>
      <c r="AN159" s="80">
        <v>41639</v>
      </c>
      <c r="AO159" s="319"/>
      <c r="AP159" s="319"/>
      <c r="AQ159" s="319"/>
      <c r="AR159" s="319"/>
      <c r="AS159" s="319"/>
      <c r="AT159" s="319"/>
      <c r="AU159" s="319"/>
      <c r="AV159" s="319"/>
      <c r="AW159" s="319"/>
      <c r="AX159" s="125"/>
      <c r="AY159" s="125"/>
      <c r="AZ159" s="125"/>
      <c r="BA159" s="125"/>
      <c r="BB159" s="125"/>
      <c r="BC159" s="125"/>
      <c r="BD159" s="125"/>
      <c r="BE159" s="125"/>
      <c r="BF159" s="125"/>
      <c r="BG159" s="125"/>
      <c r="BH159" s="125"/>
      <c r="BI159" s="125"/>
      <c r="BJ159" s="125"/>
      <c r="BK159" s="125"/>
      <c r="BL159" s="125"/>
      <c r="BM159" s="419"/>
      <c r="BN159" s="419"/>
      <c r="BO159" s="365"/>
      <c r="BP159" s="365"/>
      <c r="BQ159" s="365"/>
      <c r="BR159" s="365"/>
      <c r="BS159" s="365"/>
      <c r="BT159" s="365"/>
      <c r="BU159" s="392"/>
      <c r="BV159" s="310"/>
      <c r="BW159" s="310"/>
      <c r="BX159" s="310"/>
      <c r="BY159" s="310"/>
      <c r="BZ159" s="310"/>
      <c r="CA159" s="310"/>
      <c r="CB159" s="310"/>
      <c r="CC159" s="310"/>
      <c r="CD159" s="310"/>
      <c r="CE159" s="310"/>
      <c r="CF159" s="310"/>
      <c r="CG159" s="310"/>
      <c r="CH159" s="310"/>
      <c r="CI159" s="310"/>
      <c r="CJ159" s="310"/>
      <c r="CK159" s="310"/>
      <c r="CL159" s="310"/>
      <c r="CM159" s="310"/>
      <c r="CN159" s="310"/>
      <c r="CO159" s="310"/>
      <c r="CP159" s="310"/>
      <c r="CQ159" s="310"/>
      <c r="CR159" s="392"/>
      <c r="CS159" s="310"/>
      <c r="CT159" s="310"/>
      <c r="CU159" s="310"/>
      <c r="CV159" s="310"/>
      <c r="CW159" s="310"/>
      <c r="CX159" s="310"/>
      <c r="CY159" s="310"/>
      <c r="CZ159" s="310"/>
      <c r="DA159" s="310"/>
      <c r="DB159" s="310"/>
      <c r="DC159" s="310"/>
      <c r="DD159" s="310"/>
      <c r="DE159" s="310"/>
    </row>
    <row r="160" spans="1:109" s="4" customFormat="1" ht="48">
      <c r="A160" s="582"/>
      <c r="B160" s="608"/>
      <c r="C160" s="600"/>
      <c r="D160" s="594"/>
      <c r="E160" s="319"/>
      <c r="F160" s="319"/>
      <c r="G160" s="319"/>
      <c r="H160" s="310"/>
      <c r="I160" s="310"/>
      <c r="J160" s="310"/>
      <c r="K160" s="310"/>
      <c r="L160" s="310"/>
      <c r="M160" s="310"/>
      <c r="N160" s="310"/>
      <c r="O160" s="310"/>
      <c r="P160" s="310"/>
      <c r="Q160" s="310"/>
      <c r="R160" s="310"/>
      <c r="S160" s="310"/>
      <c r="T160" s="310"/>
      <c r="U160" s="310"/>
      <c r="V160" s="310"/>
      <c r="W160" s="310"/>
      <c r="X160" s="310"/>
      <c r="Y160" s="310"/>
      <c r="Z160" s="310"/>
      <c r="AA160" s="310"/>
      <c r="AB160" s="310"/>
      <c r="AC160" s="310"/>
      <c r="AD160" s="310"/>
      <c r="AE160" s="310"/>
      <c r="AF160" s="310"/>
      <c r="AG160" s="310"/>
      <c r="AH160" s="310"/>
      <c r="AI160" s="310"/>
      <c r="AJ160" s="310"/>
      <c r="AK160" s="319"/>
      <c r="AL160" s="246" t="s">
        <v>361</v>
      </c>
      <c r="AM160" s="80">
        <v>41457</v>
      </c>
      <c r="AN160" s="80">
        <v>41639</v>
      </c>
      <c r="AO160" s="319"/>
      <c r="AP160" s="319"/>
      <c r="AQ160" s="319"/>
      <c r="AR160" s="319"/>
      <c r="AS160" s="319"/>
      <c r="AT160" s="319"/>
      <c r="AU160" s="319"/>
      <c r="AV160" s="319"/>
      <c r="AW160" s="319"/>
      <c r="AX160" s="125"/>
      <c r="AY160" s="125"/>
      <c r="AZ160" s="125"/>
      <c r="BA160" s="125"/>
      <c r="BB160" s="125"/>
      <c r="BC160" s="125"/>
      <c r="BD160" s="125"/>
      <c r="BE160" s="125"/>
      <c r="BF160" s="125"/>
      <c r="BG160" s="125"/>
      <c r="BH160" s="125"/>
      <c r="BI160" s="125"/>
      <c r="BJ160" s="125"/>
      <c r="BK160" s="125"/>
      <c r="BL160" s="125"/>
      <c r="BM160" s="419"/>
      <c r="BN160" s="419"/>
      <c r="BO160" s="365"/>
      <c r="BP160" s="365"/>
      <c r="BQ160" s="365"/>
      <c r="BR160" s="365"/>
      <c r="BS160" s="365"/>
      <c r="BT160" s="365"/>
      <c r="BU160" s="392"/>
      <c r="BV160" s="310"/>
      <c r="BW160" s="310"/>
      <c r="BX160" s="310"/>
      <c r="BY160" s="310"/>
      <c r="BZ160" s="310"/>
      <c r="CA160" s="310"/>
      <c r="CB160" s="310"/>
      <c r="CC160" s="310"/>
      <c r="CD160" s="310"/>
      <c r="CE160" s="310"/>
      <c r="CF160" s="310"/>
      <c r="CG160" s="310"/>
      <c r="CH160" s="310"/>
      <c r="CI160" s="310"/>
      <c r="CJ160" s="310"/>
      <c r="CK160" s="310"/>
      <c r="CL160" s="310"/>
      <c r="CM160" s="310"/>
      <c r="CN160" s="310"/>
      <c r="CO160" s="310"/>
      <c r="CP160" s="310"/>
      <c r="CQ160" s="310"/>
      <c r="CR160" s="392"/>
      <c r="CS160" s="310"/>
      <c r="CT160" s="310"/>
      <c r="CU160" s="310"/>
      <c r="CV160" s="310"/>
      <c r="CW160" s="310"/>
      <c r="CX160" s="310"/>
      <c r="CY160" s="310"/>
      <c r="CZ160" s="310"/>
      <c r="DA160" s="310"/>
      <c r="DB160" s="310"/>
      <c r="DC160" s="310"/>
      <c r="DD160" s="310"/>
      <c r="DE160" s="310"/>
    </row>
    <row r="161" spans="1:109" s="4" customFormat="1" ht="54.75" customHeight="1">
      <c r="A161" s="582"/>
      <c r="B161" s="608"/>
      <c r="C161" s="598" t="s">
        <v>362</v>
      </c>
      <c r="D161" s="279" t="s">
        <v>492</v>
      </c>
      <c r="E161" s="243">
        <v>2757000000</v>
      </c>
      <c r="F161" s="243"/>
      <c r="G161" s="243"/>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310"/>
      <c r="AK161" s="319" t="s">
        <v>12</v>
      </c>
      <c r="AL161" s="278" t="s">
        <v>363</v>
      </c>
      <c r="AM161" s="243">
        <v>41457</v>
      </c>
      <c r="AN161" s="243">
        <v>42338</v>
      </c>
      <c r="AO161" s="80">
        <v>2757000000</v>
      </c>
      <c r="AP161" s="80">
        <f>2477638672+42300000</f>
        <v>2519938672</v>
      </c>
      <c r="AQ161" s="80">
        <f>AO161-AP161</f>
        <v>237061328</v>
      </c>
      <c r="AR161" s="80">
        <v>2757000000</v>
      </c>
      <c r="AS161" s="80">
        <f>2477638672+42300000+8260000</f>
        <v>2528198672</v>
      </c>
      <c r="AT161" s="80">
        <f>AR161-AS161</f>
        <v>228801328</v>
      </c>
      <c r="AU161" s="80"/>
      <c r="AV161" s="80"/>
      <c r="AW161" s="80">
        <f>AU161-AV161</f>
        <v>0</v>
      </c>
      <c r="AX161" s="240"/>
      <c r="AY161" s="240"/>
      <c r="AZ161" s="240"/>
      <c r="BA161" s="240"/>
      <c r="BB161" s="240"/>
      <c r="BC161" s="240"/>
      <c r="BD161" s="240"/>
      <c r="BE161" s="240"/>
      <c r="BF161" s="240"/>
      <c r="BG161" s="240"/>
      <c r="BH161" s="240"/>
      <c r="BI161" s="240"/>
      <c r="BJ161" s="240"/>
      <c r="BK161" s="240"/>
      <c r="BL161" s="240"/>
      <c r="BM161" s="419"/>
      <c r="BN161" s="419"/>
      <c r="BO161" s="365"/>
      <c r="BP161" s="365"/>
      <c r="BQ161" s="365"/>
      <c r="BR161" s="365"/>
      <c r="BS161" s="365"/>
      <c r="BT161" s="365"/>
      <c r="BU161" s="392"/>
      <c r="BV161" s="310"/>
      <c r="BW161" s="310"/>
      <c r="BX161" s="310"/>
      <c r="BY161" s="310"/>
      <c r="BZ161" s="310"/>
      <c r="CA161" s="310"/>
      <c r="CB161" s="310"/>
      <c r="CC161" s="310"/>
      <c r="CD161" s="310"/>
      <c r="CE161" s="310"/>
      <c r="CF161" s="310"/>
      <c r="CG161" s="310"/>
      <c r="CH161" s="310"/>
      <c r="CI161" s="310"/>
      <c r="CJ161" s="310"/>
      <c r="CK161" s="310"/>
      <c r="CL161" s="310"/>
      <c r="CM161" s="310"/>
      <c r="CN161" s="310"/>
      <c r="CO161" s="310"/>
      <c r="CP161" s="310"/>
      <c r="CQ161" s="310"/>
      <c r="CR161" s="392"/>
      <c r="CS161" s="310"/>
      <c r="CT161" s="310"/>
      <c r="CU161" s="310"/>
      <c r="CV161" s="310"/>
      <c r="CW161" s="310"/>
      <c r="CX161" s="310"/>
      <c r="CY161" s="310"/>
      <c r="CZ161" s="310"/>
      <c r="DA161" s="310"/>
      <c r="DB161" s="310"/>
      <c r="DC161" s="310"/>
      <c r="DD161" s="310"/>
      <c r="DE161" s="310"/>
    </row>
    <row r="162" spans="1:109" s="4" customFormat="1" ht="54.75" customHeight="1">
      <c r="A162" s="582"/>
      <c r="B162" s="608"/>
      <c r="C162" s="599"/>
      <c r="D162" s="592" t="s">
        <v>493</v>
      </c>
      <c r="E162" s="319">
        <v>108750000</v>
      </c>
      <c r="F162" s="319"/>
      <c r="G162" s="319"/>
      <c r="H162" s="310"/>
      <c r="I162" s="310"/>
      <c r="J162" s="310"/>
      <c r="K162" s="310"/>
      <c r="L162" s="310"/>
      <c r="M162" s="310"/>
      <c r="N162" s="310"/>
      <c r="O162" s="310"/>
      <c r="P162" s="310"/>
      <c r="Q162" s="310"/>
      <c r="R162" s="310"/>
      <c r="S162" s="310"/>
      <c r="T162" s="310"/>
      <c r="U162" s="310"/>
      <c r="V162" s="310"/>
      <c r="W162" s="310"/>
      <c r="X162" s="310"/>
      <c r="Y162" s="310"/>
      <c r="Z162" s="310"/>
      <c r="AA162" s="310"/>
      <c r="AB162" s="310"/>
      <c r="AC162" s="310"/>
      <c r="AD162" s="310"/>
      <c r="AE162" s="310"/>
      <c r="AF162" s="310"/>
      <c r="AG162" s="310"/>
      <c r="AH162" s="310"/>
      <c r="AI162" s="310"/>
      <c r="AJ162" s="310"/>
      <c r="AK162" s="319"/>
      <c r="AL162" s="246" t="s">
        <v>364</v>
      </c>
      <c r="AM162" s="80">
        <v>41457</v>
      </c>
      <c r="AN162" s="80">
        <v>42004</v>
      </c>
      <c r="AO162" s="319">
        <v>108750000</v>
      </c>
      <c r="AP162" s="319">
        <v>45084069</v>
      </c>
      <c r="AQ162" s="319">
        <v>45084069</v>
      </c>
      <c r="AR162" s="319">
        <v>108750000</v>
      </c>
      <c r="AS162" s="319">
        <v>45084069</v>
      </c>
      <c r="AT162" s="319">
        <v>45084069</v>
      </c>
      <c r="AU162" s="319"/>
      <c r="AV162" s="319"/>
      <c r="AW162" s="319">
        <v>45084069</v>
      </c>
      <c r="AX162" s="125"/>
      <c r="AY162" s="125"/>
      <c r="AZ162" s="125"/>
      <c r="BA162" s="125"/>
      <c r="BB162" s="125"/>
      <c r="BC162" s="125"/>
      <c r="BD162" s="125"/>
      <c r="BE162" s="125"/>
      <c r="BF162" s="125"/>
      <c r="BG162" s="125"/>
      <c r="BH162" s="125"/>
      <c r="BI162" s="125"/>
      <c r="BJ162" s="125"/>
      <c r="BK162" s="125"/>
      <c r="BL162" s="125"/>
      <c r="BM162" s="419"/>
      <c r="BN162" s="419"/>
      <c r="BO162" s="365"/>
      <c r="BP162" s="365"/>
      <c r="BQ162" s="365"/>
      <c r="BR162" s="365"/>
      <c r="BS162" s="365"/>
      <c r="BT162" s="365"/>
      <c r="BU162" s="392"/>
      <c r="BV162" s="310"/>
      <c r="BW162" s="310"/>
      <c r="BX162" s="310"/>
      <c r="BY162" s="310"/>
      <c r="BZ162" s="310"/>
      <c r="CA162" s="310"/>
      <c r="CB162" s="310"/>
      <c r="CC162" s="310"/>
      <c r="CD162" s="310"/>
      <c r="CE162" s="310"/>
      <c r="CF162" s="310"/>
      <c r="CG162" s="310"/>
      <c r="CH162" s="310"/>
      <c r="CI162" s="310"/>
      <c r="CJ162" s="310"/>
      <c r="CK162" s="310"/>
      <c r="CL162" s="310"/>
      <c r="CM162" s="310"/>
      <c r="CN162" s="310"/>
      <c r="CO162" s="310"/>
      <c r="CP162" s="310"/>
      <c r="CQ162" s="310"/>
      <c r="CR162" s="392"/>
      <c r="CS162" s="310"/>
      <c r="CT162" s="310"/>
      <c r="CU162" s="310"/>
      <c r="CV162" s="310"/>
      <c r="CW162" s="310"/>
      <c r="CX162" s="310"/>
      <c r="CY162" s="310"/>
      <c r="CZ162" s="310"/>
      <c r="DA162" s="310"/>
      <c r="DB162" s="310"/>
      <c r="DC162" s="310"/>
      <c r="DD162" s="310"/>
      <c r="DE162" s="310"/>
    </row>
    <row r="163" spans="1:109" s="4" customFormat="1" ht="36">
      <c r="A163" s="582"/>
      <c r="B163" s="608"/>
      <c r="C163" s="599"/>
      <c r="D163" s="593"/>
      <c r="E163" s="319"/>
      <c r="F163" s="319"/>
      <c r="G163" s="319"/>
      <c r="H163" s="310"/>
      <c r="I163" s="310"/>
      <c r="J163" s="310"/>
      <c r="K163" s="310"/>
      <c r="L163" s="310"/>
      <c r="M163" s="310"/>
      <c r="N163" s="310"/>
      <c r="O163" s="310"/>
      <c r="P163" s="310"/>
      <c r="Q163" s="310"/>
      <c r="R163" s="310"/>
      <c r="S163" s="310"/>
      <c r="T163" s="310"/>
      <c r="U163" s="310"/>
      <c r="V163" s="310"/>
      <c r="W163" s="310"/>
      <c r="X163" s="310"/>
      <c r="Y163" s="310"/>
      <c r="Z163" s="310"/>
      <c r="AA163" s="310"/>
      <c r="AB163" s="310"/>
      <c r="AC163" s="310"/>
      <c r="AD163" s="310"/>
      <c r="AE163" s="310"/>
      <c r="AF163" s="310"/>
      <c r="AG163" s="310"/>
      <c r="AH163" s="310"/>
      <c r="AI163" s="310"/>
      <c r="AJ163" s="310"/>
      <c r="AK163" s="319"/>
      <c r="AL163" s="246" t="s">
        <v>365</v>
      </c>
      <c r="AM163" s="80">
        <v>41652</v>
      </c>
      <c r="AN163" s="80">
        <v>41820</v>
      </c>
      <c r="AO163" s="319"/>
      <c r="AP163" s="319"/>
      <c r="AQ163" s="319"/>
      <c r="AR163" s="319"/>
      <c r="AS163" s="319"/>
      <c r="AT163" s="319"/>
      <c r="AU163" s="319"/>
      <c r="AV163" s="319"/>
      <c r="AW163" s="319"/>
      <c r="AX163" s="125"/>
      <c r="AY163" s="125"/>
      <c r="AZ163" s="125"/>
      <c r="BA163" s="125"/>
      <c r="BB163" s="125"/>
      <c r="BC163" s="125"/>
      <c r="BD163" s="125"/>
      <c r="BE163" s="125"/>
      <c r="BF163" s="125"/>
      <c r="BG163" s="125"/>
      <c r="BH163" s="125"/>
      <c r="BI163" s="125"/>
      <c r="BJ163" s="125"/>
      <c r="BK163" s="125"/>
      <c r="BL163" s="125"/>
      <c r="BM163" s="419"/>
      <c r="BN163" s="419"/>
      <c r="BO163" s="365"/>
      <c r="BP163" s="365"/>
      <c r="BQ163" s="365"/>
      <c r="BR163" s="365"/>
      <c r="BS163" s="365"/>
      <c r="BT163" s="365"/>
      <c r="BU163" s="392"/>
      <c r="BV163" s="310"/>
      <c r="BW163" s="310"/>
      <c r="BX163" s="310"/>
      <c r="BY163" s="310"/>
      <c r="BZ163" s="310"/>
      <c r="CA163" s="310"/>
      <c r="CB163" s="310"/>
      <c r="CC163" s="310"/>
      <c r="CD163" s="310"/>
      <c r="CE163" s="310"/>
      <c r="CF163" s="310"/>
      <c r="CG163" s="310"/>
      <c r="CH163" s="310"/>
      <c r="CI163" s="310"/>
      <c r="CJ163" s="310"/>
      <c r="CK163" s="310"/>
      <c r="CL163" s="310"/>
      <c r="CM163" s="310"/>
      <c r="CN163" s="310"/>
      <c r="CO163" s="310"/>
      <c r="CP163" s="310"/>
      <c r="CQ163" s="310"/>
      <c r="CR163" s="392"/>
      <c r="CS163" s="310"/>
      <c r="CT163" s="310"/>
      <c r="CU163" s="310"/>
      <c r="CV163" s="310"/>
      <c r="CW163" s="310"/>
      <c r="CX163" s="310"/>
      <c r="CY163" s="310"/>
      <c r="CZ163" s="310"/>
      <c r="DA163" s="310"/>
      <c r="DB163" s="310"/>
      <c r="DC163" s="310"/>
      <c r="DD163" s="310"/>
      <c r="DE163" s="310"/>
    </row>
    <row r="164" spans="1:109" s="4" customFormat="1" ht="36">
      <c r="A164" s="582"/>
      <c r="B164" s="608"/>
      <c r="C164" s="599"/>
      <c r="D164" s="593"/>
      <c r="E164" s="319"/>
      <c r="F164" s="319"/>
      <c r="G164" s="319"/>
      <c r="H164" s="310"/>
      <c r="I164" s="310"/>
      <c r="J164" s="310"/>
      <c r="K164" s="310"/>
      <c r="L164" s="310"/>
      <c r="M164" s="310"/>
      <c r="N164" s="310"/>
      <c r="O164" s="310"/>
      <c r="P164" s="310"/>
      <c r="Q164" s="310"/>
      <c r="R164" s="310"/>
      <c r="S164" s="310"/>
      <c r="T164" s="310"/>
      <c r="U164" s="310"/>
      <c r="V164" s="310"/>
      <c r="W164" s="310"/>
      <c r="X164" s="310"/>
      <c r="Y164" s="310"/>
      <c r="Z164" s="310"/>
      <c r="AA164" s="310"/>
      <c r="AB164" s="310"/>
      <c r="AC164" s="310"/>
      <c r="AD164" s="310"/>
      <c r="AE164" s="310"/>
      <c r="AF164" s="310"/>
      <c r="AG164" s="310"/>
      <c r="AH164" s="310"/>
      <c r="AI164" s="310"/>
      <c r="AJ164" s="310"/>
      <c r="AK164" s="319" t="s">
        <v>84</v>
      </c>
      <c r="AL164" s="246" t="s">
        <v>366</v>
      </c>
      <c r="AM164" s="125">
        <v>41457</v>
      </c>
      <c r="AN164" s="125">
        <v>41638</v>
      </c>
      <c r="AO164" s="319"/>
      <c r="AP164" s="319"/>
      <c r="AQ164" s="319"/>
      <c r="AR164" s="319"/>
      <c r="AS164" s="319"/>
      <c r="AT164" s="319"/>
      <c r="AU164" s="319"/>
      <c r="AV164" s="319"/>
      <c r="AW164" s="319"/>
      <c r="AX164" s="280"/>
      <c r="AY164" s="280"/>
      <c r="AZ164" s="280"/>
      <c r="BA164" s="280"/>
      <c r="BB164" s="280"/>
      <c r="BC164" s="280"/>
      <c r="BD164" s="280"/>
      <c r="BE164" s="280"/>
      <c r="BF164" s="280"/>
      <c r="BG164" s="280"/>
      <c r="BH164" s="280"/>
      <c r="BI164" s="280"/>
      <c r="BJ164" s="280"/>
      <c r="BK164" s="280"/>
      <c r="BL164" s="280"/>
      <c r="BM164" s="419"/>
      <c r="BN164" s="419"/>
      <c r="BO164" s="365"/>
      <c r="BP164" s="365"/>
      <c r="BQ164" s="365"/>
      <c r="BR164" s="365"/>
      <c r="BS164" s="365"/>
      <c r="BT164" s="365"/>
      <c r="BU164" s="392"/>
      <c r="BV164" s="310"/>
      <c r="BW164" s="310"/>
      <c r="BX164" s="310"/>
      <c r="BY164" s="310"/>
      <c r="BZ164" s="310"/>
      <c r="CA164" s="310"/>
      <c r="CB164" s="310"/>
      <c r="CC164" s="310"/>
      <c r="CD164" s="310"/>
      <c r="CE164" s="310"/>
      <c r="CF164" s="310"/>
      <c r="CG164" s="310"/>
      <c r="CH164" s="310"/>
      <c r="CI164" s="310"/>
      <c r="CJ164" s="310"/>
      <c r="CK164" s="310"/>
      <c r="CL164" s="310"/>
      <c r="CM164" s="310"/>
      <c r="CN164" s="310"/>
      <c r="CO164" s="310"/>
      <c r="CP164" s="310"/>
      <c r="CQ164" s="310"/>
      <c r="CR164" s="392"/>
      <c r="CS164" s="310"/>
      <c r="CT164" s="310"/>
      <c r="CU164" s="310"/>
      <c r="CV164" s="310"/>
      <c r="CW164" s="310"/>
      <c r="CX164" s="310"/>
      <c r="CY164" s="310"/>
      <c r="CZ164" s="310"/>
      <c r="DA164" s="310"/>
      <c r="DB164" s="310"/>
      <c r="DC164" s="310"/>
      <c r="DD164" s="310"/>
      <c r="DE164" s="310"/>
    </row>
    <row r="165" spans="1:109" s="4" customFormat="1" ht="48">
      <c r="A165" s="582"/>
      <c r="B165" s="608"/>
      <c r="C165" s="599"/>
      <c r="D165" s="593"/>
      <c r="E165" s="319"/>
      <c r="F165" s="319"/>
      <c r="G165" s="319"/>
      <c r="H165" s="310"/>
      <c r="I165" s="310"/>
      <c r="J165" s="310"/>
      <c r="K165" s="310"/>
      <c r="L165" s="310"/>
      <c r="M165" s="310"/>
      <c r="N165" s="310"/>
      <c r="O165" s="310"/>
      <c r="P165" s="310"/>
      <c r="Q165" s="310"/>
      <c r="R165" s="310"/>
      <c r="S165" s="310"/>
      <c r="T165" s="310"/>
      <c r="U165" s="310"/>
      <c r="V165" s="310"/>
      <c r="W165" s="310"/>
      <c r="X165" s="310"/>
      <c r="Y165" s="310"/>
      <c r="Z165" s="310"/>
      <c r="AA165" s="310"/>
      <c r="AB165" s="310"/>
      <c r="AC165" s="310"/>
      <c r="AD165" s="310"/>
      <c r="AE165" s="310"/>
      <c r="AF165" s="310"/>
      <c r="AG165" s="310"/>
      <c r="AH165" s="310"/>
      <c r="AI165" s="310"/>
      <c r="AJ165" s="310"/>
      <c r="AK165" s="319"/>
      <c r="AL165" s="246" t="s">
        <v>367</v>
      </c>
      <c r="AM165" s="125">
        <v>41457</v>
      </c>
      <c r="AN165" s="125">
        <v>42004</v>
      </c>
      <c r="AO165" s="319"/>
      <c r="AP165" s="319"/>
      <c r="AQ165" s="319"/>
      <c r="AR165" s="319"/>
      <c r="AS165" s="319"/>
      <c r="AT165" s="319"/>
      <c r="AU165" s="319"/>
      <c r="AV165" s="319"/>
      <c r="AW165" s="319"/>
      <c r="AX165" s="280"/>
      <c r="AY165" s="280"/>
      <c r="AZ165" s="280"/>
      <c r="BA165" s="280"/>
      <c r="BB165" s="280"/>
      <c r="BC165" s="280"/>
      <c r="BD165" s="280"/>
      <c r="BE165" s="280"/>
      <c r="BF165" s="280"/>
      <c r="BG165" s="280"/>
      <c r="BH165" s="280"/>
      <c r="BI165" s="280"/>
      <c r="BJ165" s="280"/>
      <c r="BK165" s="280"/>
      <c r="BL165" s="280"/>
      <c r="BM165" s="419"/>
      <c r="BN165" s="419"/>
      <c r="BO165" s="365"/>
      <c r="BP165" s="365"/>
      <c r="BQ165" s="365"/>
      <c r="BR165" s="365"/>
      <c r="BS165" s="365"/>
      <c r="BT165" s="365"/>
      <c r="BU165" s="392"/>
      <c r="BV165" s="310"/>
      <c r="BW165" s="310"/>
      <c r="BX165" s="310"/>
      <c r="BY165" s="310"/>
      <c r="BZ165" s="310"/>
      <c r="CA165" s="310"/>
      <c r="CB165" s="310"/>
      <c r="CC165" s="310"/>
      <c r="CD165" s="310"/>
      <c r="CE165" s="310"/>
      <c r="CF165" s="310"/>
      <c r="CG165" s="310"/>
      <c r="CH165" s="310"/>
      <c r="CI165" s="310"/>
      <c r="CJ165" s="310"/>
      <c r="CK165" s="310"/>
      <c r="CL165" s="310"/>
      <c r="CM165" s="310"/>
      <c r="CN165" s="310"/>
      <c r="CO165" s="310"/>
      <c r="CP165" s="310"/>
      <c r="CQ165" s="310"/>
      <c r="CR165" s="392"/>
      <c r="CS165" s="310"/>
      <c r="CT165" s="310"/>
      <c r="CU165" s="310"/>
      <c r="CV165" s="310"/>
      <c r="CW165" s="310"/>
      <c r="CX165" s="310"/>
      <c r="CY165" s="310"/>
      <c r="CZ165" s="310"/>
      <c r="DA165" s="310"/>
      <c r="DB165" s="310"/>
      <c r="DC165" s="310"/>
      <c r="DD165" s="310"/>
      <c r="DE165" s="310"/>
    </row>
    <row r="166" spans="1:109" s="4" customFormat="1" ht="24">
      <c r="A166" s="582"/>
      <c r="B166" s="608"/>
      <c r="C166" s="599"/>
      <c r="D166" s="593"/>
      <c r="E166" s="319"/>
      <c r="F166" s="319"/>
      <c r="G166" s="319"/>
      <c r="H166" s="310"/>
      <c r="I166" s="310"/>
      <c r="J166" s="310"/>
      <c r="K166" s="310"/>
      <c r="L166" s="310"/>
      <c r="M166" s="310"/>
      <c r="N166" s="310"/>
      <c r="O166" s="310"/>
      <c r="P166" s="310"/>
      <c r="Q166" s="310"/>
      <c r="R166" s="310"/>
      <c r="S166" s="310"/>
      <c r="T166" s="310"/>
      <c r="U166" s="310"/>
      <c r="V166" s="310"/>
      <c r="W166" s="310"/>
      <c r="X166" s="310"/>
      <c r="Y166" s="310"/>
      <c r="Z166" s="310"/>
      <c r="AA166" s="310"/>
      <c r="AB166" s="310"/>
      <c r="AC166" s="310"/>
      <c r="AD166" s="310"/>
      <c r="AE166" s="310"/>
      <c r="AF166" s="310"/>
      <c r="AG166" s="310"/>
      <c r="AH166" s="310"/>
      <c r="AI166" s="310"/>
      <c r="AJ166" s="310"/>
      <c r="AK166" s="319"/>
      <c r="AL166" s="246" t="s">
        <v>368</v>
      </c>
      <c r="AM166" s="125">
        <v>41457</v>
      </c>
      <c r="AN166" s="125">
        <v>42004</v>
      </c>
      <c r="AO166" s="319"/>
      <c r="AP166" s="319"/>
      <c r="AQ166" s="319"/>
      <c r="AR166" s="319"/>
      <c r="AS166" s="319"/>
      <c r="AT166" s="319"/>
      <c r="AU166" s="319"/>
      <c r="AV166" s="319"/>
      <c r="AW166" s="319"/>
      <c r="AX166" s="280"/>
      <c r="AY166" s="280"/>
      <c r="AZ166" s="280"/>
      <c r="BA166" s="280"/>
      <c r="BB166" s="280"/>
      <c r="BC166" s="280"/>
      <c r="BD166" s="280"/>
      <c r="BE166" s="280"/>
      <c r="BF166" s="280"/>
      <c r="BG166" s="280"/>
      <c r="BH166" s="280"/>
      <c r="BI166" s="280"/>
      <c r="BJ166" s="280"/>
      <c r="BK166" s="280"/>
      <c r="BL166" s="280"/>
      <c r="BM166" s="419"/>
      <c r="BN166" s="419"/>
      <c r="BO166" s="365"/>
      <c r="BP166" s="365"/>
      <c r="BQ166" s="365"/>
      <c r="BR166" s="365"/>
      <c r="BS166" s="365"/>
      <c r="BT166" s="365"/>
      <c r="BU166" s="392"/>
      <c r="BV166" s="310"/>
      <c r="BW166" s="310"/>
      <c r="BX166" s="310"/>
      <c r="BY166" s="310"/>
      <c r="BZ166" s="310"/>
      <c r="CA166" s="310"/>
      <c r="CB166" s="310"/>
      <c r="CC166" s="310"/>
      <c r="CD166" s="310"/>
      <c r="CE166" s="310"/>
      <c r="CF166" s="310"/>
      <c r="CG166" s="310"/>
      <c r="CH166" s="310"/>
      <c r="CI166" s="310"/>
      <c r="CJ166" s="310"/>
      <c r="CK166" s="310"/>
      <c r="CL166" s="310"/>
      <c r="CM166" s="310"/>
      <c r="CN166" s="310"/>
      <c r="CO166" s="310"/>
      <c r="CP166" s="310"/>
      <c r="CQ166" s="310"/>
      <c r="CR166" s="392"/>
      <c r="CS166" s="310"/>
      <c r="CT166" s="310"/>
      <c r="CU166" s="310"/>
      <c r="CV166" s="310"/>
      <c r="CW166" s="310"/>
      <c r="CX166" s="310"/>
      <c r="CY166" s="310"/>
      <c r="CZ166" s="310"/>
      <c r="DA166" s="310"/>
      <c r="DB166" s="310"/>
      <c r="DC166" s="310"/>
      <c r="DD166" s="310"/>
      <c r="DE166" s="310"/>
    </row>
    <row r="167" spans="1:109" s="4" customFormat="1" ht="24">
      <c r="A167" s="582"/>
      <c r="B167" s="608"/>
      <c r="C167" s="599"/>
      <c r="D167" s="593"/>
      <c r="E167" s="319"/>
      <c r="F167" s="319"/>
      <c r="G167" s="319"/>
      <c r="H167" s="310"/>
      <c r="I167" s="310"/>
      <c r="J167" s="310"/>
      <c r="K167" s="310"/>
      <c r="L167" s="310"/>
      <c r="M167" s="310"/>
      <c r="N167" s="310"/>
      <c r="O167" s="310"/>
      <c r="P167" s="310"/>
      <c r="Q167" s="310"/>
      <c r="R167" s="310"/>
      <c r="S167" s="310"/>
      <c r="T167" s="310"/>
      <c r="U167" s="310"/>
      <c r="V167" s="310"/>
      <c r="W167" s="310"/>
      <c r="X167" s="310"/>
      <c r="Y167" s="310"/>
      <c r="Z167" s="310"/>
      <c r="AA167" s="310"/>
      <c r="AB167" s="310"/>
      <c r="AC167" s="310"/>
      <c r="AD167" s="310"/>
      <c r="AE167" s="310"/>
      <c r="AF167" s="310"/>
      <c r="AG167" s="310"/>
      <c r="AH167" s="310"/>
      <c r="AI167" s="310"/>
      <c r="AJ167" s="310"/>
      <c r="AK167" s="319"/>
      <c r="AL167" s="246" t="s">
        <v>369</v>
      </c>
      <c r="AM167" s="125">
        <v>41641</v>
      </c>
      <c r="AN167" s="125">
        <v>42004</v>
      </c>
      <c r="AO167" s="319"/>
      <c r="AP167" s="319"/>
      <c r="AQ167" s="319"/>
      <c r="AR167" s="319"/>
      <c r="AS167" s="319"/>
      <c r="AT167" s="319"/>
      <c r="AU167" s="319"/>
      <c r="AV167" s="319"/>
      <c r="AW167" s="319"/>
      <c r="AX167" s="280"/>
      <c r="AY167" s="280"/>
      <c r="AZ167" s="280"/>
      <c r="BA167" s="280"/>
      <c r="BB167" s="280"/>
      <c r="BC167" s="280"/>
      <c r="BD167" s="280"/>
      <c r="BE167" s="280"/>
      <c r="BF167" s="280"/>
      <c r="BG167" s="280"/>
      <c r="BH167" s="280"/>
      <c r="BI167" s="280"/>
      <c r="BJ167" s="280"/>
      <c r="BK167" s="280"/>
      <c r="BL167" s="280"/>
      <c r="BM167" s="419"/>
      <c r="BN167" s="419"/>
      <c r="BO167" s="365"/>
      <c r="BP167" s="365"/>
      <c r="BQ167" s="365"/>
      <c r="BR167" s="365"/>
      <c r="BS167" s="365"/>
      <c r="BT167" s="365"/>
      <c r="BU167" s="392"/>
      <c r="BV167" s="310"/>
      <c r="BW167" s="310"/>
      <c r="BX167" s="310"/>
      <c r="BY167" s="310"/>
      <c r="BZ167" s="310"/>
      <c r="CA167" s="310"/>
      <c r="CB167" s="310"/>
      <c r="CC167" s="310"/>
      <c r="CD167" s="310"/>
      <c r="CE167" s="310"/>
      <c r="CF167" s="310"/>
      <c r="CG167" s="310"/>
      <c r="CH167" s="310"/>
      <c r="CI167" s="310"/>
      <c r="CJ167" s="310"/>
      <c r="CK167" s="310"/>
      <c r="CL167" s="310"/>
      <c r="CM167" s="310"/>
      <c r="CN167" s="310"/>
      <c r="CO167" s="310"/>
      <c r="CP167" s="310"/>
      <c r="CQ167" s="310"/>
      <c r="CR167" s="392"/>
      <c r="CS167" s="310"/>
      <c r="CT167" s="310"/>
      <c r="CU167" s="310"/>
      <c r="CV167" s="310"/>
      <c r="CW167" s="310"/>
      <c r="CX167" s="310"/>
      <c r="CY167" s="310"/>
      <c r="CZ167" s="310"/>
      <c r="DA167" s="310"/>
      <c r="DB167" s="310"/>
      <c r="DC167" s="310"/>
      <c r="DD167" s="310"/>
      <c r="DE167" s="310"/>
    </row>
    <row r="168" spans="1:109" s="4" customFormat="1" ht="24">
      <c r="A168" s="582"/>
      <c r="B168" s="608"/>
      <c r="C168" s="599"/>
      <c r="D168" s="594"/>
      <c r="E168" s="319"/>
      <c r="F168" s="319"/>
      <c r="G168" s="319"/>
      <c r="H168" s="310"/>
      <c r="I168" s="310"/>
      <c r="J168" s="310"/>
      <c r="K168" s="310"/>
      <c r="L168" s="310"/>
      <c r="M168" s="310"/>
      <c r="N168" s="310"/>
      <c r="O168" s="310"/>
      <c r="P168" s="310"/>
      <c r="Q168" s="310"/>
      <c r="R168" s="310"/>
      <c r="S168" s="310"/>
      <c r="T168" s="310"/>
      <c r="U168" s="310"/>
      <c r="V168" s="310"/>
      <c r="W168" s="310"/>
      <c r="X168" s="310"/>
      <c r="Y168" s="310"/>
      <c r="Z168" s="310"/>
      <c r="AA168" s="310"/>
      <c r="AB168" s="310"/>
      <c r="AC168" s="310"/>
      <c r="AD168" s="310"/>
      <c r="AE168" s="310"/>
      <c r="AF168" s="310"/>
      <c r="AG168" s="310"/>
      <c r="AH168" s="310"/>
      <c r="AI168" s="310"/>
      <c r="AJ168" s="310"/>
      <c r="AK168" s="319"/>
      <c r="AL168" s="246" t="s">
        <v>370</v>
      </c>
      <c r="AM168" s="125">
        <v>41457</v>
      </c>
      <c r="AN168" s="125">
        <v>42338</v>
      </c>
      <c r="AO168" s="319"/>
      <c r="AP168" s="319"/>
      <c r="AQ168" s="319"/>
      <c r="AR168" s="319"/>
      <c r="AS168" s="319"/>
      <c r="AT168" s="319"/>
      <c r="AU168" s="319"/>
      <c r="AV168" s="319"/>
      <c r="AW168" s="319"/>
      <c r="AX168" s="280"/>
      <c r="AY168" s="280"/>
      <c r="AZ168" s="280"/>
      <c r="BA168" s="280"/>
      <c r="BB168" s="280"/>
      <c r="BC168" s="280"/>
      <c r="BD168" s="280"/>
      <c r="BE168" s="280"/>
      <c r="BF168" s="280"/>
      <c r="BG168" s="280"/>
      <c r="BH168" s="280"/>
      <c r="BI168" s="280"/>
      <c r="BJ168" s="280"/>
      <c r="BK168" s="280"/>
      <c r="BL168" s="280"/>
      <c r="BM168" s="419"/>
      <c r="BN168" s="419"/>
      <c r="BO168" s="365"/>
      <c r="BP168" s="365"/>
      <c r="BQ168" s="365"/>
      <c r="BR168" s="365"/>
      <c r="BS168" s="365"/>
      <c r="BT168" s="365"/>
      <c r="BU168" s="392"/>
      <c r="BV168" s="310"/>
      <c r="BW168" s="310"/>
      <c r="BX168" s="310"/>
      <c r="BY168" s="310"/>
      <c r="BZ168" s="310"/>
      <c r="CA168" s="310"/>
      <c r="CB168" s="310"/>
      <c r="CC168" s="310"/>
      <c r="CD168" s="310"/>
      <c r="CE168" s="310"/>
      <c r="CF168" s="310"/>
      <c r="CG168" s="310"/>
      <c r="CH168" s="310"/>
      <c r="CI168" s="310"/>
      <c r="CJ168" s="310"/>
      <c r="CK168" s="310"/>
      <c r="CL168" s="310"/>
      <c r="CM168" s="310"/>
      <c r="CN168" s="310"/>
      <c r="CO168" s="310"/>
      <c r="CP168" s="310"/>
      <c r="CQ168" s="310"/>
      <c r="CR168" s="392"/>
      <c r="CS168" s="310"/>
      <c r="CT168" s="310"/>
      <c r="CU168" s="310"/>
      <c r="CV168" s="310"/>
      <c r="CW168" s="310"/>
      <c r="CX168" s="310"/>
      <c r="CY168" s="310"/>
      <c r="CZ168" s="310"/>
      <c r="DA168" s="310"/>
      <c r="DB168" s="310"/>
      <c r="DC168" s="310"/>
      <c r="DD168" s="310"/>
      <c r="DE168" s="310"/>
    </row>
    <row r="169" spans="1:109" s="4" customFormat="1" ht="11.1" customHeight="1">
      <c r="A169" s="582"/>
      <c r="B169" s="608"/>
      <c r="C169" s="599"/>
      <c r="D169" s="573" t="s">
        <v>494</v>
      </c>
      <c r="E169" s="319">
        <v>10250000</v>
      </c>
      <c r="F169" s="319"/>
      <c r="G169" s="319"/>
      <c r="H169" s="310"/>
      <c r="I169" s="310"/>
      <c r="J169" s="310"/>
      <c r="K169" s="310"/>
      <c r="L169" s="310"/>
      <c r="M169" s="310"/>
      <c r="N169" s="310"/>
      <c r="O169" s="310"/>
      <c r="P169" s="310"/>
      <c r="Q169" s="310"/>
      <c r="R169" s="310"/>
      <c r="S169" s="310"/>
      <c r="T169" s="310"/>
      <c r="U169" s="310"/>
      <c r="V169" s="310"/>
      <c r="W169" s="310"/>
      <c r="X169" s="310"/>
      <c r="Y169" s="310"/>
      <c r="Z169" s="310"/>
      <c r="AA169" s="310"/>
      <c r="AB169" s="310"/>
      <c r="AC169" s="310"/>
      <c r="AD169" s="310"/>
      <c r="AE169" s="310"/>
      <c r="AF169" s="310"/>
      <c r="AG169" s="310"/>
      <c r="AH169" s="310"/>
      <c r="AI169" s="310"/>
      <c r="AJ169" s="310" t="s">
        <v>68</v>
      </c>
      <c r="AK169" s="319" t="s">
        <v>85</v>
      </c>
      <c r="AL169" s="573" t="s">
        <v>373</v>
      </c>
      <c r="AM169" s="418">
        <v>41457</v>
      </c>
      <c r="AN169" s="418">
        <v>42338</v>
      </c>
      <c r="AO169" s="319">
        <v>10250000</v>
      </c>
      <c r="AP169" s="319">
        <v>0</v>
      </c>
      <c r="AQ169" s="319">
        <f>AO169-AP169</f>
        <v>10250000</v>
      </c>
      <c r="AR169" s="319">
        <v>10250000</v>
      </c>
      <c r="AS169" s="319">
        <v>0</v>
      </c>
      <c r="AT169" s="319">
        <f>AR169-AS169</f>
        <v>10250000</v>
      </c>
      <c r="AU169" s="319"/>
      <c r="AV169" s="319"/>
      <c r="AW169" s="319">
        <f>AU169-AV169</f>
        <v>0</v>
      </c>
      <c r="AX169" s="281"/>
      <c r="AY169" s="281"/>
      <c r="AZ169" s="281"/>
      <c r="BA169" s="281"/>
      <c r="BB169" s="281"/>
      <c r="BC169" s="281"/>
      <c r="BD169" s="281"/>
      <c r="BE169" s="281"/>
      <c r="BF169" s="281"/>
      <c r="BG169" s="281"/>
      <c r="BH169" s="281"/>
      <c r="BI169" s="281"/>
      <c r="BJ169" s="281"/>
      <c r="BK169" s="281"/>
      <c r="BL169" s="281"/>
      <c r="BM169" s="418"/>
      <c r="BN169" s="418"/>
      <c r="BO169" s="364"/>
      <c r="BP169" s="364"/>
      <c r="BQ169" s="364"/>
      <c r="BR169" s="364"/>
      <c r="BS169" s="364"/>
      <c r="BT169" s="364"/>
      <c r="BU169" s="392"/>
      <c r="BV169" s="310">
        <v>490000000</v>
      </c>
      <c r="BW169" s="310"/>
      <c r="BX169" s="310"/>
      <c r="BY169" s="310"/>
      <c r="BZ169" s="310"/>
      <c r="CA169" s="310"/>
      <c r="CB169" s="310"/>
      <c r="CC169" s="310"/>
      <c r="CD169" s="310"/>
      <c r="CE169" s="310"/>
      <c r="CF169" s="310"/>
      <c r="CG169" s="310"/>
      <c r="CH169" s="310">
        <f>SUM(BW169:CG172)</f>
        <v>0</v>
      </c>
      <c r="CI169" s="310">
        <f>CH169+BV169</f>
        <v>490000000</v>
      </c>
      <c r="CJ169" s="310">
        <v>300000000</v>
      </c>
      <c r="CK169" s="310"/>
      <c r="CL169" s="310"/>
      <c r="CM169" s="310"/>
      <c r="CN169" s="310"/>
      <c r="CO169" s="310"/>
      <c r="CP169" s="310">
        <f>SUM(CK169:CO172)</f>
        <v>0</v>
      </c>
      <c r="CQ169" s="310">
        <f>CP169+CJ169</f>
        <v>300000000</v>
      </c>
      <c r="CR169" s="392"/>
      <c r="CS169" s="310"/>
      <c r="CT169" s="310"/>
      <c r="CU169" s="310"/>
      <c r="CV169" s="310">
        <f>SUM(CS169:CU172)</f>
        <v>0</v>
      </c>
      <c r="CW169" s="310">
        <f>CV169+CR169</f>
        <v>0</v>
      </c>
      <c r="CX169" s="310">
        <v>100000000</v>
      </c>
      <c r="CY169" s="310"/>
      <c r="CZ169" s="310"/>
      <c r="DA169" s="310">
        <f>SUM(CY169:CZ172)</f>
        <v>0</v>
      </c>
      <c r="DB169" s="310">
        <f>DA169+CX169</f>
        <v>100000000</v>
      </c>
      <c r="DC169" s="310"/>
      <c r="DD169" s="310">
        <f>DB169+CW169+CQ169+CI169+DC169</f>
        <v>890000000</v>
      </c>
      <c r="DE169" s="310"/>
    </row>
    <row r="170" spans="1:109" s="4" customFormat="1">
      <c r="A170" s="582"/>
      <c r="B170" s="608"/>
      <c r="C170" s="599"/>
      <c r="D170" s="584"/>
      <c r="E170" s="319"/>
      <c r="F170" s="319"/>
      <c r="G170" s="319"/>
      <c r="H170" s="310"/>
      <c r="I170" s="310"/>
      <c r="J170" s="310"/>
      <c r="K170" s="310"/>
      <c r="L170" s="310"/>
      <c r="M170" s="310"/>
      <c r="N170" s="310"/>
      <c r="O170" s="310"/>
      <c r="P170" s="310"/>
      <c r="Q170" s="310"/>
      <c r="R170" s="310"/>
      <c r="S170" s="310"/>
      <c r="T170" s="310"/>
      <c r="U170" s="310"/>
      <c r="V170" s="310"/>
      <c r="W170" s="310"/>
      <c r="X170" s="310"/>
      <c r="Y170" s="310"/>
      <c r="Z170" s="310"/>
      <c r="AA170" s="310"/>
      <c r="AB170" s="310"/>
      <c r="AC170" s="310"/>
      <c r="AD170" s="310"/>
      <c r="AE170" s="310"/>
      <c r="AF170" s="310"/>
      <c r="AG170" s="310"/>
      <c r="AH170" s="310"/>
      <c r="AI170" s="310"/>
      <c r="AJ170" s="310"/>
      <c r="AK170" s="319"/>
      <c r="AL170" s="584"/>
      <c r="AM170" s="419"/>
      <c r="AN170" s="419"/>
      <c r="AO170" s="319"/>
      <c r="AP170" s="319"/>
      <c r="AQ170" s="319"/>
      <c r="AR170" s="319"/>
      <c r="AS170" s="319"/>
      <c r="AT170" s="319"/>
      <c r="AU170" s="319"/>
      <c r="AV170" s="319"/>
      <c r="AW170" s="319"/>
      <c r="AX170" s="280"/>
      <c r="AY170" s="280"/>
      <c r="AZ170" s="280"/>
      <c r="BA170" s="280"/>
      <c r="BB170" s="280"/>
      <c r="BC170" s="280"/>
      <c r="BD170" s="280"/>
      <c r="BE170" s="280"/>
      <c r="BF170" s="280"/>
      <c r="BG170" s="280"/>
      <c r="BH170" s="280"/>
      <c r="BI170" s="280"/>
      <c r="BJ170" s="280"/>
      <c r="BK170" s="280"/>
      <c r="BL170" s="280"/>
      <c r="BM170" s="419"/>
      <c r="BN170" s="419"/>
      <c r="BO170" s="365"/>
      <c r="BP170" s="365"/>
      <c r="BQ170" s="365"/>
      <c r="BR170" s="365"/>
      <c r="BS170" s="365"/>
      <c r="BT170" s="365"/>
      <c r="BU170" s="392"/>
      <c r="BV170" s="310"/>
      <c r="BW170" s="310"/>
      <c r="BX170" s="310"/>
      <c r="BY170" s="310"/>
      <c r="BZ170" s="310"/>
      <c r="CA170" s="310"/>
      <c r="CB170" s="310"/>
      <c r="CC170" s="310"/>
      <c r="CD170" s="310"/>
      <c r="CE170" s="310"/>
      <c r="CF170" s="310"/>
      <c r="CG170" s="310"/>
      <c r="CH170" s="310"/>
      <c r="CI170" s="310"/>
      <c r="CJ170" s="310"/>
      <c r="CK170" s="310"/>
      <c r="CL170" s="310"/>
      <c r="CM170" s="310"/>
      <c r="CN170" s="310"/>
      <c r="CO170" s="310"/>
      <c r="CP170" s="310"/>
      <c r="CQ170" s="310"/>
      <c r="CR170" s="392"/>
      <c r="CS170" s="310"/>
      <c r="CT170" s="310"/>
      <c r="CU170" s="310"/>
      <c r="CV170" s="310"/>
      <c r="CW170" s="310"/>
      <c r="CX170" s="310"/>
      <c r="CY170" s="310"/>
      <c r="CZ170" s="310"/>
      <c r="DA170" s="310"/>
      <c r="DB170" s="310"/>
      <c r="DC170" s="310"/>
      <c r="DD170" s="310"/>
      <c r="DE170" s="310"/>
    </row>
    <row r="171" spans="1:109" s="4" customFormat="1">
      <c r="A171" s="582"/>
      <c r="B171" s="608"/>
      <c r="C171" s="599"/>
      <c r="D171" s="584"/>
      <c r="E171" s="319"/>
      <c r="F171" s="319"/>
      <c r="G171" s="319"/>
      <c r="H171" s="310"/>
      <c r="I171" s="310"/>
      <c r="J171" s="310"/>
      <c r="K171" s="310"/>
      <c r="L171" s="310"/>
      <c r="M171" s="310"/>
      <c r="N171" s="310"/>
      <c r="O171" s="310"/>
      <c r="P171" s="310"/>
      <c r="Q171" s="310"/>
      <c r="R171" s="310"/>
      <c r="S171" s="310"/>
      <c r="T171" s="310"/>
      <c r="U171" s="310"/>
      <c r="V171" s="310"/>
      <c r="W171" s="310"/>
      <c r="X171" s="310"/>
      <c r="Y171" s="310"/>
      <c r="Z171" s="310"/>
      <c r="AA171" s="310"/>
      <c r="AB171" s="310"/>
      <c r="AC171" s="310"/>
      <c r="AD171" s="310"/>
      <c r="AE171" s="310"/>
      <c r="AF171" s="310"/>
      <c r="AG171" s="310"/>
      <c r="AH171" s="310"/>
      <c r="AI171" s="310"/>
      <c r="AJ171" s="310"/>
      <c r="AK171" s="319"/>
      <c r="AL171" s="584"/>
      <c r="AM171" s="419"/>
      <c r="AN171" s="419"/>
      <c r="AO171" s="319"/>
      <c r="AP171" s="319"/>
      <c r="AQ171" s="319"/>
      <c r="AR171" s="319"/>
      <c r="AS171" s="319"/>
      <c r="AT171" s="319"/>
      <c r="AU171" s="319"/>
      <c r="AV171" s="319"/>
      <c r="AW171" s="319"/>
      <c r="AX171" s="280"/>
      <c r="AY171" s="280"/>
      <c r="AZ171" s="280"/>
      <c r="BA171" s="280"/>
      <c r="BB171" s="280"/>
      <c r="BC171" s="280"/>
      <c r="BD171" s="280"/>
      <c r="BE171" s="280"/>
      <c r="BF171" s="280"/>
      <c r="BG171" s="280"/>
      <c r="BH171" s="280"/>
      <c r="BI171" s="280"/>
      <c r="BJ171" s="280"/>
      <c r="BK171" s="280"/>
      <c r="BL171" s="280"/>
      <c r="BM171" s="419"/>
      <c r="BN171" s="419"/>
      <c r="BO171" s="365"/>
      <c r="BP171" s="365"/>
      <c r="BQ171" s="365"/>
      <c r="BR171" s="365"/>
      <c r="BS171" s="365"/>
      <c r="BT171" s="365"/>
      <c r="BU171" s="392"/>
      <c r="BV171" s="310"/>
      <c r="BW171" s="310"/>
      <c r="BX171" s="310"/>
      <c r="BY171" s="310"/>
      <c r="BZ171" s="310"/>
      <c r="CA171" s="310"/>
      <c r="CB171" s="310"/>
      <c r="CC171" s="310"/>
      <c r="CD171" s="310"/>
      <c r="CE171" s="310"/>
      <c r="CF171" s="310"/>
      <c r="CG171" s="310"/>
      <c r="CH171" s="310"/>
      <c r="CI171" s="310"/>
      <c r="CJ171" s="310"/>
      <c r="CK171" s="310"/>
      <c r="CL171" s="310"/>
      <c r="CM171" s="310"/>
      <c r="CN171" s="310"/>
      <c r="CO171" s="310"/>
      <c r="CP171" s="310"/>
      <c r="CQ171" s="310"/>
      <c r="CR171" s="392"/>
      <c r="CS171" s="310"/>
      <c r="CT171" s="310"/>
      <c r="CU171" s="310"/>
      <c r="CV171" s="310"/>
      <c r="CW171" s="310"/>
      <c r="CX171" s="310"/>
      <c r="CY171" s="310"/>
      <c r="CZ171" s="310"/>
      <c r="DA171" s="310"/>
      <c r="DB171" s="310"/>
      <c r="DC171" s="310"/>
      <c r="DD171" s="310"/>
      <c r="DE171" s="310"/>
    </row>
    <row r="172" spans="1:109" s="4" customFormat="1">
      <c r="A172" s="582"/>
      <c r="B172" s="608"/>
      <c r="C172" s="600"/>
      <c r="D172" s="574"/>
      <c r="E172" s="319"/>
      <c r="F172" s="319"/>
      <c r="G172" s="319"/>
      <c r="H172" s="310"/>
      <c r="I172" s="310"/>
      <c r="J172" s="310"/>
      <c r="K172" s="310"/>
      <c r="L172" s="310"/>
      <c r="M172" s="310"/>
      <c r="N172" s="310"/>
      <c r="O172" s="310"/>
      <c r="P172" s="310"/>
      <c r="Q172" s="310"/>
      <c r="R172" s="310"/>
      <c r="S172" s="310"/>
      <c r="T172" s="310"/>
      <c r="U172" s="310"/>
      <c r="V172" s="310"/>
      <c r="W172" s="310"/>
      <c r="X172" s="310"/>
      <c r="Y172" s="310"/>
      <c r="Z172" s="310"/>
      <c r="AA172" s="310"/>
      <c r="AB172" s="310"/>
      <c r="AC172" s="310"/>
      <c r="AD172" s="310"/>
      <c r="AE172" s="310"/>
      <c r="AF172" s="310"/>
      <c r="AG172" s="310"/>
      <c r="AH172" s="310"/>
      <c r="AI172" s="310"/>
      <c r="AJ172" s="310"/>
      <c r="AK172" s="319"/>
      <c r="AL172" s="574"/>
      <c r="AM172" s="420"/>
      <c r="AN172" s="420"/>
      <c r="AO172" s="319"/>
      <c r="AP172" s="319"/>
      <c r="AQ172" s="319"/>
      <c r="AR172" s="319"/>
      <c r="AS172" s="319"/>
      <c r="AT172" s="319"/>
      <c r="AU172" s="319"/>
      <c r="AV172" s="319"/>
      <c r="AW172" s="319"/>
      <c r="AX172" s="282"/>
      <c r="AY172" s="282"/>
      <c r="AZ172" s="282"/>
      <c r="BA172" s="282"/>
      <c r="BB172" s="282"/>
      <c r="BC172" s="282"/>
      <c r="BD172" s="282"/>
      <c r="BE172" s="282"/>
      <c r="BF172" s="282"/>
      <c r="BG172" s="282"/>
      <c r="BH172" s="282"/>
      <c r="BI172" s="282"/>
      <c r="BJ172" s="282"/>
      <c r="BK172" s="282"/>
      <c r="BL172" s="282"/>
      <c r="BM172" s="420"/>
      <c r="BN172" s="420"/>
      <c r="BO172" s="366"/>
      <c r="BP172" s="366"/>
      <c r="BQ172" s="366"/>
      <c r="BR172" s="366"/>
      <c r="BS172" s="366"/>
      <c r="BT172" s="366"/>
      <c r="BU172" s="392"/>
      <c r="BV172" s="310"/>
      <c r="BW172" s="310"/>
      <c r="BX172" s="310"/>
      <c r="BY172" s="310"/>
      <c r="BZ172" s="310"/>
      <c r="CA172" s="310"/>
      <c r="CB172" s="310"/>
      <c r="CC172" s="310"/>
      <c r="CD172" s="310"/>
      <c r="CE172" s="310"/>
      <c r="CF172" s="310"/>
      <c r="CG172" s="310"/>
      <c r="CH172" s="310"/>
      <c r="CI172" s="310"/>
      <c r="CJ172" s="310"/>
      <c r="CK172" s="310"/>
      <c r="CL172" s="310"/>
      <c r="CM172" s="310"/>
      <c r="CN172" s="310"/>
      <c r="CO172" s="310"/>
      <c r="CP172" s="310"/>
      <c r="CQ172" s="310"/>
      <c r="CR172" s="392"/>
      <c r="CS172" s="310"/>
      <c r="CT172" s="310"/>
      <c r="CU172" s="310"/>
      <c r="CV172" s="310"/>
      <c r="CW172" s="310"/>
      <c r="CX172" s="310"/>
      <c r="CY172" s="310"/>
      <c r="CZ172" s="310"/>
      <c r="DA172" s="310"/>
      <c r="DB172" s="310"/>
      <c r="DC172" s="310"/>
      <c r="DD172" s="310"/>
      <c r="DE172" s="310"/>
    </row>
    <row r="173" spans="1:109" s="4" customFormat="1" ht="49.5" customHeight="1">
      <c r="A173" s="582"/>
      <c r="B173" s="608"/>
      <c r="C173" s="598" t="s">
        <v>374</v>
      </c>
      <c r="D173" s="592" t="s">
        <v>383</v>
      </c>
      <c r="E173" s="418">
        <v>33750000</v>
      </c>
      <c r="F173" s="418"/>
      <c r="G173" s="418"/>
      <c r="H173" s="310"/>
      <c r="I173" s="310"/>
      <c r="J173" s="310"/>
      <c r="K173" s="310"/>
      <c r="L173" s="310"/>
      <c r="M173" s="310"/>
      <c r="N173" s="310"/>
      <c r="O173" s="310"/>
      <c r="P173" s="310"/>
      <c r="Q173" s="310"/>
      <c r="R173" s="310"/>
      <c r="S173" s="310"/>
      <c r="T173" s="310"/>
      <c r="U173" s="310"/>
      <c r="V173" s="310"/>
      <c r="W173" s="310"/>
      <c r="X173" s="310"/>
      <c r="Y173" s="310"/>
      <c r="Z173" s="310"/>
      <c r="AA173" s="310"/>
      <c r="AB173" s="310"/>
      <c r="AC173" s="310"/>
      <c r="AD173" s="310"/>
      <c r="AE173" s="310"/>
      <c r="AF173" s="310"/>
      <c r="AG173" s="310"/>
      <c r="AH173" s="310"/>
      <c r="AI173" s="310"/>
      <c r="AJ173" s="310" t="s">
        <v>66</v>
      </c>
      <c r="AK173" s="283" t="s">
        <v>86</v>
      </c>
      <c r="AL173" s="246" t="s">
        <v>375</v>
      </c>
      <c r="AM173" s="80">
        <v>41457</v>
      </c>
      <c r="AN173" s="80" t="s">
        <v>525</v>
      </c>
      <c r="AO173" s="319">
        <v>33750000</v>
      </c>
      <c r="AP173" s="319">
        <v>0</v>
      </c>
      <c r="AQ173" s="319">
        <f>AO173-AP173</f>
        <v>33750000</v>
      </c>
      <c r="AR173" s="319">
        <v>33750000</v>
      </c>
      <c r="AS173" s="319">
        <v>0</v>
      </c>
      <c r="AT173" s="319">
        <f>AR173-AS173</f>
        <v>33750000</v>
      </c>
      <c r="AU173" s="319"/>
      <c r="AV173" s="319"/>
      <c r="AW173" s="319">
        <f>AU173-AV173</f>
        <v>0</v>
      </c>
      <c r="AX173" s="223"/>
      <c r="AY173" s="223"/>
      <c r="AZ173" s="223"/>
      <c r="BA173" s="223"/>
      <c r="BB173" s="223"/>
      <c r="BC173" s="223"/>
      <c r="BD173" s="223"/>
      <c r="BE173" s="223"/>
      <c r="BF173" s="223"/>
      <c r="BG173" s="223"/>
      <c r="BH173" s="223"/>
      <c r="BI173" s="223"/>
      <c r="BJ173" s="223"/>
      <c r="BK173" s="223"/>
      <c r="BL173" s="223"/>
      <c r="BM173" s="418"/>
      <c r="BN173" s="418"/>
      <c r="BO173" s="364"/>
      <c r="BP173" s="364"/>
      <c r="BQ173" s="364"/>
      <c r="BR173" s="364"/>
      <c r="BS173" s="364"/>
      <c r="BT173" s="364"/>
      <c r="BU173" s="392"/>
      <c r="BV173" s="310">
        <v>550000000</v>
      </c>
      <c r="BW173" s="310"/>
      <c r="BX173" s="310"/>
      <c r="BY173" s="310"/>
      <c r="BZ173" s="310"/>
      <c r="CA173" s="310"/>
      <c r="CB173" s="310"/>
      <c r="CC173" s="310"/>
      <c r="CD173" s="310"/>
      <c r="CE173" s="310"/>
      <c r="CF173" s="310"/>
      <c r="CG173" s="310"/>
      <c r="CH173" s="310">
        <f>SUM(BW173:CG174)</f>
        <v>0</v>
      </c>
      <c r="CI173" s="310">
        <f>CH173+BV173</f>
        <v>550000000</v>
      </c>
      <c r="CJ173" s="310">
        <v>450000000</v>
      </c>
      <c r="CK173" s="310"/>
      <c r="CL173" s="310"/>
      <c r="CM173" s="310"/>
      <c r="CN173" s="310"/>
      <c r="CO173" s="310"/>
      <c r="CP173" s="310">
        <f>SUM(CK173:CO174)</f>
        <v>0</v>
      </c>
      <c r="CQ173" s="310">
        <f>CP173+CJ173</f>
        <v>450000000</v>
      </c>
      <c r="CR173" s="392"/>
      <c r="CS173" s="310"/>
      <c r="CT173" s="310"/>
      <c r="CU173" s="310"/>
      <c r="CV173" s="310">
        <f>SUM(CS173:CU174)</f>
        <v>0</v>
      </c>
      <c r="CW173" s="310">
        <f>CV173+CR173</f>
        <v>0</v>
      </c>
      <c r="CX173" s="310">
        <v>50000000</v>
      </c>
      <c r="CY173" s="310"/>
      <c r="CZ173" s="310"/>
      <c r="DA173" s="310">
        <f>SUM(CY173:CZ174)</f>
        <v>0</v>
      </c>
      <c r="DB173" s="310">
        <f>DA173+CX173</f>
        <v>50000000</v>
      </c>
      <c r="DC173" s="310"/>
      <c r="DD173" s="310">
        <f>DB173+CW173+CQ173+CI173+DC173</f>
        <v>1050000000</v>
      </c>
      <c r="DE173" s="310"/>
    </row>
    <row r="174" spans="1:109" s="4" customFormat="1" ht="49.5" customHeight="1">
      <c r="A174" s="582"/>
      <c r="B174" s="608"/>
      <c r="C174" s="599"/>
      <c r="D174" s="594"/>
      <c r="E174" s="420"/>
      <c r="F174" s="420"/>
      <c r="G174" s="420"/>
      <c r="H174" s="310"/>
      <c r="I174" s="310"/>
      <c r="J174" s="310"/>
      <c r="K174" s="310"/>
      <c r="L174" s="310"/>
      <c r="M174" s="310"/>
      <c r="N174" s="310"/>
      <c r="O174" s="310"/>
      <c r="P174" s="310"/>
      <c r="Q174" s="310"/>
      <c r="R174" s="310"/>
      <c r="S174" s="310"/>
      <c r="T174" s="310"/>
      <c r="U174" s="310"/>
      <c r="V174" s="310"/>
      <c r="W174" s="310"/>
      <c r="X174" s="310"/>
      <c r="Y174" s="310"/>
      <c r="Z174" s="310"/>
      <c r="AA174" s="310"/>
      <c r="AB174" s="310"/>
      <c r="AC174" s="310"/>
      <c r="AD174" s="310"/>
      <c r="AE174" s="310"/>
      <c r="AF174" s="310"/>
      <c r="AG174" s="310"/>
      <c r="AH174" s="310"/>
      <c r="AI174" s="310"/>
      <c r="AJ174" s="310"/>
      <c r="AK174" s="283" t="s">
        <v>87</v>
      </c>
      <c r="AL174" s="246" t="s">
        <v>376</v>
      </c>
      <c r="AM174" s="80">
        <v>41457</v>
      </c>
      <c r="AN174" s="80">
        <v>42338</v>
      </c>
      <c r="AO174" s="319"/>
      <c r="AP174" s="319"/>
      <c r="AQ174" s="319"/>
      <c r="AR174" s="319"/>
      <c r="AS174" s="319"/>
      <c r="AT174" s="319"/>
      <c r="AU174" s="319"/>
      <c r="AV174" s="319"/>
      <c r="AW174" s="319"/>
      <c r="AX174" s="224"/>
      <c r="AY174" s="224"/>
      <c r="AZ174" s="224"/>
      <c r="BA174" s="224"/>
      <c r="BB174" s="224"/>
      <c r="BC174" s="224"/>
      <c r="BD174" s="224"/>
      <c r="BE174" s="224"/>
      <c r="BF174" s="224"/>
      <c r="BG174" s="224"/>
      <c r="BH174" s="224"/>
      <c r="BI174" s="224"/>
      <c r="BJ174" s="224"/>
      <c r="BK174" s="224"/>
      <c r="BL174" s="224"/>
      <c r="BM174" s="420"/>
      <c r="BN174" s="420"/>
      <c r="BO174" s="366"/>
      <c r="BP174" s="366"/>
      <c r="BQ174" s="366"/>
      <c r="BR174" s="366"/>
      <c r="BS174" s="366"/>
      <c r="BT174" s="366"/>
      <c r="BU174" s="392"/>
      <c r="BV174" s="310"/>
      <c r="BW174" s="310"/>
      <c r="BX174" s="310"/>
      <c r="BY174" s="310"/>
      <c r="BZ174" s="310"/>
      <c r="CA174" s="310"/>
      <c r="CB174" s="310"/>
      <c r="CC174" s="310"/>
      <c r="CD174" s="310"/>
      <c r="CE174" s="310"/>
      <c r="CF174" s="310"/>
      <c r="CG174" s="310"/>
      <c r="CH174" s="310"/>
      <c r="CI174" s="310"/>
      <c r="CJ174" s="310"/>
      <c r="CK174" s="310"/>
      <c r="CL174" s="310"/>
      <c r="CM174" s="310"/>
      <c r="CN174" s="310"/>
      <c r="CO174" s="310"/>
      <c r="CP174" s="310"/>
      <c r="CQ174" s="310"/>
      <c r="CR174" s="392"/>
      <c r="CS174" s="310"/>
      <c r="CT174" s="310"/>
      <c r="CU174" s="310"/>
      <c r="CV174" s="310"/>
      <c r="CW174" s="310"/>
      <c r="CX174" s="310"/>
      <c r="CY174" s="310"/>
      <c r="CZ174" s="310"/>
      <c r="DA174" s="310"/>
      <c r="DB174" s="310"/>
      <c r="DC174" s="310"/>
      <c r="DD174" s="310"/>
      <c r="DE174" s="310"/>
    </row>
    <row r="175" spans="1:109" s="4" customFormat="1" ht="33" customHeight="1">
      <c r="A175" s="582"/>
      <c r="B175" s="608"/>
      <c r="C175" s="599"/>
      <c r="D175" s="592" t="s">
        <v>377</v>
      </c>
      <c r="E175" s="418">
        <v>32250000</v>
      </c>
      <c r="F175" s="418"/>
      <c r="G175" s="418"/>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364" t="s">
        <v>69</v>
      </c>
      <c r="AK175" s="598" t="s">
        <v>13</v>
      </c>
      <c r="AL175" s="246" t="s">
        <v>378</v>
      </c>
      <c r="AM175" s="80">
        <v>41457</v>
      </c>
      <c r="AN175" s="80">
        <v>41638</v>
      </c>
      <c r="AO175" s="319">
        <v>32250000</v>
      </c>
      <c r="AP175" s="319">
        <v>0</v>
      </c>
      <c r="AQ175" s="319">
        <f>AO175-AP175</f>
        <v>32250000</v>
      </c>
      <c r="AR175" s="319">
        <v>32250000</v>
      </c>
      <c r="AS175" s="319">
        <v>0</v>
      </c>
      <c r="AT175" s="319">
        <f>AR175-AS175</f>
        <v>32250000</v>
      </c>
      <c r="AU175" s="319"/>
      <c r="AV175" s="319"/>
      <c r="AW175" s="319">
        <f>AU175-AV175</f>
        <v>0</v>
      </c>
      <c r="AX175" s="125"/>
      <c r="AY175" s="125"/>
      <c r="AZ175" s="125"/>
      <c r="BA175" s="125"/>
      <c r="BB175" s="125"/>
      <c r="BC175" s="125"/>
      <c r="BD175" s="125"/>
      <c r="BE175" s="125"/>
      <c r="BF175" s="125"/>
      <c r="BG175" s="125"/>
      <c r="BH175" s="125"/>
      <c r="BI175" s="125"/>
      <c r="BJ175" s="125"/>
      <c r="BK175" s="125"/>
      <c r="BL175" s="125"/>
      <c r="BM175" s="125"/>
      <c r="BN175" s="125"/>
      <c r="BO175" s="131"/>
      <c r="BP175" s="131"/>
      <c r="BQ175" s="131"/>
      <c r="BR175" s="131"/>
      <c r="BS175" s="131"/>
      <c r="BT175" s="131"/>
      <c r="BU175" s="226"/>
      <c r="BV175" s="26"/>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185"/>
      <c r="CS175" s="26"/>
      <c r="CT175" s="26"/>
      <c r="CU175" s="26"/>
      <c r="CV175" s="26"/>
      <c r="CW175" s="26"/>
      <c r="CX175" s="26"/>
      <c r="CY175" s="26"/>
      <c r="CZ175" s="26"/>
      <c r="DA175" s="26"/>
      <c r="DB175" s="26"/>
      <c r="DC175" s="26"/>
      <c r="DD175" s="26"/>
      <c r="DE175" s="26"/>
    </row>
    <row r="176" spans="1:109" s="4" customFormat="1" ht="36" customHeight="1">
      <c r="A176" s="582"/>
      <c r="B176" s="608"/>
      <c r="C176" s="599"/>
      <c r="D176" s="593"/>
      <c r="E176" s="419"/>
      <c r="F176" s="419"/>
      <c r="G176" s="419"/>
      <c r="H176" s="310"/>
      <c r="I176" s="310"/>
      <c r="J176" s="310"/>
      <c r="K176" s="310"/>
      <c r="L176" s="310"/>
      <c r="M176" s="310"/>
      <c r="N176" s="310"/>
      <c r="O176" s="310"/>
      <c r="P176" s="310"/>
      <c r="Q176" s="310"/>
      <c r="R176" s="310"/>
      <c r="S176" s="310"/>
      <c r="T176" s="310"/>
      <c r="U176" s="310"/>
      <c r="V176" s="310"/>
      <c r="W176" s="310"/>
      <c r="X176" s="310"/>
      <c r="Y176" s="310"/>
      <c r="Z176" s="310"/>
      <c r="AA176" s="310"/>
      <c r="AB176" s="310"/>
      <c r="AC176" s="310"/>
      <c r="AD176" s="310"/>
      <c r="AE176" s="310"/>
      <c r="AF176" s="310"/>
      <c r="AG176" s="310"/>
      <c r="AH176" s="310"/>
      <c r="AI176" s="310"/>
      <c r="AJ176" s="365"/>
      <c r="AK176" s="599"/>
      <c r="AL176" s="246" t="s">
        <v>379</v>
      </c>
      <c r="AM176" s="80">
        <v>41821</v>
      </c>
      <c r="AN176" s="80" t="s">
        <v>526</v>
      </c>
      <c r="AO176" s="319"/>
      <c r="AP176" s="319"/>
      <c r="AQ176" s="319"/>
      <c r="AR176" s="319"/>
      <c r="AS176" s="319"/>
      <c r="AT176" s="319"/>
      <c r="AU176" s="319"/>
      <c r="AV176" s="319"/>
      <c r="AW176" s="319"/>
      <c r="AX176" s="223"/>
      <c r="AY176" s="223"/>
      <c r="AZ176" s="223"/>
      <c r="BA176" s="223"/>
      <c r="BB176" s="223"/>
      <c r="BC176" s="223"/>
      <c r="BD176" s="223"/>
      <c r="BE176" s="223"/>
      <c r="BF176" s="223"/>
      <c r="BG176" s="223"/>
      <c r="BH176" s="223"/>
      <c r="BI176" s="223"/>
      <c r="BJ176" s="223"/>
      <c r="BK176" s="223"/>
      <c r="BL176" s="223"/>
      <c r="BM176" s="418"/>
      <c r="BN176" s="418"/>
      <c r="BO176" s="364"/>
      <c r="BP176" s="364"/>
      <c r="BQ176" s="364"/>
      <c r="BR176" s="364"/>
      <c r="BS176" s="364"/>
      <c r="BT176" s="364"/>
      <c r="BU176" s="392"/>
      <c r="BV176" s="310">
        <v>490000000</v>
      </c>
      <c r="BW176" s="310"/>
      <c r="BX176" s="310"/>
      <c r="BY176" s="310"/>
      <c r="BZ176" s="310"/>
      <c r="CA176" s="310"/>
      <c r="CB176" s="310"/>
      <c r="CC176" s="310"/>
      <c r="CD176" s="310"/>
      <c r="CE176" s="310"/>
      <c r="CF176" s="310"/>
      <c r="CG176" s="310"/>
      <c r="CH176" s="310">
        <f>SUM(BW176:CG179)</f>
        <v>0</v>
      </c>
      <c r="CI176" s="310">
        <f>CH176+BV176</f>
        <v>490000000</v>
      </c>
      <c r="CJ176" s="310">
        <v>150000000</v>
      </c>
      <c r="CK176" s="310"/>
      <c r="CL176" s="310"/>
      <c r="CM176" s="310"/>
      <c r="CN176" s="310"/>
      <c r="CO176" s="310"/>
      <c r="CP176" s="310">
        <f>SUM(CK176:CO179)</f>
        <v>0</v>
      </c>
      <c r="CQ176" s="310">
        <f>CP176+CJ176</f>
        <v>150000000</v>
      </c>
      <c r="CR176" s="392"/>
      <c r="CS176" s="310"/>
      <c r="CT176" s="310"/>
      <c r="CU176" s="310"/>
      <c r="CV176" s="310">
        <f>SUM(CS176:CU179)</f>
        <v>0</v>
      </c>
      <c r="CW176" s="310">
        <f>CV176+CR176</f>
        <v>0</v>
      </c>
      <c r="CX176" s="310"/>
      <c r="CY176" s="310"/>
      <c r="CZ176" s="310"/>
      <c r="DA176" s="310">
        <f>SUM(CY176:CZ179)</f>
        <v>0</v>
      </c>
      <c r="DB176" s="310">
        <f>DA176+CX176</f>
        <v>0</v>
      </c>
      <c r="DC176" s="310"/>
      <c r="DD176" s="310">
        <f>DB176+CW176+CQ176+CI176+DC176</f>
        <v>640000000</v>
      </c>
      <c r="DE176" s="310"/>
    </row>
    <row r="177" spans="1:109" s="4" customFormat="1" ht="36">
      <c r="A177" s="582"/>
      <c r="B177" s="608"/>
      <c r="C177" s="599"/>
      <c r="D177" s="593"/>
      <c r="E177" s="419"/>
      <c r="F177" s="419"/>
      <c r="G177" s="419"/>
      <c r="H177" s="310"/>
      <c r="I177" s="310"/>
      <c r="J177" s="310"/>
      <c r="K177" s="310"/>
      <c r="L177" s="310"/>
      <c r="M177" s="310"/>
      <c r="N177" s="310"/>
      <c r="O177" s="310"/>
      <c r="P177" s="310"/>
      <c r="Q177" s="310"/>
      <c r="R177" s="310"/>
      <c r="S177" s="310"/>
      <c r="T177" s="310"/>
      <c r="U177" s="310"/>
      <c r="V177" s="310"/>
      <c r="W177" s="310"/>
      <c r="X177" s="310"/>
      <c r="Y177" s="310"/>
      <c r="Z177" s="310"/>
      <c r="AA177" s="310"/>
      <c r="AB177" s="310"/>
      <c r="AC177" s="310"/>
      <c r="AD177" s="310"/>
      <c r="AE177" s="310"/>
      <c r="AF177" s="310"/>
      <c r="AG177" s="310"/>
      <c r="AH177" s="310"/>
      <c r="AI177" s="310"/>
      <c r="AJ177" s="365"/>
      <c r="AK177" s="600"/>
      <c r="AL177" s="246" t="s">
        <v>380</v>
      </c>
      <c r="AM177" s="80">
        <v>41457</v>
      </c>
      <c r="AN177" s="80">
        <v>41638</v>
      </c>
      <c r="AO177" s="319"/>
      <c r="AP177" s="319"/>
      <c r="AQ177" s="319"/>
      <c r="AR177" s="319"/>
      <c r="AS177" s="319"/>
      <c r="AT177" s="319"/>
      <c r="AU177" s="319"/>
      <c r="AV177" s="319"/>
      <c r="AW177" s="319"/>
      <c r="AX177" s="125"/>
      <c r="AY177" s="125"/>
      <c r="AZ177" s="125"/>
      <c r="BA177" s="125"/>
      <c r="BB177" s="125"/>
      <c r="BC177" s="125"/>
      <c r="BD177" s="125"/>
      <c r="BE177" s="125"/>
      <c r="BF177" s="125"/>
      <c r="BG177" s="125"/>
      <c r="BH177" s="125"/>
      <c r="BI177" s="125"/>
      <c r="BJ177" s="125"/>
      <c r="BK177" s="125"/>
      <c r="BL177" s="125"/>
      <c r="BM177" s="419"/>
      <c r="BN177" s="419"/>
      <c r="BO177" s="365"/>
      <c r="BP177" s="365"/>
      <c r="BQ177" s="365"/>
      <c r="BR177" s="365"/>
      <c r="BS177" s="365"/>
      <c r="BT177" s="365"/>
      <c r="BU177" s="392"/>
      <c r="BV177" s="310"/>
      <c r="BW177" s="310"/>
      <c r="BX177" s="310"/>
      <c r="BY177" s="310"/>
      <c r="BZ177" s="310"/>
      <c r="CA177" s="310"/>
      <c r="CB177" s="310"/>
      <c r="CC177" s="310"/>
      <c r="CD177" s="310"/>
      <c r="CE177" s="310"/>
      <c r="CF177" s="310"/>
      <c r="CG177" s="310"/>
      <c r="CH177" s="310"/>
      <c r="CI177" s="310"/>
      <c r="CJ177" s="310"/>
      <c r="CK177" s="310"/>
      <c r="CL177" s="310"/>
      <c r="CM177" s="310"/>
      <c r="CN177" s="310"/>
      <c r="CO177" s="310"/>
      <c r="CP177" s="310"/>
      <c r="CQ177" s="310"/>
      <c r="CR177" s="392"/>
      <c r="CS177" s="310"/>
      <c r="CT177" s="310"/>
      <c r="CU177" s="310"/>
      <c r="CV177" s="310"/>
      <c r="CW177" s="310"/>
      <c r="CX177" s="310"/>
      <c r="CY177" s="310"/>
      <c r="CZ177" s="310"/>
      <c r="DA177" s="310"/>
      <c r="DB177" s="310"/>
      <c r="DC177" s="310"/>
      <c r="DD177" s="310"/>
      <c r="DE177" s="310"/>
    </row>
    <row r="178" spans="1:109" s="4" customFormat="1" ht="36">
      <c r="A178" s="582"/>
      <c r="B178" s="608"/>
      <c r="C178" s="599"/>
      <c r="D178" s="593"/>
      <c r="E178" s="419"/>
      <c r="F178" s="419"/>
      <c r="G178" s="419"/>
      <c r="H178" s="310"/>
      <c r="I178" s="310"/>
      <c r="J178" s="310"/>
      <c r="K178" s="310"/>
      <c r="L178" s="310"/>
      <c r="M178" s="310"/>
      <c r="N178" s="310"/>
      <c r="O178" s="310"/>
      <c r="P178" s="310"/>
      <c r="Q178" s="310"/>
      <c r="R178" s="310"/>
      <c r="S178" s="310"/>
      <c r="T178" s="310"/>
      <c r="U178" s="310"/>
      <c r="V178" s="310"/>
      <c r="W178" s="310"/>
      <c r="X178" s="310"/>
      <c r="Y178" s="310"/>
      <c r="Z178" s="310"/>
      <c r="AA178" s="310"/>
      <c r="AB178" s="310"/>
      <c r="AC178" s="310"/>
      <c r="AD178" s="310"/>
      <c r="AE178" s="310"/>
      <c r="AF178" s="310"/>
      <c r="AG178" s="310"/>
      <c r="AH178" s="310"/>
      <c r="AI178" s="310"/>
      <c r="AJ178" s="365"/>
      <c r="AK178" s="310" t="s">
        <v>67</v>
      </c>
      <c r="AL178" s="246" t="s">
        <v>381</v>
      </c>
      <c r="AM178" s="80">
        <v>41822</v>
      </c>
      <c r="AN178" s="80">
        <v>42003</v>
      </c>
      <c r="AO178" s="319"/>
      <c r="AP178" s="319"/>
      <c r="AQ178" s="319"/>
      <c r="AR178" s="319"/>
      <c r="AS178" s="319"/>
      <c r="AT178" s="319"/>
      <c r="AU178" s="319"/>
      <c r="AV178" s="319"/>
      <c r="AW178" s="319"/>
      <c r="AX178" s="125"/>
      <c r="AY178" s="125"/>
      <c r="AZ178" s="125"/>
      <c r="BA178" s="125"/>
      <c r="BB178" s="125"/>
      <c r="BC178" s="125"/>
      <c r="BD178" s="125"/>
      <c r="BE178" s="125"/>
      <c r="BF178" s="125"/>
      <c r="BG178" s="125"/>
      <c r="BH178" s="125"/>
      <c r="BI178" s="125"/>
      <c r="BJ178" s="125"/>
      <c r="BK178" s="125"/>
      <c r="BL178" s="125"/>
      <c r="BM178" s="419"/>
      <c r="BN178" s="419"/>
      <c r="BO178" s="365"/>
      <c r="BP178" s="365"/>
      <c r="BQ178" s="365"/>
      <c r="BR178" s="365"/>
      <c r="BS178" s="365"/>
      <c r="BT178" s="365"/>
      <c r="BU178" s="392"/>
      <c r="BV178" s="310"/>
      <c r="BW178" s="310"/>
      <c r="BX178" s="310"/>
      <c r="BY178" s="310"/>
      <c r="BZ178" s="310"/>
      <c r="CA178" s="310"/>
      <c r="CB178" s="310"/>
      <c r="CC178" s="310"/>
      <c r="CD178" s="310"/>
      <c r="CE178" s="310"/>
      <c r="CF178" s="310"/>
      <c r="CG178" s="310"/>
      <c r="CH178" s="310"/>
      <c r="CI178" s="310"/>
      <c r="CJ178" s="310"/>
      <c r="CK178" s="310"/>
      <c r="CL178" s="310"/>
      <c r="CM178" s="310"/>
      <c r="CN178" s="310"/>
      <c r="CO178" s="310"/>
      <c r="CP178" s="310"/>
      <c r="CQ178" s="310"/>
      <c r="CR178" s="392"/>
      <c r="CS178" s="310"/>
      <c r="CT178" s="310"/>
      <c r="CU178" s="310"/>
      <c r="CV178" s="310"/>
      <c r="CW178" s="310"/>
      <c r="CX178" s="310"/>
      <c r="CY178" s="310"/>
      <c r="CZ178" s="310"/>
      <c r="DA178" s="310"/>
      <c r="DB178" s="310"/>
      <c r="DC178" s="310"/>
      <c r="DD178" s="310"/>
      <c r="DE178" s="310"/>
    </row>
    <row r="179" spans="1:109" s="4" customFormat="1" ht="36">
      <c r="A179" s="582"/>
      <c r="B179" s="609"/>
      <c r="C179" s="600"/>
      <c r="D179" s="594"/>
      <c r="E179" s="420"/>
      <c r="F179" s="420"/>
      <c r="G179" s="420"/>
      <c r="H179" s="310"/>
      <c r="I179" s="310"/>
      <c r="J179" s="310"/>
      <c r="K179" s="310"/>
      <c r="L179" s="310"/>
      <c r="M179" s="310"/>
      <c r="N179" s="310"/>
      <c r="O179" s="310"/>
      <c r="P179" s="310"/>
      <c r="Q179" s="310"/>
      <c r="R179" s="310"/>
      <c r="S179" s="310"/>
      <c r="T179" s="310"/>
      <c r="U179" s="310"/>
      <c r="V179" s="310"/>
      <c r="W179" s="310"/>
      <c r="X179" s="310"/>
      <c r="Y179" s="310"/>
      <c r="Z179" s="310"/>
      <c r="AA179" s="310"/>
      <c r="AB179" s="310"/>
      <c r="AC179" s="310"/>
      <c r="AD179" s="310"/>
      <c r="AE179" s="310"/>
      <c r="AF179" s="310"/>
      <c r="AG179" s="310"/>
      <c r="AH179" s="310"/>
      <c r="AI179" s="310"/>
      <c r="AJ179" s="366"/>
      <c r="AK179" s="310"/>
      <c r="AL179" s="246" t="s">
        <v>382</v>
      </c>
      <c r="AM179" s="80">
        <v>42187</v>
      </c>
      <c r="AN179" s="80" t="s">
        <v>527</v>
      </c>
      <c r="AO179" s="319"/>
      <c r="AP179" s="319"/>
      <c r="AQ179" s="319"/>
      <c r="AR179" s="319"/>
      <c r="AS179" s="319"/>
      <c r="AT179" s="319"/>
      <c r="AU179" s="319"/>
      <c r="AV179" s="319"/>
      <c r="AW179" s="319"/>
      <c r="AX179" s="125"/>
      <c r="AY179" s="125"/>
      <c r="AZ179" s="125"/>
      <c r="BA179" s="125"/>
      <c r="BB179" s="125"/>
      <c r="BC179" s="125"/>
      <c r="BD179" s="125"/>
      <c r="BE179" s="125"/>
      <c r="BF179" s="125"/>
      <c r="BG179" s="125"/>
      <c r="BH179" s="125"/>
      <c r="BI179" s="125"/>
      <c r="BJ179" s="125"/>
      <c r="BK179" s="125"/>
      <c r="BL179" s="125"/>
      <c r="BM179" s="419"/>
      <c r="BN179" s="419"/>
      <c r="BO179" s="365"/>
      <c r="BP179" s="365"/>
      <c r="BQ179" s="365"/>
      <c r="BR179" s="365"/>
      <c r="BS179" s="365"/>
      <c r="BT179" s="365"/>
      <c r="BU179" s="392"/>
      <c r="BV179" s="310"/>
      <c r="BW179" s="310"/>
      <c r="BX179" s="310"/>
      <c r="BY179" s="310"/>
      <c r="BZ179" s="310"/>
      <c r="CA179" s="310"/>
      <c r="CB179" s="310"/>
      <c r="CC179" s="310"/>
      <c r="CD179" s="310"/>
      <c r="CE179" s="310"/>
      <c r="CF179" s="310"/>
      <c r="CG179" s="310"/>
      <c r="CH179" s="310"/>
      <c r="CI179" s="310"/>
      <c r="CJ179" s="310"/>
      <c r="CK179" s="310"/>
      <c r="CL179" s="310"/>
      <c r="CM179" s="310"/>
      <c r="CN179" s="310"/>
      <c r="CO179" s="310"/>
      <c r="CP179" s="310"/>
      <c r="CQ179" s="310"/>
      <c r="CR179" s="392"/>
      <c r="CS179" s="310"/>
      <c r="CT179" s="310"/>
      <c r="CU179" s="310"/>
      <c r="CV179" s="310"/>
      <c r="CW179" s="310"/>
      <c r="CX179" s="310"/>
      <c r="CY179" s="310"/>
      <c r="CZ179" s="310"/>
      <c r="DA179" s="310"/>
      <c r="DB179" s="310"/>
      <c r="DC179" s="310"/>
      <c r="DD179" s="310"/>
      <c r="DE179" s="310"/>
    </row>
    <row r="180" spans="1:109" s="34" customFormat="1" ht="11.1" customHeight="1">
      <c r="A180" s="582"/>
      <c r="B180" s="473" t="s">
        <v>138</v>
      </c>
      <c r="C180" s="591"/>
      <c r="D180" s="474"/>
      <c r="E180" s="200">
        <f>SUM(E157:E179)</f>
        <v>3010712438</v>
      </c>
      <c r="F180" s="200"/>
      <c r="G180" s="200"/>
      <c r="H180" s="43"/>
      <c r="I180" s="43"/>
      <c r="J180" s="43"/>
      <c r="K180" s="43"/>
      <c r="L180" s="43"/>
      <c r="M180" s="43"/>
      <c r="N180" s="43"/>
      <c r="O180" s="43"/>
      <c r="P180" s="43"/>
      <c r="Q180" s="43"/>
      <c r="R180" s="43"/>
      <c r="S180" s="43"/>
      <c r="T180" s="43"/>
      <c r="U180" s="43"/>
      <c r="V180" s="43"/>
      <c r="W180" s="43"/>
      <c r="X180" s="43"/>
      <c r="Y180" s="43"/>
      <c r="Z180" s="43"/>
      <c r="AA180" s="43"/>
      <c r="AB180" s="43"/>
      <c r="AC180" s="43"/>
      <c r="AD180" s="43"/>
      <c r="AE180" s="43"/>
      <c r="AF180" s="43"/>
      <c r="AG180" s="43"/>
      <c r="AH180" s="43"/>
      <c r="AI180" s="43"/>
      <c r="AJ180" s="232"/>
      <c r="AK180" s="232"/>
      <c r="AL180" s="284"/>
      <c r="AM180" s="200"/>
      <c r="AN180" s="200"/>
      <c r="AO180" s="200">
        <f t="shared" ref="AO180:AV180" si="15">SUM(AO157:AO179)</f>
        <v>3010712438</v>
      </c>
      <c r="AP180" s="200">
        <f t="shared" si="15"/>
        <v>2595136337</v>
      </c>
      <c r="AQ180" s="200">
        <f t="shared" si="15"/>
        <v>396994239</v>
      </c>
      <c r="AR180" s="200">
        <f t="shared" si="15"/>
        <v>3010712438</v>
      </c>
      <c r="AS180" s="200">
        <f t="shared" si="15"/>
        <v>2603396337</v>
      </c>
      <c r="AT180" s="200">
        <f t="shared" si="15"/>
        <v>388734239</v>
      </c>
      <c r="AU180" s="216">
        <f t="shared" si="15"/>
        <v>0</v>
      </c>
      <c r="AV180" s="216">
        <f t="shared" si="15"/>
        <v>0</v>
      </c>
      <c r="AW180" s="216">
        <f>AU180-AV180</f>
        <v>0</v>
      </c>
      <c r="AX180" s="284"/>
      <c r="AY180" s="284"/>
      <c r="AZ180" s="284"/>
      <c r="BA180" s="284"/>
      <c r="BB180" s="284"/>
      <c r="BC180" s="284"/>
      <c r="BD180" s="284"/>
      <c r="BE180" s="284"/>
      <c r="BF180" s="284"/>
      <c r="BG180" s="284"/>
      <c r="BH180" s="284"/>
      <c r="BI180" s="284"/>
      <c r="BJ180" s="284"/>
      <c r="BK180" s="284"/>
      <c r="BL180" s="284"/>
      <c r="BM180" s="45"/>
      <c r="BN180" s="45"/>
      <c r="BO180" s="45"/>
      <c r="BP180" s="45"/>
      <c r="BQ180" s="45"/>
      <c r="BR180" s="45"/>
      <c r="BS180" s="43"/>
      <c r="BT180" s="43"/>
      <c r="BU180" s="232">
        <f t="shared" ref="BU180:CG180" si="16">SUM(BU157:BU179)</f>
        <v>2000000000</v>
      </c>
      <c r="BV180" s="232">
        <f t="shared" si="16"/>
        <v>2170000000</v>
      </c>
      <c r="BW180" s="232">
        <f t="shared" si="16"/>
        <v>0</v>
      </c>
      <c r="BX180" s="232">
        <f t="shared" si="16"/>
        <v>0</v>
      </c>
      <c r="BY180" s="232">
        <f t="shared" si="16"/>
        <v>0</v>
      </c>
      <c r="BZ180" s="232">
        <f t="shared" si="16"/>
        <v>0</v>
      </c>
      <c r="CA180" s="232">
        <f t="shared" si="16"/>
        <v>0</v>
      </c>
      <c r="CB180" s="232">
        <f t="shared" si="16"/>
        <v>0</v>
      </c>
      <c r="CC180" s="232">
        <f t="shared" si="16"/>
        <v>0</v>
      </c>
      <c r="CD180" s="232">
        <f t="shared" si="16"/>
        <v>0</v>
      </c>
      <c r="CE180" s="232">
        <f t="shared" si="16"/>
        <v>0</v>
      </c>
      <c r="CF180" s="232">
        <f t="shared" si="16"/>
        <v>0</v>
      </c>
      <c r="CG180" s="232">
        <f t="shared" si="16"/>
        <v>0</v>
      </c>
      <c r="CH180" s="232">
        <f>SUM(BW180:CG180)</f>
        <v>0</v>
      </c>
      <c r="CI180" s="232">
        <f>CH180+BV180</f>
        <v>2170000000</v>
      </c>
      <c r="CJ180" s="180">
        <f t="shared" ref="CJ180:DD180" si="17">SUM(CJ157:CJ179)</f>
        <v>920000000</v>
      </c>
      <c r="CK180" s="180">
        <f t="shared" si="17"/>
        <v>0</v>
      </c>
      <c r="CL180" s="180">
        <f t="shared" si="17"/>
        <v>0</v>
      </c>
      <c r="CM180" s="180">
        <f t="shared" si="17"/>
        <v>0</v>
      </c>
      <c r="CN180" s="180">
        <f t="shared" si="17"/>
        <v>0</v>
      </c>
      <c r="CO180" s="180">
        <f t="shared" si="17"/>
        <v>0</v>
      </c>
      <c r="CP180" s="180">
        <f t="shared" si="17"/>
        <v>0</v>
      </c>
      <c r="CQ180" s="180">
        <f t="shared" si="17"/>
        <v>920000000</v>
      </c>
      <c r="CR180" s="180">
        <f t="shared" si="17"/>
        <v>3840000000</v>
      </c>
      <c r="CS180" s="180">
        <f t="shared" si="17"/>
        <v>0</v>
      </c>
      <c r="CT180" s="180">
        <f t="shared" si="17"/>
        <v>0</v>
      </c>
      <c r="CU180" s="180">
        <f t="shared" si="17"/>
        <v>0</v>
      </c>
      <c r="CV180" s="180">
        <f t="shared" si="17"/>
        <v>0</v>
      </c>
      <c r="CW180" s="180">
        <f t="shared" si="17"/>
        <v>3840000000</v>
      </c>
      <c r="CX180" s="180">
        <f t="shared" si="17"/>
        <v>160000000</v>
      </c>
      <c r="CY180" s="180">
        <f t="shared" si="17"/>
        <v>0</v>
      </c>
      <c r="CZ180" s="180">
        <f t="shared" si="17"/>
        <v>0</v>
      </c>
      <c r="DA180" s="180">
        <f t="shared" si="17"/>
        <v>0</v>
      </c>
      <c r="DB180" s="180">
        <f t="shared" si="17"/>
        <v>160000000</v>
      </c>
      <c r="DC180" s="180">
        <f t="shared" si="17"/>
        <v>0</v>
      </c>
      <c r="DD180" s="180">
        <f t="shared" si="17"/>
        <v>7090000000</v>
      </c>
      <c r="DE180" s="180"/>
    </row>
    <row r="181" spans="1:109" s="4" customFormat="1" ht="21.75" customHeight="1">
      <c r="A181" s="582"/>
      <c r="B181" s="592" t="s">
        <v>388</v>
      </c>
      <c r="C181" s="588" t="s">
        <v>389</v>
      </c>
      <c r="D181" s="573" t="s">
        <v>479</v>
      </c>
      <c r="E181" s="319">
        <v>35</v>
      </c>
      <c r="F181" s="319">
        <v>35</v>
      </c>
      <c r="G181" s="319">
        <v>30</v>
      </c>
      <c r="H181" s="321"/>
      <c r="I181" s="321"/>
      <c r="J181" s="321"/>
      <c r="K181" s="321"/>
      <c r="L181" s="321"/>
      <c r="M181" s="321"/>
      <c r="N181" s="321"/>
      <c r="O181" s="321"/>
      <c r="P181" s="321"/>
      <c r="Q181" s="321"/>
      <c r="R181" s="321"/>
      <c r="S181" s="321"/>
      <c r="T181" s="321"/>
      <c r="U181" s="321"/>
      <c r="V181" s="321"/>
      <c r="W181" s="321"/>
      <c r="X181" s="321"/>
      <c r="Y181" s="321"/>
      <c r="Z181" s="321"/>
      <c r="AA181" s="321"/>
      <c r="AB181" s="321"/>
      <c r="AC181" s="321"/>
      <c r="AD181" s="321"/>
      <c r="AE181" s="321"/>
      <c r="AF181" s="321"/>
      <c r="AG181" s="321"/>
      <c r="AH181" s="321"/>
      <c r="AI181" s="321"/>
      <c r="AJ181" s="325"/>
      <c r="AK181" s="325" t="s">
        <v>195</v>
      </c>
      <c r="AL181" s="127" t="s">
        <v>200</v>
      </c>
      <c r="AM181" s="182">
        <v>41456</v>
      </c>
      <c r="AN181" s="182">
        <v>41578</v>
      </c>
      <c r="AO181" s="418">
        <v>20630000</v>
      </c>
      <c r="AP181" s="418"/>
      <c r="AQ181" s="418">
        <f>AO181-AP181</f>
        <v>20630000</v>
      </c>
      <c r="AR181" s="418">
        <v>20630000</v>
      </c>
      <c r="AS181" s="418"/>
      <c r="AT181" s="418">
        <f>AR181-AS181</f>
        <v>20630000</v>
      </c>
      <c r="AU181" s="418"/>
      <c r="AV181" s="418"/>
      <c r="AW181" s="418">
        <f>AU181-AV181</f>
        <v>0</v>
      </c>
      <c r="AX181" s="80"/>
      <c r="AY181" s="80"/>
      <c r="AZ181" s="80"/>
      <c r="BA181" s="80"/>
      <c r="BB181" s="80"/>
      <c r="BC181" s="80"/>
      <c r="BD181" s="80"/>
      <c r="BE181" s="80"/>
      <c r="BF181" s="80"/>
      <c r="BG181" s="80"/>
      <c r="BH181" s="80"/>
      <c r="BI181" s="80"/>
      <c r="BJ181" s="80"/>
      <c r="BK181" s="80"/>
      <c r="BL181" s="80"/>
      <c r="BM181" s="321">
        <v>145750000</v>
      </c>
      <c r="BN181" s="321"/>
      <c r="BO181" s="360"/>
      <c r="BP181" s="360"/>
      <c r="BQ181" s="360"/>
      <c r="BR181" s="360"/>
      <c r="BS181" s="360"/>
      <c r="BT181" s="360"/>
      <c r="BU181" s="405">
        <v>182800000</v>
      </c>
      <c r="BV181" s="360">
        <v>647731108</v>
      </c>
      <c r="BW181" s="360"/>
      <c r="BX181" s="360"/>
      <c r="BY181" s="360"/>
      <c r="BZ181" s="360"/>
      <c r="CA181" s="360"/>
      <c r="CB181" s="360"/>
      <c r="CC181" s="360"/>
      <c r="CD181" s="360"/>
      <c r="CE181" s="360"/>
      <c r="CF181" s="360"/>
      <c r="CG181" s="360"/>
      <c r="CH181" s="364">
        <f>SUM(BW181:CG181)</f>
        <v>0</v>
      </c>
      <c r="CI181" s="364">
        <f>CH181+BV181</f>
        <v>647731108</v>
      </c>
      <c r="CJ181" s="360">
        <v>75000000</v>
      </c>
      <c r="CK181" s="360"/>
      <c r="CL181" s="360"/>
      <c r="CM181" s="360"/>
      <c r="CN181" s="360"/>
      <c r="CO181" s="360"/>
      <c r="CP181" s="26">
        <f>SUM(CK181:CO181)</f>
        <v>0</v>
      </c>
      <c r="CQ181" s="26">
        <f>CP181+CJ181</f>
        <v>75000000</v>
      </c>
      <c r="CR181" s="29">
        <v>80000000</v>
      </c>
      <c r="CS181" s="10"/>
      <c r="CT181" s="10"/>
      <c r="CU181" s="10"/>
      <c r="CV181" s="26">
        <f>SUM(CS181:CU181)</f>
        <v>0</v>
      </c>
      <c r="CW181" s="26">
        <f>CV181+CR181</f>
        <v>80000000</v>
      </c>
      <c r="CX181" s="360">
        <v>10000000</v>
      </c>
      <c r="CY181" s="360"/>
      <c r="CZ181" s="360"/>
      <c r="DA181" s="364">
        <f>SUM(CY181:CZ181)</f>
        <v>0</v>
      </c>
      <c r="DB181" s="364">
        <f>DA181+CX181</f>
        <v>10000000</v>
      </c>
      <c r="DC181" s="360"/>
      <c r="DD181" s="364">
        <f>DB181+CW181+CQ181+CI181+DC181</f>
        <v>812731108</v>
      </c>
      <c r="DE181" s="364"/>
    </row>
    <row r="182" spans="1:109" s="4" customFormat="1" ht="48">
      <c r="A182" s="582"/>
      <c r="B182" s="593"/>
      <c r="C182" s="589"/>
      <c r="D182" s="584"/>
      <c r="E182" s="319"/>
      <c r="F182" s="319"/>
      <c r="G182" s="319"/>
      <c r="H182" s="321"/>
      <c r="I182" s="321"/>
      <c r="J182" s="321"/>
      <c r="K182" s="321"/>
      <c r="L182" s="321"/>
      <c r="M182" s="321"/>
      <c r="N182" s="321"/>
      <c r="O182" s="321"/>
      <c r="P182" s="321"/>
      <c r="Q182" s="321"/>
      <c r="R182" s="321"/>
      <c r="S182" s="321"/>
      <c r="T182" s="321"/>
      <c r="U182" s="321"/>
      <c r="V182" s="321"/>
      <c r="W182" s="321"/>
      <c r="X182" s="321"/>
      <c r="Y182" s="321"/>
      <c r="Z182" s="321"/>
      <c r="AA182" s="321"/>
      <c r="AB182" s="321"/>
      <c r="AC182" s="321"/>
      <c r="AD182" s="321"/>
      <c r="AE182" s="321"/>
      <c r="AF182" s="321"/>
      <c r="AG182" s="321"/>
      <c r="AH182" s="321"/>
      <c r="AI182" s="321"/>
      <c r="AJ182" s="326"/>
      <c r="AK182" s="326"/>
      <c r="AL182" s="127" t="s">
        <v>421</v>
      </c>
      <c r="AM182" s="182">
        <v>41428</v>
      </c>
      <c r="AN182" s="182">
        <v>41486</v>
      </c>
      <c r="AO182" s="419"/>
      <c r="AP182" s="419"/>
      <c r="AQ182" s="419"/>
      <c r="AR182" s="419"/>
      <c r="AS182" s="419"/>
      <c r="AT182" s="419"/>
      <c r="AU182" s="419"/>
      <c r="AV182" s="419"/>
      <c r="AW182" s="419"/>
      <c r="AX182" s="80"/>
      <c r="AY182" s="80"/>
      <c r="AZ182" s="80"/>
      <c r="BA182" s="80"/>
      <c r="BB182" s="80"/>
      <c r="BC182" s="80"/>
      <c r="BD182" s="80"/>
      <c r="BE182" s="80"/>
      <c r="BF182" s="80"/>
      <c r="BG182" s="80"/>
      <c r="BH182" s="80"/>
      <c r="BI182" s="80"/>
      <c r="BJ182" s="80"/>
      <c r="BK182" s="80"/>
      <c r="BL182" s="80"/>
      <c r="BM182" s="321"/>
      <c r="BN182" s="321"/>
      <c r="BO182" s="362"/>
      <c r="BP182" s="362"/>
      <c r="BQ182" s="362"/>
      <c r="BR182" s="362"/>
      <c r="BS182" s="362"/>
      <c r="BT182" s="362"/>
      <c r="BU182" s="408"/>
      <c r="BV182" s="362"/>
      <c r="BW182" s="362"/>
      <c r="BX182" s="362"/>
      <c r="BY182" s="362"/>
      <c r="BZ182" s="362"/>
      <c r="CA182" s="362"/>
      <c r="CB182" s="362"/>
      <c r="CC182" s="362"/>
      <c r="CD182" s="362"/>
      <c r="CE182" s="362"/>
      <c r="CF182" s="362"/>
      <c r="CG182" s="362"/>
      <c r="CH182" s="365"/>
      <c r="CI182" s="365"/>
      <c r="CJ182" s="362"/>
      <c r="CK182" s="362"/>
      <c r="CL182" s="362"/>
      <c r="CM182" s="362"/>
      <c r="CN182" s="362"/>
      <c r="CO182" s="362"/>
      <c r="CP182" s="26"/>
      <c r="CQ182" s="26"/>
      <c r="CR182" s="29"/>
      <c r="CS182" s="10"/>
      <c r="CT182" s="10"/>
      <c r="CU182" s="10"/>
      <c r="CV182" s="26"/>
      <c r="CW182" s="26"/>
      <c r="CX182" s="362"/>
      <c r="CY182" s="362"/>
      <c r="CZ182" s="362"/>
      <c r="DA182" s="365"/>
      <c r="DB182" s="365"/>
      <c r="DC182" s="362"/>
      <c r="DD182" s="365"/>
      <c r="DE182" s="365"/>
    </row>
    <row r="183" spans="1:109" s="4" customFormat="1" ht="36">
      <c r="A183" s="582"/>
      <c r="B183" s="593"/>
      <c r="C183" s="589"/>
      <c r="D183" s="574"/>
      <c r="E183" s="319"/>
      <c r="F183" s="319"/>
      <c r="G183" s="319"/>
      <c r="H183" s="321"/>
      <c r="I183" s="321"/>
      <c r="J183" s="321"/>
      <c r="K183" s="321"/>
      <c r="L183" s="321"/>
      <c r="M183" s="321"/>
      <c r="N183" s="321"/>
      <c r="O183" s="321"/>
      <c r="P183" s="321"/>
      <c r="Q183" s="321"/>
      <c r="R183" s="321"/>
      <c r="S183" s="321"/>
      <c r="T183" s="321"/>
      <c r="U183" s="321"/>
      <c r="V183" s="321"/>
      <c r="W183" s="321"/>
      <c r="X183" s="321"/>
      <c r="Y183" s="321"/>
      <c r="Z183" s="321"/>
      <c r="AA183" s="321"/>
      <c r="AB183" s="321"/>
      <c r="AC183" s="321"/>
      <c r="AD183" s="321"/>
      <c r="AE183" s="321"/>
      <c r="AF183" s="321"/>
      <c r="AG183" s="321"/>
      <c r="AH183" s="321"/>
      <c r="AI183" s="321"/>
      <c r="AJ183" s="327"/>
      <c r="AK183" s="327"/>
      <c r="AL183" s="127" t="s">
        <v>390</v>
      </c>
      <c r="AM183" s="182">
        <v>41883</v>
      </c>
      <c r="AN183" s="182">
        <v>41943</v>
      </c>
      <c r="AO183" s="420"/>
      <c r="AP183" s="420"/>
      <c r="AQ183" s="420"/>
      <c r="AR183" s="420"/>
      <c r="AS183" s="420"/>
      <c r="AT183" s="420"/>
      <c r="AU183" s="420"/>
      <c r="AV183" s="420"/>
      <c r="AW183" s="420"/>
      <c r="AX183" s="80"/>
      <c r="AY183" s="80"/>
      <c r="AZ183" s="80"/>
      <c r="BA183" s="80"/>
      <c r="BB183" s="80"/>
      <c r="BC183" s="80"/>
      <c r="BD183" s="80"/>
      <c r="BE183" s="80"/>
      <c r="BF183" s="80"/>
      <c r="BG183" s="80"/>
      <c r="BH183" s="80"/>
      <c r="BI183" s="80"/>
      <c r="BJ183" s="80"/>
      <c r="BK183" s="80"/>
      <c r="BL183" s="80"/>
      <c r="BM183" s="321"/>
      <c r="BN183" s="321"/>
      <c r="BO183" s="361"/>
      <c r="BP183" s="361"/>
      <c r="BQ183" s="361"/>
      <c r="BR183" s="361"/>
      <c r="BS183" s="361"/>
      <c r="BT183" s="361"/>
      <c r="BU183" s="406"/>
      <c r="BV183" s="361"/>
      <c r="BW183" s="361"/>
      <c r="BX183" s="361"/>
      <c r="BY183" s="361"/>
      <c r="BZ183" s="361"/>
      <c r="CA183" s="361"/>
      <c r="CB183" s="361"/>
      <c r="CC183" s="361"/>
      <c r="CD183" s="361"/>
      <c r="CE183" s="361"/>
      <c r="CF183" s="361"/>
      <c r="CG183" s="361"/>
      <c r="CH183" s="366"/>
      <c r="CI183" s="366"/>
      <c r="CJ183" s="361"/>
      <c r="CK183" s="361"/>
      <c r="CL183" s="361"/>
      <c r="CM183" s="361"/>
      <c r="CN183" s="361"/>
      <c r="CO183" s="361"/>
      <c r="CP183" s="26"/>
      <c r="CQ183" s="26"/>
      <c r="CR183" s="29"/>
      <c r="CS183" s="10"/>
      <c r="CT183" s="10"/>
      <c r="CU183" s="10"/>
      <c r="CV183" s="26"/>
      <c r="CW183" s="26"/>
      <c r="CX183" s="361"/>
      <c r="CY183" s="361"/>
      <c r="CZ183" s="361"/>
      <c r="DA183" s="366"/>
      <c r="DB183" s="366"/>
      <c r="DC183" s="361"/>
      <c r="DD183" s="366"/>
      <c r="DE183" s="366"/>
    </row>
    <row r="184" spans="1:109" s="4" customFormat="1" ht="21.75" customHeight="1">
      <c r="A184" s="582"/>
      <c r="B184" s="593"/>
      <c r="C184" s="589"/>
      <c r="D184" s="573" t="s">
        <v>445</v>
      </c>
      <c r="E184" s="319">
        <v>10</v>
      </c>
      <c r="F184" s="319">
        <v>10</v>
      </c>
      <c r="G184" s="319">
        <v>10</v>
      </c>
      <c r="H184" s="321"/>
      <c r="I184" s="321"/>
      <c r="J184" s="321"/>
      <c r="K184" s="321"/>
      <c r="L184" s="321"/>
      <c r="M184" s="321"/>
      <c r="N184" s="321"/>
      <c r="O184" s="321"/>
      <c r="P184" s="321"/>
      <c r="Q184" s="321"/>
      <c r="R184" s="321"/>
      <c r="S184" s="321"/>
      <c r="T184" s="321"/>
      <c r="U184" s="321"/>
      <c r="V184" s="321"/>
      <c r="W184" s="321"/>
      <c r="X184" s="321"/>
      <c r="Y184" s="321"/>
      <c r="Z184" s="321"/>
      <c r="AA184" s="321"/>
      <c r="AB184" s="321"/>
      <c r="AC184" s="321"/>
      <c r="AD184" s="321"/>
      <c r="AE184" s="321"/>
      <c r="AF184" s="321"/>
      <c r="AG184" s="321"/>
      <c r="AH184" s="321"/>
      <c r="AI184" s="321"/>
      <c r="AJ184" s="325"/>
      <c r="AK184" s="325" t="s">
        <v>196</v>
      </c>
      <c r="AL184" s="127" t="s">
        <v>420</v>
      </c>
      <c r="AM184" s="182">
        <v>41428</v>
      </c>
      <c r="AN184" s="182">
        <v>41453</v>
      </c>
      <c r="AO184" s="418">
        <v>300000000</v>
      </c>
      <c r="AP184" s="418">
        <v>300000000</v>
      </c>
      <c r="AQ184" s="418">
        <f>AO184-AP184</f>
        <v>0</v>
      </c>
      <c r="AR184" s="418">
        <v>300000000</v>
      </c>
      <c r="AS184" s="418">
        <v>300000000</v>
      </c>
      <c r="AT184" s="418">
        <f>AR184-AS184</f>
        <v>0</v>
      </c>
      <c r="AU184" s="418"/>
      <c r="AV184" s="418"/>
      <c r="AW184" s="418">
        <f>AU184-AV184</f>
        <v>0</v>
      </c>
      <c r="AX184" s="80"/>
      <c r="AY184" s="80"/>
      <c r="AZ184" s="80"/>
      <c r="BA184" s="80"/>
      <c r="BB184" s="80"/>
      <c r="BC184" s="80"/>
      <c r="BD184" s="80"/>
      <c r="BE184" s="80"/>
      <c r="BF184" s="80"/>
      <c r="BG184" s="80"/>
      <c r="BH184" s="80"/>
      <c r="BI184" s="80"/>
      <c r="BJ184" s="80"/>
      <c r="BK184" s="80"/>
      <c r="BL184" s="80"/>
      <c r="BM184" s="321"/>
      <c r="BN184" s="321"/>
      <c r="BO184" s="360"/>
      <c r="BP184" s="360"/>
      <c r="BQ184" s="360"/>
      <c r="BR184" s="360"/>
      <c r="BS184" s="360"/>
      <c r="BT184" s="360"/>
      <c r="BU184" s="405">
        <v>60000000</v>
      </c>
      <c r="BV184" s="360">
        <v>741363108</v>
      </c>
      <c r="BW184" s="360"/>
      <c r="BX184" s="360"/>
      <c r="BY184" s="360"/>
      <c r="BZ184" s="360"/>
      <c r="CA184" s="360"/>
      <c r="CB184" s="360"/>
      <c r="CC184" s="360"/>
      <c r="CD184" s="360"/>
      <c r="CE184" s="360"/>
      <c r="CF184" s="360"/>
      <c r="CG184" s="360"/>
      <c r="CH184" s="364">
        <f>SUM(BW184:CG184)</f>
        <v>0</v>
      </c>
      <c r="CI184" s="364">
        <f>CH184+BV184</f>
        <v>741363108</v>
      </c>
      <c r="CJ184" s="360"/>
      <c r="CK184" s="360"/>
      <c r="CL184" s="360"/>
      <c r="CM184" s="360"/>
      <c r="CN184" s="360"/>
      <c r="CO184" s="360"/>
      <c r="CP184" s="26">
        <f>SUM(CK184:CO184)</f>
        <v>0</v>
      </c>
      <c r="CQ184" s="26">
        <f>CP184+CJ184</f>
        <v>0</v>
      </c>
      <c r="CR184" s="29">
        <v>80000000</v>
      </c>
      <c r="CS184" s="10"/>
      <c r="CT184" s="10"/>
      <c r="CU184" s="10"/>
      <c r="CV184" s="26">
        <f>SUM(CS184:CU184)</f>
        <v>0</v>
      </c>
      <c r="CW184" s="26">
        <f>CV184+CR184</f>
        <v>80000000</v>
      </c>
      <c r="CX184" s="360"/>
      <c r="CY184" s="360"/>
      <c r="CZ184" s="360"/>
      <c r="DA184" s="364">
        <f>SUM(CY184:CZ184)</f>
        <v>0</v>
      </c>
      <c r="DB184" s="364">
        <f>DA184+CX184</f>
        <v>0</v>
      </c>
      <c r="DC184" s="360"/>
      <c r="DD184" s="364">
        <f>DB184+CW184+CQ184+CI184+DC184</f>
        <v>821363108</v>
      </c>
      <c r="DE184" s="364"/>
    </row>
    <row r="185" spans="1:109" s="4" customFormat="1" ht="36">
      <c r="A185" s="582"/>
      <c r="B185" s="593"/>
      <c r="C185" s="589"/>
      <c r="D185" s="584"/>
      <c r="E185" s="319"/>
      <c r="F185" s="319"/>
      <c r="G185" s="319"/>
      <c r="H185" s="321"/>
      <c r="I185" s="321"/>
      <c r="J185" s="321"/>
      <c r="K185" s="321"/>
      <c r="L185" s="321"/>
      <c r="M185" s="321"/>
      <c r="N185" s="321"/>
      <c r="O185" s="321"/>
      <c r="P185" s="321"/>
      <c r="Q185" s="321"/>
      <c r="R185" s="321"/>
      <c r="S185" s="321"/>
      <c r="T185" s="321"/>
      <c r="U185" s="321"/>
      <c r="V185" s="321"/>
      <c r="W185" s="321"/>
      <c r="X185" s="321"/>
      <c r="Y185" s="321"/>
      <c r="Z185" s="321"/>
      <c r="AA185" s="321"/>
      <c r="AB185" s="321"/>
      <c r="AC185" s="321"/>
      <c r="AD185" s="321"/>
      <c r="AE185" s="321"/>
      <c r="AF185" s="321"/>
      <c r="AG185" s="321"/>
      <c r="AH185" s="321"/>
      <c r="AI185" s="321"/>
      <c r="AJ185" s="326"/>
      <c r="AK185" s="326"/>
      <c r="AL185" s="127" t="s">
        <v>391</v>
      </c>
      <c r="AM185" s="182">
        <v>41456</v>
      </c>
      <c r="AN185" s="182">
        <v>41607</v>
      </c>
      <c r="AO185" s="419"/>
      <c r="AP185" s="419"/>
      <c r="AQ185" s="419"/>
      <c r="AR185" s="419"/>
      <c r="AS185" s="419"/>
      <c r="AT185" s="419"/>
      <c r="AU185" s="419"/>
      <c r="AV185" s="419"/>
      <c r="AW185" s="419"/>
      <c r="AX185" s="80"/>
      <c r="AY185" s="80"/>
      <c r="AZ185" s="80"/>
      <c r="BA185" s="80"/>
      <c r="BB185" s="80"/>
      <c r="BC185" s="80"/>
      <c r="BD185" s="80"/>
      <c r="BE185" s="80"/>
      <c r="BF185" s="80"/>
      <c r="BG185" s="80"/>
      <c r="BH185" s="80"/>
      <c r="BI185" s="80"/>
      <c r="BJ185" s="80"/>
      <c r="BK185" s="80"/>
      <c r="BL185" s="80"/>
      <c r="BM185" s="321"/>
      <c r="BN185" s="321"/>
      <c r="BO185" s="361"/>
      <c r="BP185" s="361"/>
      <c r="BQ185" s="361"/>
      <c r="BR185" s="361"/>
      <c r="BS185" s="361"/>
      <c r="BT185" s="361"/>
      <c r="BU185" s="406"/>
      <c r="BV185" s="361"/>
      <c r="BW185" s="361"/>
      <c r="BX185" s="361"/>
      <c r="BY185" s="361"/>
      <c r="BZ185" s="361"/>
      <c r="CA185" s="361"/>
      <c r="CB185" s="361"/>
      <c r="CC185" s="361"/>
      <c r="CD185" s="361"/>
      <c r="CE185" s="361"/>
      <c r="CF185" s="361"/>
      <c r="CG185" s="361"/>
      <c r="CH185" s="366"/>
      <c r="CI185" s="366"/>
      <c r="CJ185" s="361"/>
      <c r="CK185" s="361"/>
      <c r="CL185" s="361"/>
      <c r="CM185" s="361"/>
      <c r="CN185" s="361"/>
      <c r="CO185" s="361"/>
      <c r="CP185" s="26"/>
      <c r="CQ185" s="26"/>
      <c r="CR185" s="29"/>
      <c r="CS185" s="10"/>
      <c r="CT185" s="10"/>
      <c r="CU185" s="10"/>
      <c r="CV185" s="26"/>
      <c r="CW185" s="26"/>
      <c r="CX185" s="361"/>
      <c r="CY185" s="361"/>
      <c r="CZ185" s="361"/>
      <c r="DA185" s="366"/>
      <c r="DB185" s="366"/>
      <c r="DC185" s="361"/>
      <c r="DD185" s="366"/>
      <c r="DE185" s="366"/>
    </row>
    <row r="186" spans="1:109" s="4" customFormat="1" ht="48">
      <c r="A186" s="582"/>
      <c r="B186" s="593"/>
      <c r="C186" s="590"/>
      <c r="D186" s="574"/>
      <c r="E186" s="319"/>
      <c r="F186" s="319"/>
      <c r="G186" s="319"/>
      <c r="H186" s="321"/>
      <c r="I186" s="321"/>
      <c r="J186" s="321"/>
      <c r="K186" s="321"/>
      <c r="L186" s="321"/>
      <c r="M186" s="321"/>
      <c r="N186" s="321"/>
      <c r="O186" s="321"/>
      <c r="P186" s="321"/>
      <c r="Q186" s="321"/>
      <c r="R186" s="321"/>
      <c r="S186" s="321"/>
      <c r="T186" s="321"/>
      <c r="U186" s="321"/>
      <c r="V186" s="321"/>
      <c r="W186" s="321"/>
      <c r="X186" s="321"/>
      <c r="Y186" s="321"/>
      <c r="Z186" s="321"/>
      <c r="AA186" s="321"/>
      <c r="AB186" s="321"/>
      <c r="AC186" s="321"/>
      <c r="AD186" s="321"/>
      <c r="AE186" s="321"/>
      <c r="AF186" s="321"/>
      <c r="AG186" s="321"/>
      <c r="AH186" s="321"/>
      <c r="AI186" s="321"/>
      <c r="AJ186" s="327"/>
      <c r="AK186" s="327"/>
      <c r="AL186" s="127" t="s">
        <v>448</v>
      </c>
      <c r="AM186" s="182">
        <v>41579</v>
      </c>
      <c r="AN186" s="182">
        <v>41759</v>
      </c>
      <c r="AO186" s="420"/>
      <c r="AP186" s="420"/>
      <c r="AQ186" s="420"/>
      <c r="AR186" s="420"/>
      <c r="AS186" s="420"/>
      <c r="AT186" s="420"/>
      <c r="AU186" s="420"/>
      <c r="AV186" s="420"/>
      <c r="AW186" s="420"/>
      <c r="AX186" s="80"/>
      <c r="AY186" s="80"/>
      <c r="AZ186" s="80"/>
      <c r="BA186" s="80"/>
      <c r="BB186" s="80"/>
      <c r="BC186" s="80"/>
      <c r="BD186" s="80"/>
      <c r="BE186" s="80"/>
      <c r="BF186" s="80"/>
      <c r="BG186" s="80"/>
      <c r="BH186" s="80"/>
      <c r="BI186" s="80"/>
      <c r="BJ186" s="80"/>
      <c r="BK186" s="80"/>
      <c r="BL186" s="80"/>
      <c r="BM186" s="321"/>
      <c r="BN186" s="71"/>
      <c r="BO186" s="117"/>
      <c r="BP186" s="117"/>
      <c r="BQ186" s="117"/>
      <c r="BR186" s="117"/>
      <c r="BS186" s="117"/>
      <c r="BT186" s="117"/>
      <c r="BU186" s="135"/>
      <c r="BV186" s="117"/>
      <c r="BW186" s="117"/>
      <c r="BX186" s="117"/>
      <c r="BY186" s="117"/>
      <c r="BZ186" s="117"/>
      <c r="CA186" s="117"/>
      <c r="CB186" s="117"/>
      <c r="CC186" s="117"/>
      <c r="CD186" s="117"/>
      <c r="CE186" s="117"/>
      <c r="CF186" s="117"/>
      <c r="CG186" s="117"/>
      <c r="CH186" s="131"/>
      <c r="CI186" s="131"/>
      <c r="CJ186" s="117"/>
      <c r="CK186" s="117"/>
      <c r="CL186" s="117"/>
      <c r="CM186" s="117"/>
      <c r="CN186" s="117"/>
      <c r="CO186" s="117"/>
      <c r="CP186" s="26"/>
      <c r="CQ186" s="26"/>
      <c r="CR186" s="29"/>
      <c r="CS186" s="10"/>
      <c r="CT186" s="10"/>
      <c r="CU186" s="10"/>
      <c r="CV186" s="26"/>
      <c r="CW186" s="26"/>
      <c r="CX186" s="117"/>
      <c r="CY186" s="117"/>
      <c r="CZ186" s="117"/>
      <c r="DA186" s="131"/>
      <c r="DB186" s="131"/>
      <c r="DC186" s="117"/>
      <c r="DD186" s="131"/>
      <c r="DE186" s="131"/>
    </row>
    <row r="187" spans="1:109" s="4" customFormat="1" ht="54.75" customHeight="1">
      <c r="A187" s="582"/>
      <c r="B187" s="593"/>
      <c r="C187" s="585" t="s">
        <v>476</v>
      </c>
      <c r="D187" s="573" t="s">
        <v>480</v>
      </c>
      <c r="E187" s="391">
        <v>2</v>
      </c>
      <c r="F187" s="391">
        <v>2</v>
      </c>
      <c r="G187" s="391">
        <v>2</v>
      </c>
      <c r="H187" s="321"/>
      <c r="I187" s="321"/>
      <c r="J187" s="321"/>
      <c r="K187" s="321"/>
      <c r="L187" s="321"/>
      <c r="M187" s="321"/>
      <c r="N187" s="321"/>
      <c r="O187" s="321"/>
      <c r="P187" s="321"/>
      <c r="Q187" s="321"/>
      <c r="R187" s="321"/>
      <c r="S187" s="321"/>
      <c r="T187" s="321"/>
      <c r="U187" s="321"/>
      <c r="V187" s="321"/>
      <c r="W187" s="321"/>
      <c r="X187" s="321"/>
      <c r="Y187" s="321"/>
      <c r="Z187" s="321"/>
      <c r="AA187" s="321"/>
      <c r="AB187" s="321"/>
      <c r="AC187" s="321"/>
      <c r="AD187" s="321"/>
      <c r="AE187" s="321"/>
      <c r="AF187" s="321"/>
      <c r="AG187" s="321"/>
      <c r="AH187" s="321"/>
      <c r="AI187" s="321"/>
      <c r="AJ187" s="325" t="s">
        <v>52</v>
      </c>
      <c r="AK187" s="397" t="s">
        <v>117</v>
      </c>
      <c r="AL187" s="13" t="s">
        <v>392</v>
      </c>
      <c r="AM187" s="188">
        <v>41428</v>
      </c>
      <c r="AN187" s="188">
        <v>41607</v>
      </c>
      <c r="AO187" s="386">
        <v>45026667</v>
      </c>
      <c r="AP187" s="386">
        <v>33166667</v>
      </c>
      <c r="AQ187" s="386">
        <f>AO187-AP187</f>
        <v>11860000</v>
      </c>
      <c r="AR187" s="386">
        <v>45026667</v>
      </c>
      <c r="AS187" s="386">
        <v>33166667</v>
      </c>
      <c r="AT187" s="386">
        <f>AR187-AS187</f>
        <v>11860000</v>
      </c>
      <c r="AU187" s="386"/>
      <c r="AV187" s="386"/>
      <c r="AW187" s="386">
        <f>AU187-AV187</f>
        <v>0</v>
      </c>
      <c r="AX187" s="17"/>
      <c r="AY187" s="17"/>
      <c r="AZ187" s="17"/>
      <c r="BA187" s="17"/>
      <c r="BB187" s="17"/>
      <c r="BC187" s="17"/>
      <c r="BD187" s="17"/>
      <c r="BE187" s="17"/>
      <c r="BF187" s="17"/>
      <c r="BG187" s="17"/>
      <c r="BH187" s="17"/>
      <c r="BI187" s="17"/>
      <c r="BJ187" s="17"/>
      <c r="BK187" s="17"/>
      <c r="BL187" s="17"/>
      <c r="BM187" s="321">
        <v>955000000</v>
      </c>
      <c r="BN187" s="321"/>
      <c r="BO187" s="360"/>
      <c r="BP187" s="360"/>
      <c r="BQ187" s="360"/>
      <c r="BR187" s="360"/>
      <c r="BS187" s="360"/>
      <c r="BT187" s="360"/>
      <c r="BU187" s="360">
        <v>80000000</v>
      </c>
      <c r="BV187" s="360">
        <v>300000000</v>
      </c>
      <c r="BW187" s="360"/>
      <c r="BX187" s="360"/>
      <c r="BY187" s="360"/>
      <c r="BZ187" s="360"/>
      <c r="CA187" s="360"/>
      <c r="CB187" s="360"/>
      <c r="CC187" s="360"/>
      <c r="CD187" s="360"/>
      <c r="CE187" s="360"/>
      <c r="CF187" s="360"/>
      <c r="CG187" s="360"/>
      <c r="CH187" s="364">
        <f>SUM(BW187:CG187)</f>
        <v>0</v>
      </c>
      <c r="CI187" s="364">
        <f>CH187+BV187</f>
        <v>300000000</v>
      </c>
      <c r="CJ187" s="360">
        <v>62400000</v>
      </c>
      <c r="CK187" s="360"/>
      <c r="CL187" s="360"/>
      <c r="CM187" s="360"/>
      <c r="CN187" s="360"/>
      <c r="CO187" s="360"/>
      <c r="CP187" s="26">
        <f>SUM(CK187:CO187)</f>
        <v>0</v>
      </c>
      <c r="CQ187" s="26">
        <f>CP187+CJ187</f>
        <v>62400000</v>
      </c>
      <c r="CR187" s="29">
        <v>180000000</v>
      </c>
      <c r="CS187" s="10"/>
      <c r="CT187" s="10"/>
      <c r="CU187" s="10"/>
      <c r="CV187" s="26">
        <f>SUM(CS187:CU187)</f>
        <v>0</v>
      </c>
      <c r="CW187" s="364">
        <f>CV187+CR187</f>
        <v>180000000</v>
      </c>
      <c r="CX187" s="360">
        <v>40000000</v>
      </c>
      <c r="CY187" s="360">
        <v>8000000</v>
      </c>
      <c r="CZ187" s="360"/>
      <c r="DA187" s="364">
        <f>SUM(CY187:CZ187)</f>
        <v>8000000</v>
      </c>
      <c r="DB187" s="364">
        <f>DA187+CX187</f>
        <v>48000000</v>
      </c>
      <c r="DC187" s="360"/>
      <c r="DD187" s="364">
        <f>DB187+CW187+CQ187+CI187+DC187</f>
        <v>590400000</v>
      </c>
      <c r="DE187" s="364"/>
    </row>
    <row r="188" spans="1:109" s="4" customFormat="1" ht="24">
      <c r="A188" s="582"/>
      <c r="B188" s="593"/>
      <c r="C188" s="586"/>
      <c r="D188" s="584"/>
      <c r="E188" s="391"/>
      <c r="F188" s="391"/>
      <c r="G188" s="391"/>
      <c r="H188" s="321"/>
      <c r="I188" s="321"/>
      <c r="J188" s="321"/>
      <c r="K188" s="321"/>
      <c r="L188" s="321"/>
      <c r="M188" s="321"/>
      <c r="N188" s="321"/>
      <c r="O188" s="321"/>
      <c r="P188" s="321"/>
      <c r="Q188" s="321"/>
      <c r="R188" s="321"/>
      <c r="S188" s="321"/>
      <c r="T188" s="321"/>
      <c r="U188" s="321"/>
      <c r="V188" s="321"/>
      <c r="W188" s="321"/>
      <c r="X188" s="321"/>
      <c r="Y188" s="321"/>
      <c r="Z188" s="321"/>
      <c r="AA188" s="321"/>
      <c r="AB188" s="321"/>
      <c r="AC188" s="321"/>
      <c r="AD188" s="321"/>
      <c r="AE188" s="321"/>
      <c r="AF188" s="321"/>
      <c r="AG188" s="321"/>
      <c r="AH188" s="321"/>
      <c r="AI188" s="321"/>
      <c r="AJ188" s="326"/>
      <c r="AK188" s="400"/>
      <c r="AL188" s="13" t="s">
        <v>393</v>
      </c>
      <c r="AM188" s="188">
        <v>41640</v>
      </c>
      <c r="AN188" s="188">
        <v>42004</v>
      </c>
      <c r="AO188" s="633"/>
      <c r="AP188" s="633"/>
      <c r="AQ188" s="633"/>
      <c r="AR188" s="633"/>
      <c r="AS188" s="633"/>
      <c r="AT188" s="633"/>
      <c r="AU188" s="633"/>
      <c r="AV188" s="633"/>
      <c r="AW188" s="633"/>
      <c r="AX188" s="17"/>
      <c r="AY188" s="17"/>
      <c r="AZ188" s="17"/>
      <c r="BA188" s="17"/>
      <c r="BB188" s="17"/>
      <c r="BC188" s="17"/>
      <c r="BD188" s="17"/>
      <c r="BE188" s="17"/>
      <c r="BF188" s="17"/>
      <c r="BG188" s="17"/>
      <c r="BH188" s="17"/>
      <c r="BI188" s="17"/>
      <c r="BJ188" s="17"/>
      <c r="BK188" s="17"/>
      <c r="BL188" s="17"/>
      <c r="BM188" s="321"/>
      <c r="BN188" s="321"/>
      <c r="BO188" s="361"/>
      <c r="BP188" s="361"/>
      <c r="BQ188" s="361"/>
      <c r="BR188" s="361"/>
      <c r="BS188" s="361"/>
      <c r="BT188" s="361"/>
      <c r="BU188" s="362"/>
      <c r="BV188" s="361"/>
      <c r="BW188" s="361"/>
      <c r="BX188" s="361"/>
      <c r="BY188" s="361"/>
      <c r="BZ188" s="361"/>
      <c r="CA188" s="361"/>
      <c r="CB188" s="361"/>
      <c r="CC188" s="361"/>
      <c r="CD188" s="361"/>
      <c r="CE188" s="361"/>
      <c r="CF188" s="361"/>
      <c r="CG188" s="361"/>
      <c r="CH188" s="366"/>
      <c r="CI188" s="366"/>
      <c r="CJ188" s="361"/>
      <c r="CK188" s="361"/>
      <c r="CL188" s="361"/>
      <c r="CM188" s="361"/>
      <c r="CN188" s="361"/>
      <c r="CO188" s="361"/>
      <c r="CP188" s="26"/>
      <c r="CQ188" s="26"/>
      <c r="CR188" s="29"/>
      <c r="CS188" s="10"/>
      <c r="CT188" s="10"/>
      <c r="CU188" s="10"/>
      <c r="CV188" s="26"/>
      <c r="CW188" s="365"/>
      <c r="CX188" s="362"/>
      <c r="CY188" s="362"/>
      <c r="CZ188" s="362"/>
      <c r="DA188" s="365"/>
      <c r="DB188" s="365"/>
      <c r="DC188" s="362"/>
      <c r="DD188" s="365"/>
      <c r="DE188" s="365"/>
    </row>
    <row r="189" spans="1:109" s="4" customFormat="1" ht="24">
      <c r="A189" s="582"/>
      <c r="B189" s="593"/>
      <c r="C189" s="586"/>
      <c r="D189" s="574"/>
      <c r="E189" s="391"/>
      <c r="F189" s="391"/>
      <c r="G189" s="391"/>
      <c r="H189" s="321"/>
      <c r="I189" s="321"/>
      <c r="J189" s="321"/>
      <c r="K189" s="321"/>
      <c r="L189" s="321"/>
      <c r="M189" s="321"/>
      <c r="N189" s="321"/>
      <c r="O189" s="321"/>
      <c r="P189" s="321"/>
      <c r="Q189" s="321"/>
      <c r="R189" s="321"/>
      <c r="S189" s="321"/>
      <c r="T189" s="321"/>
      <c r="U189" s="321"/>
      <c r="V189" s="321"/>
      <c r="W189" s="321"/>
      <c r="X189" s="321"/>
      <c r="Y189" s="321"/>
      <c r="Z189" s="321"/>
      <c r="AA189" s="321"/>
      <c r="AB189" s="321"/>
      <c r="AC189" s="321"/>
      <c r="AD189" s="321"/>
      <c r="AE189" s="321"/>
      <c r="AF189" s="321"/>
      <c r="AG189" s="321"/>
      <c r="AH189" s="321"/>
      <c r="AI189" s="321"/>
      <c r="AJ189" s="327"/>
      <c r="AK189" s="398"/>
      <c r="AL189" s="13" t="s">
        <v>423</v>
      </c>
      <c r="AM189" s="188">
        <v>41701</v>
      </c>
      <c r="AN189" s="162" t="s">
        <v>528</v>
      </c>
      <c r="AO189" s="387"/>
      <c r="AP189" s="387"/>
      <c r="AQ189" s="387"/>
      <c r="AR189" s="387"/>
      <c r="AS189" s="387"/>
      <c r="AT189" s="387"/>
      <c r="AU189" s="387"/>
      <c r="AV189" s="387"/>
      <c r="AW189" s="387"/>
      <c r="AX189" s="17"/>
      <c r="AY189" s="17"/>
      <c r="AZ189" s="17"/>
      <c r="BA189" s="17"/>
      <c r="BB189" s="17"/>
      <c r="BC189" s="17"/>
      <c r="BD189" s="17"/>
      <c r="BE189" s="17"/>
      <c r="BF189" s="17"/>
      <c r="BG189" s="17"/>
      <c r="BH189" s="17"/>
      <c r="BI189" s="17"/>
      <c r="BJ189" s="17"/>
      <c r="BK189" s="17"/>
      <c r="BL189" s="17"/>
      <c r="BM189" s="321"/>
      <c r="BN189" s="71"/>
      <c r="BO189" s="117"/>
      <c r="BP189" s="117"/>
      <c r="BQ189" s="117"/>
      <c r="BR189" s="117"/>
      <c r="BS189" s="117"/>
      <c r="BT189" s="117"/>
      <c r="BU189" s="361"/>
      <c r="BV189" s="118"/>
      <c r="BW189" s="118"/>
      <c r="BX189" s="118"/>
      <c r="BY189" s="118"/>
      <c r="BZ189" s="118"/>
      <c r="CA189" s="118"/>
      <c r="CB189" s="118"/>
      <c r="CC189" s="118"/>
      <c r="CD189" s="118"/>
      <c r="CE189" s="118"/>
      <c r="CF189" s="118"/>
      <c r="CG189" s="118"/>
      <c r="CH189" s="137"/>
      <c r="CI189" s="137"/>
      <c r="CJ189" s="118"/>
      <c r="CK189" s="118"/>
      <c r="CL189" s="118"/>
      <c r="CM189" s="118"/>
      <c r="CN189" s="118"/>
      <c r="CO189" s="118"/>
      <c r="CP189" s="26"/>
      <c r="CQ189" s="26"/>
      <c r="CR189" s="29"/>
      <c r="CS189" s="10"/>
      <c r="CT189" s="10"/>
      <c r="CU189" s="10"/>
      <c r="CV189" s="26"/>
      <c r="CW189" s="366"/>
      <c r="CX189" s="361"/>
      <c r="CY189" s="361"/>
      <c r="CZ189" s="361"/>
      <c r="DA189" s="366"/>
      <c r="DB189" s="366"/>
      <c r="DC189" s="361"/>
      <c r="DD189" s="366"/>
      <c r="DE189" s="366"/>
    </row>
    <row r="190" spans="1:109" s="4" customFormat="1" ht="44.1" customHeight="1">
      <c r="A190" s="582"/>
      <c r="B190" s="593"/>
      <c r="C190" s="586"/>
      <c r="D190" s="573" t="s">
        <v>481</v>
      </c>
      <c r="E190" s="630">
        <v>0.2</v>
      </c>
      <c r="F190" s="630">
        <v>0.2</v>
      </c>
      <c r="G190" s="630">
        <v>0.2</v>
      </c>
      <c r="H190" s="321"/>
      <c r="I190" s="321"/>
      <c r="J190" s="321"/>
      <c r="K190" s="321"/>
      <c r="L190" s="321"/>
      <c r="M190" s="321"/>
      <c r="N190" s="321"/>
      <c r="O190" s="321"/>
      <c r="P190" s="321"/>
      <c r="Q190" s="321"/>
      <c r="R190" s="321"/>
      <c r="S190" s="321"/>
      <c r="T190" s="321"/>
      <c r="U190" s="321"/>
      <c r="V190" s="321"/>
      <c r="W190" s="321"/>
      <c r="X190" s="321"/>
      <c r="Y190" s="321"/>
      <c r="Z190" s="321"/>
      <c r="AA190" s="321"/>
      <c r="AB190" s="321"/>
      <c r="AC190" s="321"/>
      <c r="AD190" s="321"/>
      <c r="AE190" s="321"/>
      <c r="AF190" s="321"/>
      <c r="AG190" s="321"/>
      <c r="AH190" s="321"/>
      <c r="AI190" s="321"/>
      <c r="AJ190" s="352" t="s">
        <v>450</v>
      </c>
      <c r="AK190" s="399" t="s">
        <v>214</v>
      </c>
      <c r="AL190" s="13" t="s">
        <v>197</v>
      </c>
      <c r="AM190" s="188">
        <v>41414</v>
      </c>
      <c r="AN190" s="188">
        <v>41639</v>
      </c>
      <c r="AO190" s="386">
        <v>116760000</v>
      </c>
      <c r="AP190" s="386">
        <v>1877480</v>
      </c>
      <c r="AQ190" s="386">
        <f>AO190-AP190</f>
        <v>114882520</v>
      </c>
      <c r="AR190" s="386">
        <v>116760000</v>
      </c>
      <c r="AS190" s="386">
        <v>1877480</v>
      </c>
      <c r="AT190" s="386">
        <f>AR190-AS190</f>
        <v>114882520</v>
      </c>
      <c r="AU190" s="386"/>
      <c r="AV190" s="386"/>
      <c r="AW190" s="386">
        <f>AU190-AV190</f>
        <v>0</v>
      </c>
      <c r="AX190" s="17"/>
      <c r="AY190" s="17"/>
      <c r="AZ190" s="17"/>
      <c r="BA190" s="17"/>
      <c r="BB190" s="17"/>
      <c r="BC190" s="17"/>
      <c r="BD190" s="17"/>
      <c r="BE190" s="17"/>
      <c r="BF190" s="17"/>
      <c r="BG190" s="17"/>
      <c r="BH190" s="17"/>
      <c r="BI190" s="17"/>
      <c r="BJ190" s="17"/>
      <c r="BK190" s="17"/>
      <c r="BL190" s="17"/>
      <c r="BM190" s="321"/>
      <c r="BN190" s="321"/>
      <c r="BO190" s="360"/>
      <c r="BP190" s="360"/>
      <c r="BQ190" s="360"/>
      <c r="BR190" s="360"/>
      <c r="BS190" s="360"/>
      <c r="BT190" s="360"/>
      <c r="BU190" s="360">
        <v>152500000</v>
      </c>
      <c r="BV190" s="341">
        <v>800000000</v>
      </c>
      <c r="BW190" s="341"/>
      <c r="BX190" s="341"/>
      <c r="BY190" s="341"/>
      <c r="BZ190" s="341"/>
      <c r="CA190" s="341"/>
      <c r="CB190" s="341"/>
      <c r="CC190" s="341"/>
      <c r="CD190" s="341"/>
      <c r="CE190" s="341"/>
      <c r="CF190" s="341"/>
      <c r="CG190" s="341"/>
      <c r="CH190" s="341">
        <f>SUM(BW190:CG197)</f>
        <v>0</v>
      </c>
      <c r="CI190" s="341">
        <f>CH190+BV190</f>
        <v>800000000</v>
      </c>
      <c r="CJ190" s="341">
        <v>334565292</v>
      </c>
      <c r="CK190" s="341"/>
      <c r="CL190" s="341"/>
      <c r="CM190" s="341"/>
      <c r="CN190" s="341"/>
      <c r="CO190" s="341"/>
      <c r="CP190" s="341">
        <f>SUM(CK190:CO197)</f>
        <v>0</v>
      </c>
      <c r="CQ190" s="341">
        <f>CP190+CJ190</f>
        <v>334565292</v>
      </c>
      <c r="CR190" s="363">
        <v>200000000</v>
      </c>
      <c r="CS190" s="341"/>
      <c r="CT190" s="341"/>
      <c r="CU190" s="341"/>
      <c r="CV190" s="341">
        <f>SUM(CS190:CU197)</f>
        <v>0</v>
      </c>
      <c r="CW190" s="341">
        <f>CV190+CR190</f>
        <v>200000000</v>
      </c>
      <c r="CX190" s="341"/>
      <c r="CY190" s="341"/>
      <c r="CZ190" s="341"/>
      <c r="DA190" s="341">
        <f>SUM(CY190:CZ197)</f>
        <v>0</v>
      </c>
      <c r="DB190" s="341">
        <f>DA190+CX190</f>
        <v>0</v>
      </c>
      <c r="DC190" s="341"/>
      <c r="DD190" s="341">
        <f>DB190+CW190+CQ190+CI190+DC190</f>
        <v>1334565292</v>
      </c>
      <c r="DE190" s="341"/>
    </row>
    <row r="191" spans="1:109" s="4" customFormat="1" ht="48">
      <c r="A191" s="582"/>
      <c r="B191" s="593"/>
      <c r="C191" s="586"/>
      <c r="D191" s="584"/>
      <c r="E191" s="630"/>
      <c r="F191" s="630"/>
      <c r="G191" s="630"/>
      <c r="H191" s="321"/>
      <c r="I191" s="321"/>
      <c r="J191" s="321"/>
      <c r="K191" s="321"/>
      <c r="L191" s="321"/>
      <c r="M191" s="321"/>
      <c r="N191" s="321"/>
      <c r="O191" s="321"/>
      <c r="P191" s="321"/>
      <c r="Q191" s="321"/>
      <c r="R191" s="321"/>
      <c r="S191" s="321"/>
      <c r="T191" s="321"/>
      <c r="U191" s="321"/>
      <c r="V191" s="321"/>
      <c r="W191" s="321"/>
      <c r="X191" s="321"/>
      <c r="Y191" s="321"/>
      <c r="Z191" s="321"/>
      <c r="AA191" s="321"/>
      <c r="AB191" s="321"/>
      <c r="AC191" s="321"/>
      <c r="AD191" s="321"/>
      <c r="AE191" s="321"/>
      <c r="AF191" s="321"/>
      <c r="AG191" s="321"/>
      <c r="AH191" s="321"/>
      <c r="AI191" s="321"/>
      <c r="AJ191" s="352"/>
      <c r="AK191" s="399"/>
      <c r="AL191" s="13" t="s">
        <v>394</v>
      </c>
      <c r="AM191" s="188">
        <v>41414</v>
      </c>
      <c r="AN191" s="188">
        <v>41639</v>
      </c>
      <c r="AO191" s="633"/>
      <c r="AP191" s="633"/>
      <c r="AQ191" s="633"/>
      <c r="AR191" s="633"/>
      <c r="AS191" s="633"/>
      <c r="AT191" s="633"/>
      <c r="AU191" s="633"/>
      <c r="AV191" s="633"/>
      <c r="AW191" s="633"/>
      <c r="AX191" s="17"/>
      <c r="AY191" s="17"/>
      <c r="AZ191" s="17"/>
      <c r="BA191" s="17"/>
      <c r="BB191" s="17"/>
      <c r="BC191" s="17"/>
      <c r="BD191" s="17"/>
      <c r="BE191" s="17"/>
      <c r="BF191" s="17"/>
      <c r="BG191" s="17"/>
      <c r="BH191" s="17"/>
      <c r="BI191" s="17"/>
      <c r="BJ191" s="17"/>
      <c r="BK191" s="17"/>
      <c r="BL191" s="17"/>
      <c r="BM191" s="321"/>
      <c r="BN191" s="321"/>
      <c r="BO191" s="362"/>
      <c r="BP191" s="362"/>
      <c r="BQ191" s="362"/>
      <c r="BR191" s="362"/>
      <c r="BS191" s="362"/>
      <c r="BT191" s="362"/>
      <c r="BU191" s="362"/>
      <c r="BV191" s="341"/>
      <c r="BW191" s="341"/>
      <c r="BX191" s="341"/>
      <c r="BY191" s="341"/>
      <c r="BZ191" s="341"/>
      <c r="CA191" s="341"/>
      <c r="CB191" s="341"/>
      <c r="CC191" s="341"/>
      <c r="CD191" s="341"/>
      <c r="CE191" s="341"/>
      <c r="CF191" s="341"/>
      <c r="CG191" s="341"/>
      <c r="CH191" s="341"/>
      <c r="CI191" s="341"/>
      <c r="CJ191" s="341"/>
      <c r="CK191" s="341"/>
      <c r="CL191" s="341"/>
      <c r="CM191" s="341"/>
      <c r="CN191" s="341"/>
      <c r="CO191" s="341"/>
      <c r="CP191" s="341"/>
      <c r="CQ191" s="341"/>
      <c r="CR191" s="363"/>
      <c r="CS191" s="341"/>
      <c r="CT191" s="341"/>
      <c r="CU191" s="341"/>
      <c r="CV191" s="341"/>
      <c r="CW191" s="341"/>
      <c r="CX191" s="341"/>
      <c r="CY191" s="341"/>
      <c r="CZ191" s="341"/>
      <c r="DA191" s="341"/>
      <c r="DB191" s="341"/>
      <c r="DC191" s="341"/>
      <c r="DD191" s="341"/>
      <c r="DE191" s="341"/>
    </row>
    <row r="192" spans="1:109" s="4" customFormat="1" ht="48">
      <c r="A192" s="582"/>
      <c r="B192" s="593"/>
      <c r="C192" s="586"/>
      <c r="D192" s="584"/>
      <c r="E192" s="630"/>
      <c r="F192" s="630"/>
      <c r="G192" s="630"/>
      <c r="H192" s="321"/>
      <c r="I192" s="321"/>
      <c r="J192" s="321"/>
      <c r="K192" s="321"/>
      <c r="L192" s="321"/>
      <c r="M192" s="321"/>
      <c r="N192" s="321"/>
      <c r="O192" s="321"/>
      <c r="P192" s="321"/>
      <c r="Q192" s="321"/>
      <c r="R192" s="321"/>
      <c r="S192" s="321"/>
      <c r="T192" s="321"/>
      <c r="U192" s="321"/>
      <c r="V192" s="321"/>
      <c r="W192" s="321"/>
      <c r="X192" s="321"/>
      <c r="Y192" s="321"/>
      <c r="Z192" s="321"/>
      <c r="AA192" s="321"/>
      <c r="AB192" s="321"/>
      <c r="AC192" s="321"/>
      <c r="AD192" s="321"/>
      <c r="AE192" s="321"/>
      <c r="AF192" s="321"/>
      <c r="AG192" s="321"/>
      <c r="AH192" s="321"/>
      <c r="AI192" s="321"/>
      <c r="AJ192" s="352"/>
      <c r="AK192" s="399"/>
      <c r="AL192" s="13" t="s">
        <v>395</v>
      </c>
      <c r="AM192" s="188">
        <v>41414</v>
      </c>
      <c r="AN192" s="188">
        <v>41639</v>
      </c>
      <c r="AO192" s="633"/>
      <c r="AP192" s="633"/>
      <c r="AQ192" s="633"/>
      <c r="AR192" s="633"/>
      <c r="AS192" s="633"/>
      <c r="AT192" s="633"/>
      <c r="AU192" s="633"/>
      <c r="AV192" s="633"/>
      <c r="AW192" s="633"/>
      <c r="AX192" s="17"/>
      <c r="AY192" s="17"/>
      <c r="AZ192" s="17"/>
      <c r="BA192" s="17"/>
      <c r="BB192" s="17"/>
      <c r="BC192" s="17"/>
      <c r="BD192" s="17"/>
      <c r="BE192" s="17"/>
      <c r="BF192" s="17"/>
      <c r="BG192" s="17"/>
      <c r="BH192" s="17"/>
      <c r="BI192" s="17"/>
      <c r="BJ192" s="17"/>
      <c r="BK192" s="17"/>
      <c r="BL192" s="17"/>
      <c r="BM192" s="321"/>
      <c r="BN192" s="321"/>
      <c r="BO192" s="362"/>
      <c r="BP192" s="362"/>
      <c r="BQ192" s="362"/>
      <c r="BR192" s="362"/>
      <c r="BS192" s="362"/>
      <c r="BT192" s="362"/>
      <c r="BU192" s="362"/>
      <c r="BV192" s="341"/>
      <c r="BW192" s="341"/>
      <c r="BX192" s="341"/>
      <c r="BY192" s="341"/>
      <c r="BZ192" s="341"/>
      <c r="CA192" s="341"/>
      <c r="CB192" s="341"/>
      <c r="CC192" s="341"/>
      <c r="CD192" s="341"/>
      <c r="CE192" s="341"/>
      <c r="CF192" s="341"/>
      <c r="CG192" s="341"/>
      <c r="CH192" s="341"/>
      <c r="CI192" s="341"/>
      <c r="CJ192" s="341"/>
      <c r="CK192" s="341"/>
      <c r="CL192" s="341"/>
      <c r="CM192" s="341"/>
      <c r="CN192" s="341"/>
      <c r="CO192" s="341"/>
      <c r="CP192" s="341"/>
      <c r="CQ192" s="341"/>
      <c r="CR192" s="363"/>
      <c r="CS192" s="341"/>
      <c r="CT192" s="341"/>
      <c r="CU192" s="341"/>
      <c r="CV192" s="341"/>
      <c r="CW192" s="341"/>
      <c r="CX192" s="341"/>
      <c r="CY192" s="341"/>
      <c r="CZ192" s="341"/>
      <c r="DA192" s="341"/>
      <c r="DB192" s="341"/>
      <c r="DC192" s="341"/>
      <c r="DD192" s="341"/>
      <c r="DE192" s="341"/>
    </row>
    <row r="193" spans="1:109" s="4" customFormat="1" ht="60">
      <c r="A193" s="582"/>
      <c r="B193" s="593"/>
      <c r="C193" s="586"/>
      <c r="D193" s="584"/>
      <c r="E193" s="630"/>
      <c r="F193" s="630"/>
      <c r="G193" s="630"/>
      <c r="H193" s="321"/>
      <c r="I193" s="321"/>
      <c r="J193" s="321"/>
      <c r="K193" s="321"/>
      <c r="L193" s="321"/>
      <c r="M193" s="321"/>
      <c r="N193" s="321"/>
      <c r="O193" s="321"/>
      <c r="P193" s="321"/>
      <c r="Q193" s="321"/>
      <c r="R193" s="321"/>
      <c r="S193" s="321"/>
      <c r="T193" s="321"/>
      <c r="U193" s="321"/>
      <c r="V193" s="321"/>
      <c r="W193" s="321"/>
      <c r="X193" s="321"/>
      <c r="Y193" s="321"/>
      <c r="Z193" s="321"/>
      <c r="AA193" s="321"/>
      <c r="AB193" s="321"/>
      <c r="AC193" s="321"/>
      <c r="AD193" s="321"/>
      <c r="AE193" s="321"/>
      <c r="AF193" s="321"/>
      <c r="AG193" s="321"/>
      <c r="AH193" s="321"/>
      <c r="AI193" s="321"/>
      <c r="AJ193" s="352"/>
      <c r="AK193" s="399"/>
      <c r="AL193" s="13" t="s">
        <v>198</v>
      </c>
      <c r="AM193" s="188">
        <v>41414</v>
      </c>
      <c r="AN193" s="188">
        <v>41639</v>
      </c>
      <c r="AO193" s="633"/>
      <c r="AP193" s="633"/>
      <c r="AQ193" s="633"/>
      <c r="AR193" s="633"/>
      <c r="AS193" s="633"/>
      <c r="AT193" s="633"/>
      <c r="AU193" s="633"/>
      <c r="AV193" s="633"/>
      <c r="AW193" s="633"/>
      <c r="AX193" s="17"/>
      <c r="AY193" s="17"/>
      <c r="AZ193" s="17"/>
      <c r="BA193" s="17"/>
      <c r="BB193" s="17"/>
      <c r="BC193" s="17"/>
      <c r="BD193" s="17"/>
      <c r="BE193" s="17"/>
      <c r="BF193" s="17"/>
      <c r="BG193" s="17"/>
      <c r="BH193" s="17"/>
      <c r="BI193" s="17"/>
      <c r="BJ193" s="17"/>
      <c r="BK193" s="17"/>
      <c r="BL193" s="17"/>
      <c r="BM193" s="321"/>
      <c r="BN193" s="321"/>
      <c r="BO193" s="362"/>
      <c r="BP193" s="362"/>
      <c r="BQ193" s="362"/>
      <c r="BR193" s="362"/>
      <c r="BS193" s="362"/>
      <c r="BT193" s="362"/>
      <c r="BU193" s="362"/>
      <c r="BV193" s="341"/>
      <c r="BW193" s="341"/>
      <c r="BX193" s="341"/>
      <c r="BY193" s="341"/>
      <c r="BZ193" s="341"/>
      <c r="CA193" s="341"/>
      <c r="CB193" s="341"/>
      <c r="CC193" s="341"/>
      <c r="CD193" s="341"/>
      <c r="CE193" s="341"/>
      <c r="CF193" s="341"/>
      <c r="CG193" s="341"/>
      <c r="CH193" s="341"/>
      <c r="CI193" s="341"/>
      <c r="CJ193" s="341"/>
      <c r="CK193" s="341"/>
      <c r="CL193" s="341"/>
      <c r="CM193" s="341"/>
      <c r="CN193" s="341"/>
      <c r="CO193" s="341"/>
      <c r="CP193" s="341"/>
      <c r="CQ193" s="341"/>
      <c r="CR193" s="363"/>
      <c r="CS193" s="341"/>
      <c r="CT193" s="341"/>
      <c r="CU193" s="341"/>
      <c r="CV193" s="341"/>
      <c r="CW193" s="341"/>
      <c r="CX193" s="341"/>
      <c r="CY193" s="341"/>
      <c r="CZ193" s="341"/>
      <c r="DA193" s="341"/>
      <c r="DB193" s="341"/>
      <c r="DC193" s="341"/>
      <c r="DD193" s="341"/>
      <c r="DE193" s="341"/>
    </row>
    <row r="194" spans="1:109" s="4" customFormat="1" ht="60">
      <c r="A194" s="582"/>
      <c r="B194" s="593"/>
      <c r="C194" s="586"/>
      <c r="D194" s="584"/>
      <c r="E194" s="630"/>
      <c r="F194" s="630"/>
      <c r="G194" s="630"/>
      <c r="H194" s="321"/>
      <c r="I194" s="321"/>
      <c r="J194" s="321"/>
      <c r="K194" s="321"/>
      <c r="L194" s="321"/>
      <c r="M194" s="321"/>
      <c r="N194" s="321"/>
      <c r="O194" s="321"/>
      <c r="P194" s="321"/>
      <c r="Q194" s="321"/>
      <c r="R194" s="321"/>
      <c r="S194" s="321"/>
      <c r="T194" s="321"/>
      <c r="U194" s="321"/>
      <c r="V194" s="321"/>
      <c r="W194" s="321"/>
      <c r="X194" s="321"/>
      <c r="Y194" s="321"/>
      <c r="Z194" s="321"/>
      <c r="AA194" s="321"/>
      <c r="AB194" s="321"/>
      <c r="AC194" s="321"/>
      <c r="AD194" s="321"/>
      <c r="AE194" s="321"/>
      <c r="AF194" s="321"/>
      <c r="AG194" s="321"/>
      <c r="AH194" s="321"/>
      <c r="AI194" s="321"/>
      <c r="AJ194" s="352"/>
      <c r="AK194" s="399"/>
      <c r="AL194" s="13" t="s">
        <v>396</v>
      </c>
      <c r="AM194" s="188">
        <v>41414</v>
      </c>
      <c r="AN194" s="188">
        <v>41639</v>
      </c>
      <c r="AO194" s="633"/>
      <c r="AP194" s="633"/>
      <c r="AQ194" s="633"/>
      <c r="AR194" s="633"/>
      <c r="AS194" s="633"/>
      <c r="AT194" s="633"/>
      <c r="AU194" s="633"/>
      <c r="AV194" s="633"/>
      <c r="AW194" s="633"/>
      <c r="AX194" s="17"/>
      <c r="AY194" s="17"/>
      <c r="AZ194" s="17"/>
      <c r="BA194" s="17"/>
      <c r="BB194" s="17"/>
      <c r="BC194" s="17"/>
      <c r="BD194" s="17"/>
      <c r="BE194" s="17"/>
      <c r="BF194" s="17"/>
      <c r="BG194" s="17"/>
      <c r="BH194" s="17"/>
      <c r="BI194" s="17"/>
      <c r="BJ194" s="17"/>
      <c r="BK194" s="17"/>
      <c r="BL194" s="17"/>
      <c r="BM194" s="321"/>
      <c r="BN194" s="321"/>
      <c r="BO194" s="362"/>
      <c r="BP194" s="362"/>
      <c r="BQ194" s="362"/>
      <c r="BR194" s="362"/>
      <c r="BS194" s="362"/>
      <c r="BT194" s="362"/>
      <c r="BU194" s="362"/>
      <c r="BV194" s="341"/>
      <c r="BW194" s="341"/>
      <c r="BX194" s="341"/>
      <c r="BY194" s="341"/>
      <c r="BZ194" s="341"/>
      <c r="CA194" s="341"/>
      <c r="CB194" s="341"/>
      <c r="CC194" s="341"/>
      <c r="CD194" s="341"/>
      <c r="CE194" s="341"/>
      <c r="CF194" s="341"/>
      <c r="CG194" s="341"/>
      <c r="CH194" s="341"/>
      <c r="CI194" s="341"/>
      <c r="CJ194" s="341"/>
      <c r="CK194" s="341"/>
      <c r="CL194" s="341"/>
      <c r="CM194" s="341"/>
      <c r="CN194" s="341"/>
      <c r="CO194" s="341"/>
      <c r="CP194" s="341"/>
      <c r="CQ194" s="341"/>
      <c r="CR194" s="363"/>
      <c r="CS194" s="341"/>
      <c r="CT194" s="341"/>
      <c r="CU194" s="341"/>
      <c r="CV194" s="341"/>
      <c r="CW194" s="341"/>
      <c r="CX194" s="341"/>
      <c r="CY194" s="341"/>
      <c r="CZ194" s="341"/>
      <c r="DA194" s="341"/>
      <c r="DB194" s="341"/>
      <c r="DC194" s="341"/>
      <c r="DD194" s="341"/>
      <c r="DE194" s="341"/>
    </row>
    <row r="195" spans="1:109" s="4" customFormat="1" ht="48">
      <c r="A195" s="582"/>
      <c r="B195" s="593"/>
      <c r="C195" s="586"/>
      <c r="D195" s="584"/>
      <c r="E195" s="630"/>
      <c r="F195" s="630"/>
      <c r="G195" s="630"/>
      <c r="H195" s="321"/>
      <c r="I195" s="321"/>
      <c r="J195" s="321"/>
      <c r="K195" s="321"/>
      <c r="L195" s="321"/>
      <c r="M195" s="321"/>
      <c r="N195" s="321"/>
      <c r="O195" s="321"/>
      <c r="P195" s="321"/>
      <c r="Q195" s="321"/>
      <c r="R195" s="321"/>
      <c r="S195" s="321"/>
      <c r="T195" s="321"/>
      <c r="U195" s="321"/>
      <c r="V195" s="321"/>
      <c r="W195" s="321"/>
      <c r="X195" s="321"/>
      <c r="Y195" s="321"/>
      <c r="Z195" s="321"/>
      <c r="AA195" s="321"/>
      <c r="AB195" s="321"/>
      <c r="AC195" s="321"/>
      <c r="AD195" s="321"/>
      <c r="AE195" s="321"/>
      <c r="AF195" s="321"/>
      <c r="AG195" s="321"/>
      <c r="AH195" s="321"/>
      <c r="AI195" s="321"/>
      <c r="AJ195" s="352"/>
      <c r="AK195" s="399"/>
      <c r="AL195" s="13" t="s">
        <v>199</v>
      </c>
      <c r="AM195" s="188">
        <v>41414</v>
      </c>
      <c r="AN195" s="188">
        <v>41639</v>
      </c>
      <c r="AO195" s="633"/>
      <c r="AP195" s="633"/>
      <c r="AQ195" s="633"/>
      <c r="AR195" s="633"/>
      <c r="AS195" s="633"/>
      <c r="AT195" s="633"/>
      <c r="AU195" s="633"/>
      <c r="AV195" s="633"/>
      <c r="AW195" s="633"/>
      <c r="AX195" s="17"/>
      <c r="AY195" s="17"/>
      <c r="AZ195" s="17"/>
      <c r="BA195" s="17"/>
      <c r="BB195" s="17"/>
      <c r="BC195" s="17"/>
      <c r="BD195" s="17"/>
      <c r="BE195" s="17"/>
      <c r="BF195" s="17"/>
      <c r="BG195" s="17"/>
      <c r="BH195" s="17"/>
      <c r="BI195" s="17"/>
      <c r="BJ195" s="17"/>
      <c r="BK195" s="17"/>
      <c r="BL195" s="17"/>
      <c r="BM195" s="321"/>
      <c r="BN195" s="321"/>
      <c r="BO195" s="362"/>
      <c r="BP195" s="362"/>
      <c r="BQ195" s="362"/>
      <c r="BR195" s="362"/>
      <c r="BS195" s="362"/>
      <c r="BT195" s="362"/>
      <c r="BU195" s="362"/>
      <c r="BV195" s="341"/>
      <c r="BW195" s="341"/>
      <c r="BX195" s="341"/>
      <c r="BY195" s="341"/>
      <c r="BZ195" s="341"/>
      <c r="CA195" s="341"/>
      <c r="CB195" s="341"/>
      <c r="CC195" s="341"/>
      <c r="CD195" s="341"/>
      <c r="CE195" s="341"/>
      <c r="CF195" s="341"/>
      <c r="CG195" s="341"/>
      <c r="CH195" s="341"/>
      <c r="CI195" s="341"/>
      <c r="CJ195" s="341"/>
      <c r="CK195" s="341"/>
      <c r="CL195" s="341"/>
      <c r="CM195" s="341"/>
      <c r="CN195" s="341"/>
      <c r="CO195" s="341"/>
      <c r="CP195" s="341"/>
      <c r="CQ195" s="341"/>
      <c r="CR195" s="363"/>
      <c r="CS195" s="341"/>
      <c r="CT195" s="341"/>
      <c r="CU195" s="341"/>
      <c r="CV195" s="341"/>
      <c r="CW195" s="341"/>
      <c r="CX195" s="341"/>
      <c r="CY195" s="341"/>
      <c r="CZ195" s="341"/>
      <c r="DA195" s="341"/>
      <c r="DB195" s="341"/>
      <c r="DC195" s="341"/>
      <c r="DD195" s="341"/>
      <c r="DE195" s="341"/>
    </row>
    <row r="196" spans="1:109" s="4" customFormat="1" ht="72">
      <c r="A196" s="582"/>
      <c r="B196" s="593"/>
      <c r="C196" s="586"/>
      <c r="D196" s="584"/>
      <c r="E196" s="630"/>
      <c r="F196" s="630"/>
      <c r="G196" s="630"/>
      <c r="H196" s="321"/>
      <c r="I196" s="321"/>
      <c r="J196" s="321"/>
      <c r="K196" s="321"/>
      <c r="L196" s="321"/>
      <c r="M196" s="321"/>
      <c r="N196" s="321"/>
      <c r="O196" s="321"/>
      <c r="P196" s="321"/>
      <c r="Q196" s="321"/>
      <c r="R196" s="321"/>
      <c r="S196" s="321"/>
      <c r="T196" s="321"/>
      <c r="U196" s="321"/>
      <c r="V196" s="321"/>
      <c r="W196" s="321"/>
      <c r="X196" s="321"/>
      <c r="Y196" s="321"/>
      <c r="Z196" s="321"/>
      <c r="AA196" s="321"/>
      <c r="AB196" s="321"/>
      <c r="AC196" s="321"/>
      <c r="AD196" s="321"/>
      <c r="AE196" s="321"/>
      <c r="AF196" s="321"/>
      <c r="AG196" s="321"/>
      <c r="AH196" s="321"/>
      <c r="AI196" s="321"/>
      <c r="AJ196" s="352"/>
      <c r="AK196" s="399"/>
      <c r="AL196" s="13" t="s">
        <v>397</v>
      </c>
      <c r="AM196" s="188">
        <v>41414</v>
      </c>
      <c r="AN196" s="188">
        <v>41639</v>
      </c>
      <c r="AO196" s="633"/>
      <c r="AP196" s="633"/>
      <c r="AQ196" s="633"/>
      <c r="AR196" s="633"/>
      <c r="AS196" s="633"/>
      <c r="AT196" s="633"/>
      <c r="AU196" s="633"/>
      <c r="AV196" s="633"/>
      <c r="AW196" s="633"/>
      <c r="AX196" s="17"/>
      <c r="AY196" s="17"/>
      <c r="AZ196" s="17"/>
      <c r="BA196" s="17"/>
      <c r="BB196" s="17"/>
      <c r="BC196" s="17"/>
      <c r="BD196" s="17"/>
      <c r="BE196" s="17"/>
      <c r="BF196" s="17"/>
      <c r="BG196" s="17"/>
      <c r="BH196" s="17"/>
      <c r="BI196" s="17"/>
      <c r="BJ196" s="17"/>
      <c r="BK196" s="17"/>
      <c r="BL196" s="17"/>
      <c r="BM196" s="321"/>
      <c r="BN196" s="321"/>
      <c r="BO196" s="362"/>
      <c r="BP196" s="362"/>
      <c r="BQ196" s="362"/>
      <c r="BR196" s="362"/>
      <c r="BS196" s="362"/>
      <c r="BT196" s="362"/>
      <c r="BU196" s="362"/>
      <c r="BV196" s="341"/>
      <c r="BW196" s="341"/>
      <c r="BX196" s="341"/>
      <c r="BY196" s="341"/>
      <c r="BZ196" s="341"/>
      <c r="CA196" s="341"/>
      <c r="CB196" s="341"/>
      <c r="CC196" s="341"/>
      <c r="CD196" s="341"/>
      <c r="CE196" s="341"/>
      <c r="CF196" s="341"/>
      <c r="CG196" s="341"/>
      <c r="CH196" s="341"/>
      <c r="CI196" s="341"/>
      <c r="CJ196" s="341"/>
      <c r="CK196" s="341"/>
      <c r="CL196" s="341"/>
      <c r="CM196" s="341"/>
      <c r="CN196" s="341"/>
      <c r="CO196" s="341"/>
      <c r="CP196" s="341"/>
      <c r="CQ196" s="341"/>
      <c r="CR196" s="363"/>
      <c r="CS196" s="341"/>
      <c r="CT196" s="341"/>
      <c r="CU196" s="341"/>
      <c r="CV196" s="341"/>
      <c r="CW196" s="341"/>
      <c r="CX196" s="341"/>
      <c r="CY196" s="341"/>
      <c r="CZ196" s="341"/>
      <c r="DA196" s="341"/>
      <c r="DB196" s="341"/>
      <c r="DC196" s="341"/>
      <c r="DD196" s="341"/>
      <c r="DE196" s="341"/>
    </row>
    <row r="197" spans="1:109" s="4" customFormat="1" ht="60">
      <c r="A197" s="582"/>
      <c r="B197" s="593"/>
      <c r="C197" s="586"/>
      <c r="D197" s="574"/>
      <c r="E197" s="630"/>
      <c r="F197" s="630"/>
      <c r="G197" s="630"/>
      <c r="H197" s="321"/>
      <c r="I197" s="321"/>
      <c r="J197" s="321"/>
      <c r="K197" s="321"/>
      <c r="L197" s="321"/>
      <c r="M197" s="321"/>
      <c r="N197" s="321"/>
      <c r="O197" s="321"/>
      <c r="P197" s="321"/>
      <c r="Q197" s="321"/>
      <c r="R197" s="321"/>
      <c r="S197" s="321"/>
      <c r="T197" s="321"/>
      <c r="U197" s="321"/>
      <c r="V197" s="321"/>
      <c r="W197" s="321"/>
      <c r="X197" s="321"/>
      <c r="Y197" s="321"/>
      <c r="Z197" s="321"/>
      <c r="AA197" s="321"/>
      <c r="AB197" s="321"/>
      <c r="AC197" s="321"/>
      <c r="AD197" s="321"/>
      <c r="AE197" s="321"/>
      <c r="AF197" s="321"/>
      <c r="AG197" s="321"/>
      <c r="AH197" s="321"/>
      <c r="AI197" s="321"/>
      <c r="AJ197" s="352"/>
      <c r="AK197" s="399"/>
      <c r="AL197" s="13" t="s">
        <v>398</v>
      </c>
      <c r="AM197" s="190">
        <v>41414</v>
      </c>
      <c r="AN197" s="190">
        <v>41639</v>
      </c>
      <c r="AO197" s="387"/>
      <c r="AP197" s="387"/>
      <c r="AQ197" s="387"/>
      <c r="AR197" s="387"/>
      <c r="AS197" s="387"/>
      <c r="AT197" s="387"/>
      <c r="AU197" s="387"/>
      <c r="AV197" s="387"/>
      <c r="AW197" s="387"/>
      <c r="AX197" s="235"/>
      <c r="AY197" s="235"/>
      <c r="AZ197" s="235"/>
      <c r="BA197" s="235"/>
      <c r="BB197" s="235"/>
      <c r="BC197" s="235"/>
      <c r="BD197" s="235"/>
      <c r="BE197" s="235"/>
      <c r="BF197" s="235"/>
      <c r="BG197" s="235"/>
      <c r="BH197" s="235"/>
      <c r="BI197" s="235"/>
      <c r="BJ197" s="235"/>
      <c r="BK197" s="235"/>
      <c r="BL197" s="235"/>
      <c r="BM197" s="321"/>
      <c r="BN197" s="321"/>
      <c r="BO197" s="361"/>
      <c r="BP197" s="361"/>
      <c r="BQ197" s="361"/>
      <c r="BR197" s="361"/>
      <c r="BS197" s="361"/>
      <c r="BT197" s="361"/>
      <c r="BU197" s="361"/>
      <c r="BV197" s="341"/>
      <c r="BW197" s="341"/>
      <c r="BX197" s="341"/>
      <c r="BY197" s="341"/>
      <c r="BZ197" s="341"/>
      <c r="CA197" s="341"/>
      <c r="CB197" s="341"/>
      <c r="CC197" s="341"/>
      <c r="CD197" s="341"/>
      <c r="CE197" s="341"/>
      <c r="CF197" s="341"/>
      <c r="CG197" s="341"/>
      <c r="CH197" s="341"/>
      <c r="CI197" s="341"/>
      <c r="CJ197" s="341"/>
      <c r="CK197" s="341"/>
      <c r="CL197" s="341"/>
      <c r="CM197" s="341"/>
      <c r="CN197" s="341"/>
      <c r="CO197" s="341"/>
      <c r="CP197" s="341"/>
      <c r="CQ197" s="341"/>
      <c r="CR197" s="363"/>
      <c r="CS197" s="341"/>
      <c r="CT197" s="341"/>
      <c r="CU197" s="341"/>
      <c r="CV197" s="341"/>
      <c r="CW197" s="341"/>
      <c r="CX197" s="341"/>
      <c r="CY197" s="341"/>
      <c r="CZ197" s="341"/>
      <c r="DA197" s="341"/>
      <c r="DB197" s="341"/>
      <c r="DC197" s="341"/>
      <c r="DD197" s="341"/>
      <c r="DE197" s="341"/>
    </row>
    <row r="198" spans="1:109" s="4" customFormat="1" ht="21.75" customHeight="1">
      <c r="A198" s="582"/>
      <c r="B198" s="593"/>
      <c r="C198" s="586"/>
      <c r="D198" s="595" t="s">
        <v>482</v>
      </c>
      <c r="E198" s="391"/>
      <c r="F198" s="391"/>
      <c r="G198" s="391">
        <v>3</v>
      </c>
      <c r="H198" s="321"/>
      <c r="I198" s="321"/>
      <c r="J198" s="321"/>
      <c r="K198" s="321"/>
      <c r="L198" s="321"/>
      <c r="M198" s="321"/>
      <c r="N198" s="321"/>
      <c r="O198" s="321"/>
      <c r="P198" s="321"/>
      <c r="Q198" s="321"/>
      <c r="R198" s="321"/>
      <c r="S198" s="321"/>
      <c r="T198" s="321"/>
      <c r="U198" s="321"/>
      <c r="V198" s="321"/>
      <c r="W198" s="321"/>
      <c r="X198" s="321"/>
      <c r="Y198" s="321"/>
      <c r="Z198" s="321"/>
      <c r="AA198" s="321"/>
      <c r="AB198" s="321"/>
      <c r="AC198" s="321"/>
      <c r="AD198" s="321"/>
      <c r="AE198" s="321"/>
      <c r="AF198" s="321"/>
      <c r="AG198" s="321"/>
      <c r="AH198" s="321"/>
      <c r="AI198" s="321"/>
      <c r="AJ198" s="325" t="s">
        <v>193</v>
      </c>
      <c r="AK198" s="397" t="s">
        <v>194</v>
      </c>
      <c r="AL198" s="189" t="s">
        <v>424</v>
      </c>
      <c r="AM198" s="182">
        <v>41456</v>
      </c>
      <c r="AN198" s="182">
        <v>41607</v>
      </c>
      <c r="AO198" s="386">
        <v>70000000</v>
      </c>
      <c r="AP198" s="386"/>
      <c r="AQ198" s="386">
        <f>AO198-AP198</f>
        <v>70000000</v>
      </c>
      <c r="AR198" s="386">
        <v>70000000</v>
      </c>
      <c r="AS198" s="386"/>
      <c r="AT198" s="386">
        <f>AR198-AS198</f>
        <v>70000000</v>
      </c>
      <c r="AU198" s="386"/>
      <c r="AV198" s="386"/>
      <c r="AW198" s="386">
        <f>AU198-AV198</f>
        <v>0</v>
      </c>
      <c r="AX198" s="286"/>
      <c r="AY198" s="286"/>
      <c r="AZ198" s="286"/>
      <c r="BA198" s="286"/>
      <c r="BB198" s="286"/>
      <c r="BC198" s="286"/>
      <c r="BD198" s="286"/>
      <c r="BE198" s="286"/>
      <c r="BF198" s="286"/>
      <c r="BG198" s="286"/>
      <c r="BH198" s="286"/>
      <c r="BI198" s="286"/>
      <c r="BJ198" s="286"/>
      <c r="BK198" s="286"/>
      <c r="BL198" s="286"/>
      <c r="BM198" s="637"/>
      <c r="BN198" s="321"/>
      <c r="BO198" s="360"/>
      <c r="BP198" s="360"/>
      <c r="BQ198" s="360"/>
      <c r="BR198" s="360"/>
      <c r="BS198" s="360"/>
      <c r="BT198" s="360"/>
      <c r="BU198" s="360">
        <v>60000000</v>
      </c>
      <c r="BV198" s="360">
        <v>400000000</v>
      </c>
      <c r="BW198" s="360"/>
      <c r="BX198" s="360"/>
      <c r="BY198" s="360"/>
      <c r="BZ198" s="360"/>
      <c r="CA198" s="360"/>
      <c r="CB198" s="360"/>
      <c r="CC198" s="360"/>
      <c r="CD198" s="360"/>
      <c r="CE198" s="360"/>
      <c r="CF198" s="360"/>
      <c r="CG198" s="360"/>
      <c r="CH198" s="364">
        <f>SUM(BW198:CG198)</f>
        <v>0</v>
      </c>
      <c r="CI198" s="364">
        <f>CH198+BV198</f>
        <v>400000000</v>
      </c>
      <c r="CJ198" s="360"/>
      <c r="CK198" s="360"/>
      <c r="CL198" s="360"/>
      <c r="CM198" s="360"/>
      <c r="CN198" s="360"/>
      <c r="CO198" s="360"/>
      <c r="CP198" s="26">
        <f>SUM(CK198:CO198)</f>
        <v>0</v>
      </c>
      <c r="CQ198" s="26">
        <f>CP198+CJ198</f>
        <v>0</v>
      </c>
      <c r="CR198" s="177"/>
      <c r="CS198" s="10"/>
      <c r="CT198" s="10"/>
      <c r="CU198" s="10"/>
      <c r="CV198" s="26">
        <f>SUM(CS198:CU198)</f>
        <v>0</v>
      </c>
      <c r="CW198" s="26">
        <f>CV198+CR198</f>
        <v>0</v>
      </c>
      <c r="CX198" s="360">
        <v>40000000</v>
      </c>
      <c r="CY198" s="360"/>
      <c r="CZ198" s="360">
        <v>100000000</v>
      </c>
      <c r="DA198" s="364">
        <f>SUM(CY198:CZ198)</f>
        <v>100000000</v>
      </c>
      <c r="DB198" s="364">
        <f>DA198+CX198</f>
        <v>140000000</v>
      </c>
      <c r="DC198" s="360"/>
      <c r="DD198" s="364">
        <f>DB198+CW198+CQ198+CI198+DC198</f>
        <v>540000000</v>
      </c>
      <c r="DE198" s="364"/>
    </row>
    <row r="199" spans="1:109" s="4" customFormat="1" ht="60">
      <c r="A199" s="582"/>
      <c r="B199" s="593"/>
      <c r="C199" s="586"/>
      <c r="D199" s="596"/>
      <c r="E199" s="391"/>
      <c r="F199" s="391"/>
      <c r="G199" s="391"/>
      <c r="H199" s="321"/>
      <c r="I199" s="321"/>
      <c r="J199" s="321"/>
      <c r="K199" s="321"/>
      <c r="L199" s="321"/>
      <c r="M199" s="321"/>
      <c r="N199" s="321"/>
      <c r="O199" s="321"/>
      <c r="P199" s="321"/>
      <c r="Q199" s="321"/>
      <c r="R199" s="321"/>
      <c r="S199" s="321"/>
      <c r="T199" s="321"/>
      <c r="U199" s="321"/>
      <c r="V199" s="321"/>
      <c r="W199" s="321"/>
      <c r="X199" s="321"/>
      <c r="Y199" s="321"/>
      <c r="Z199" s="321"/>
      <c r="AA199" s="321"/>
      <c r="AB199" s="321"/>
      <c r="AC199" s="321"/>
      <c r="AD199" s="321"/>
      <c r="AE199" s="321"/>
      <c r="AF199" s="321"/>
      <c r="AG199" s="321"/>
      <c r="AH199" s="321"/>
      <c r="AI199" s="321"/>
      <c r="AJ199" s="326"/>
      <c r="AK199" s="400"/>
      <c r="AL199" s="189" t="s">
        <v>451</v>
      </c>
      <c r="AM199" s="182">
        <v>41640</v>
      </c>
      <c r="AN199" s="182">
        <v>42004</v>
      </c>
      <c r="AO199" s="633"/>
      <c r="AP199" s="633"/>
      <c r="AQ199" s="633"/>
      <c r="AR199" s="633"/>
      <c r="AS199" s="633"/>
      <c r="AT199" s="633"/>
      <c r="AU199" s="633"/>
      <c r="AV199" s="633"/>
      <c r="AW199" s="633"/>
      <c r="AX199" s="286"/>
      <c r="AY199" s="286"/>
      <c r="AZ199" s="286"/>
      <c r="BA199" s="286"/>
      <c r="BB199" s="286"/>
      <c r="BC199" s="286"/>
      <c r="BD199" s="286"/>
      <c r="BE199" s="286"/>
      <c r="BF199" s="286"/>
      <c r="BG199" s="286"/>
      <c r="BH199" s="286"/>
      <c r="BI199" s="286"/>
      <c r="BJ199" s="286"/>
      <c r="BK199" s="286"/>
      <c r="BL199" s="286"/>
      <c r="BM199" s="637"/>
      <c r="BN199" s="321"/>
      <c r="BO199" s="361"/>
      <c r="BP199" s="361"/>
      <c r="BQ199" s="361"/>
      <c r="BR199" s="361"/>
      <c r="BS199" s="361"/>
      <c r="BT199" s="361"/>
      <c r="BU199" s="361"/>
      <c r="BV199" s="361"/>
      <c r="BW199" s="361"/>
      <c r="BX199" s="361"/>
      <c r="BY199" s="361"/>
      <c r="BZ199" s="361"/>
      <c r="CA199" s="361"/>
      <c r="CB199" s="361"/>
      <c r="CC199" s="361"/>
      <c r="CD199" s="361"/>
      <c r="CE199" s="361"/>
      <c r="CF199" s="361"/>
      <c r="CG199" s="361"/>
      <c r="CH199" s="366"/>
      <c r="CI199" s="366"/>
      <c r="CJ199" s="361"/>
      <c r="CK199" s="361"/>
      <c r="CL199" s="361"/>
      <c r="CM199" s="361"/>
      <c r="CN199" s="361"/>
      <c r="CO199" s="361"/>
      <c r="CP199" s="26"/>
      <c r="CQ199" s="26"/>
      <c r="CR199" s="177"/>
      <c r="CS199" s="10"/>
      <c r="CT199" s="10"/>
      <c r="CU199" s="10"/>
      <c r="CV199" s="26"/>
      <c r="CW199" s="26"/>
      <c r="CX199" s="361"/>
      <c r="CY199" s="361"/>
      <c r="CZ199" s="361"/>
      <c r="DA199" s="366"/>
      <c r="DB199" s="366"/>
      <c r="DC199" s="361"/>
      <c r="DD199" s="366"/>
      <c r="DE199" s="366"/>
    </row>
    <row r="200" spans="1:109" s="4" customFormat="1" ht="60">
      <c r="A200" s="582"/>
      <c r="B200" s="593"/>
      <c r="C200" s="586"/>
      <c r="D200" s="597"/>
      <c r="E200" s="391"/>
      <c r="F200" s="391"/>
      <c r="G200" s="391"/>
      <c r="H200" s="321"/>
      <c r="I200" s="321"/>
      <c r="J200" s="321"/>
      <c r="K200" s="321"/>
      <c r="L200" s="321"/>
      <c r="M200" s="321"/>
      <c r="N200" s="321"/>
      <c r="O200" s="321"/>
      <c r="P200" s="321"/>
      <c r="Q200" s="321"/>
      <c r="R200" s="321"/>
      <c r="S200" s="321"/>
      <c r="T200" s="321"/>
      <c r="U200" s="321"/>
      <c r="V200" s="321"/>
      <c r="W200" s="321"/>
      <c r="X200" s="321"/>
      <c r="Y200" s="321"/>
      <c r="Z200" s="321"/>
      <c r="AA200" s="321"/>
      <c r="AB200" s="321"/>
      <c r="AC200" s="321"/>
      <c r="AD200" s="321"/>
      <c r="AE200" s="321"/>
      <c r="AF200" s="321"/>
      <c r="AG200" s="321"/>
      <c r="AH200" s="321"/>
      <c r="AI200" s="321"/>
      <c r="AJ200" s="327"/>
      <c r="AK200" s="398"/>
      <c r="AL200" s="13" t="s">
        <v>529</v>
      </c>
      <c r="AM200" s="191">
        <v>41640</v>
      </c>
      <c r="AN200" s="191">
        <v>42004</v>
      </c>
      <c r="AO200" s="387"/>
      <c r="AP200" s="387"/>
      <c r="AQ200" s="387"/>
      <c r="AR200" s="387"/>
      <c r="AS200" s="387"/>
      <c r="AT200" s="387"/>
      <c r="AU200" s="387"/>
      <c r="AV200" s="387"/>
      <c r="AW200" s="387"/>
      <c r="AX200" s="132"/>
      <c r="AY200" s="132"/>
      <c r="AZ200" s="132"/>
      <c r="BA200" s="132"/>
      <c r="BB200" s="132"/>
      <c r="BC200" s="132"/>
      <c r="BD200" s="132"/>
      <c r="BE200" s="132"/>
      <c r="BF200" s="132"/>
      <c r="BG200" s="132"/>
      <c r="BH200" s="132"/>
      <c r="BI200" s="132"/>
      <c r="BJ200" s="132"/>
      <c r="BK200" s="132"/>
      <c r="BL200" s="132"/>
      <c r="BM200" s="321"/>
      <c r="BN200" s="71"/>
      <c r="BO200" s="117"/>
      <c r="BP200" s="117"/>
      <c r="BQ200" s="117"/>
      <c r="BR200" s="117"/>
      <c r="BS200" s="117"/>
      <c r="BT200" s="117"/>
      <c r="BU200" s="117"/>
      <c r="BV200" s="117"/>
      <c r="BW200" s="117"/>
      <c r="BX200" s="117"/>
      <c r="BY200" s="117"/>
      <c r="BZ200" s="117"/>
      <c r="CA200" s="117"/>
      <c r="CB200" s="117"/>
      <c r="CC200" s="117"/>
      <c r="CD200" s="117"/>
      <c r="CE200" s="117"/>
      <c r="CF200" s="117"/>
      <c r="CG200" s="117"/>
      <c r="CH200" s="131"/>
      <c r="CI200" s="131"/>
      <c r="CJ200" s="117"/>
      <c r="CK200" s="117"/>
      <c r="CL200" s="117"/>
      <c r="CM200" s="117"/>
      <c r="CN200" s="117"/>
      <c r="CO200" s="117"/>
      <c r="CP200" s="26"/>
      <c r="CQ200" s="26"/>
      <c r="CR200" s="177"/>
      <c r="CS200" s="10"/>
      <c r="CT200" s="10"/>
      <c r="CU200" s="10"/>
      <c r="CV200" s="26"/>
      <c r="CW200" s="26"/>
      <c r="CX200" s="117"/>
      <c r="CY200" s="117"/>
      <c r="CZ200" s="117"/>
      <c r="DA200" s="131"/>
      <c r="DB200" s="131"/>
      <c r="DC200" s="117"/>
      <c r="DD200" s="131"/>
      <c r="DE200" s="131"/>
    </row>
    <row r="201" spans="1:109" s="4" customFormat="1" ht="44.1" customHeight="1">
      <c r="A201" s="582"/>
      <c r="B201" s="593"/>
      <c r="C201" s="586"/>
      <c r="D201" s="595" t="s">
        <v>483</v>
      </c>
      <c r="E201" s="391"/>
      <c r="F201" s="391">
        <v>1</v>
      </c>
      <c r="G201" s="391">
        <v>1</v>
      </c>
      <c r="H201" s="71"/>
      <c r="I201" s="71"/>
      <c r="J201" s="71"/>
      <c r="K201" s="71"/>
      <c r="L201" s="71"/>
      <c r="M201" s="71"/>
      <c r="N201" s="71"/>
      <c r="O201" s="71"/>
      <c r="P201" s="71"/>
      <c r="Q201" s="71"/>
      <c r="R201" s="71"/>
      <c r="S201" s="71"/>
      <c r="T201" s="71"/>
      <c r="U201" s="71"/>
      <c r="V201" s="71"/>
      <c r="W201" s="71"/>
      <c r="X201" s="71"/>
      <c r="Y201" s="71"/>
      <c r="Z201" s="71"/>
      <c r="AA201" s="71"/>
      <c r="AB201" s="71"/>
      <c r="AC201" s="71"/>
      <c r="AD201" s="71"/>
      <c r="AE201" s="71"/>
      <c r="AF201" s="71"/>
      <c r="AG201" s="71"/>
      <c r="AH201" s="71"/>
      <c r="AI201" s="71"/>
      <c r="AJ201" s="325" t="s">
        <v>27</v>
      </c>
      <c r="AK201" s="397" t="s">
        <v>446</v>
      </c>
      <c r="AL201" s="13" t="s">
        <v>530</v>
      </c>
      <c r="AM201" s="188">
        <v>41414</v>
      </c>
      <c r="AN201" s="188">
        <v>41621</v>
      </c>
      <c r="AO201" s="386">
        <v>5760000</v>
      </c>
      <c r="AP201" s="386"/>
      <c r="AQ201" s="386">
        <f>AO201-AP201</f>
        <v>5760000</v>
      </c>
      <c r="AR201" s="386">
        <v>5760000</v>
      </c>
      <c r="AS201" s="386"/>
      <c r="AT201" s="386">
        <f>AR201-AS201</f>
        <v>5760000</v>
      </c>
      <c r="AU201" s="386"/>
      <c r="AV201" s="386"/>
      <c r="AW201" s="386">
        <f>AU201-AV201</f>
        <v>0</v>
      </c>
      <c r="AX201" s="17"/>
      <c r="AY201" s="17"/>
      <c r="AZ201" s="17"/>
      <c r="BA201" s="17"/>
      <c r="BB201" s="17"/>
      <c r="BC201" s="17"/>
      <c r="BD201" s="17"/>
      <c r="BE201" s="17"/>
      <c r="BF201" s="17"/>
      <c r="BG201" s="17"/>
      <c r="BH201" s="17"/>
      <c r="BI201" s="17"/>
      <c r="BJ201" s="17"/>
      <c r="BK201" s="17"/>
      <c r="BL201" s="17"/>
      <c r="BM201" s="321"/>
      <c r="BN201" s="321"/>
      <c r="BO201" s="360"/>
      <c r="BP201" s="360"/>
      <c r="BQ201" s="360"/>
      <c r="BR201" s="360"/>
      <c r="BS201" s="360"/>
      <c r="BT201" s="360"/>
      <c r="BU201" s="360">
        <v>582501300</v>
      </c>
      <c r="BV201" s="360">
        <f>(400000000)</f>
        <v>400000000</v>
      </c>
      <c r="BW201" s="360"/>
      <c r="BX201" s="360"/>
      <c r="BY201" s="360"/>
      <c r="BZ201" s="360"/>
      <c r="CA201" s="360"/>
      <c r="CB201" s="360"/>
      <c r="CC201" s="360"/>
      <c r="CD201" s="360"/>
      <c r="CE201" s="360"/>
      <c r="CF201" s="360"/>
      <c r="CG201" s="360"/>
      <c r="CH201" s="364">
        <f>SUM(BW201:CG201)</f>
        <v>0</v>
      </c>
      <c r="CI201" s="364">
        <f>CH201+BV201</f>
        <v>400000000</v>
      </c>
      <c r="CJ201" s="360">
        <v>72916928</v>
      </c>
      <c r="CK201" s="360"/>
      <c r="CL201" s="360"/>
      <c r="CM201" s="360"/>
      <c r="CN201" s="360"/>
      <c r="CO201" s="360"/>
      <c r="CP201" s="26">
        <f>SUM(CK201:CO201)</f>
        <v>0</v>
      </c>
      <c r="CQ201" s="26">
        <f>CP201+CJ201</f>
        <v>72916928</v>
      </c>
      <c r="CR201" s="29">
        <v>120000000</v>
      </c>
      <c r="CS201" s="10"/>
      <c r="CT201" s="10"/>
      <c r="CU201" s="10"/>
      <c r="CV201" s="26">
        <f>SUM(CS201:CU201)</f>
        <v>0</v>
      </c>
      <c r="CW201" s="26">
        <f>CV201+CR201</f>
        <v>120000000</v>
      </c>
      <c r="CX201" s="360"/>
      <c r="CY201" s="360">
        <v>150000000</v>
      </c>
      <c r="CZ201" s="360"/>
      <c r="DA201" s="364">
        <f>SUM(CY201:CZ201)</f>
        <v>150000000</v>
      </c>
      <c r="DB201" s="364">
        <f>DA201+CX201</f>
        <v>150000000</v>
      </c>
      <c r="DC201" s="360"/>
      <c r="DD201" s="364">
        <f>DB201+CW201+CQ201+CI201+DC201</f>
        <v>742916928</v>
      </c>
      <c r="DE201" s="364"/>
    </row>
    <row r="202" spans="1:109" s="4" customFormat="1" ht="24">
      <c r="A202" s="582"/>
      <c r="B202" s="593"/>
      <c r="C202" s="587"/>
      <c r="D202" s="597"/>
      <c r="E202" s="391"/>
      <c r="F202" s="391"/>
      <c r="G202" s="391"/>
      <c r="H202" s="71"/>
      <c r="I202" s="71"/>
      <c r="J202" s="71"/>
      <c r="K202" s="71"/>
      <c r="L202" s="71"/>
      <c r="M202" s="71"/>
      <c r="N202" s="71"/>
      <c r="O202" s="71"/>
      <c r="P202" s="71"/>
      <c r="Q202" s="71"/>
      <c r="R202" s="71"/>
      <c r="S202" s="71"/>
      <c r="T202" s="71"/>
      <c r="U202" s="71"/>
      <c r="V202" s="71"/>
      <c r="W202" s="71"/>
      <c r="X202" s="71"/>
      <c r="Y202" s="71"/>
      <c r="Z202" s="71"/>
      <c r="AA202" s="71"/>
      <c r="AB202" s="71"/>
      <c r="AC202" s="71"/>
      <c r="AD202" s="71"/>
      <c r="AE202" s="71"/>
      <c r="AF202" s="71"/>
      <c r="AG202" s="71"/>
      <c r="AH202" s="71"/>
      <c r="AI202" s="71"/>
      <c r="AJ202" s="327"/>
      <c r="AK202" s="398"/>
      <c r="AL202" s="13" t="s">
        <v>422</v>
      </c>
      <c r="AM202" s="188">
        <v>41414</v>
      </c>
      <c r="AN202" s="162" t="s">
        <v>531</v>
      </c>
      <c r="AO202" s="387"/>
      <c r="AP202" s="387"/>
      <c r="AQ202" s="387"/>
      <c r="AR202" s="387"/>
      <c r="AS202" s="387"/>
      <c r="AT202" s="387"/>
      <c r="AU202" s="387"/>
      <c r="AV202" s="387"/>
      <c r="AW202" s="387"/>
      <c r="AX202" s="17"/>
      <c r="AY202" s="17"/>
      <c r="AZ202" s="17"/>
      <c r="BA202" s="17"/>
      <c r="BB202" s="17"/>
      <c r="BC202" s="17"/>
      <c r="BD202" s="17"/>
      <c r="BE202" s="17"/>
      <c r="BF202" s="17"/>
      <c r="BG202" s="17"/>
      <c r="BH202" s="17"/>
      <c r="BI202" s="17"/>
      <c r="BJ202" s="17"/>
      <c r="BK202" s="17"/>
      <c r="BL202" s="17"/>
      <c r="BM202" s="321"/>
      <c r="BN202" s="321"/>
      <c r="BO202" s="361"/>
      <c r="BP202" s="361"/>
      <c r="BQ202" s="361"/>
      <c r="BR202" s="361"/>
      <c r="BS202" s="361"/>
      <c r="BT202" s="361"/>
      <c r="BU202" s="361"/>
      <c r="BV202" s="361"/>
      <c r="BW202" s="361"/>
      <c r="BX202" s="361"/>
      <c r="BY202" s="361"/>
      <c r="BZ202" s="361"/>
      <c r="CA202" s="361"/>
      <c r="CB202" s="361"/>
      <c r="CC202" s="361"/>
      <c r="CD202" s="361"/>
      <c r="CE202" s="361"/>
      <c r="CF202" s="361"/>
      <c r="CG202" s="361"/>
      <c r="CH202" s="366"/>
      <c r="CI202" s="366"/>
      <c r="CJ202" s="361"/>
      <c r="CK202" s="361"/>
      <c r="CL202" s="361"/>
      <c r="CM202" s="361"/>
      <c r="CN202" s="361"/>
      <c r="CO202" s="361"/>
      <c r="CP202" s="26"/>
      <c r="CQ202" s="26"/>
      <c r="CR202" s="29"/>
      <c r="CS202" s="10"/>
      <c r="CT202" s="10"/>
      <c r="CU202" s="10"/>
      <c r="CV202" s="26"/>
      <c r="CW202" s="26"/>
      <c r="CX202" s="361"/>
      <c r="CY202" s="361"/>
      <c r="CZ202" s="361"/>
      <c r="DA202" s="366"/>
      <c r="DB202" s="366"/>
      <c r="DC202" s="361"/>
      <c r="DD202" s="366"/>
      <c r="DE202" s="366"/>
    </row>
    <row r="203" spans="1:109" s="4" customFormat="1" ht="44.1" customHeight="1">
      <c r="A203" s="582"/>
      <c r="B203" s="593"/>
      <c r="C203" s="585" t="s">
        <v>477</v>
      </c>
      <c r="D203" s="573" t="s">
        <v>484</v>
      </c>
      <c r="E203" s="319">
        <v>50</v>
      </c>
      <c r="F203" s="319">
        <v>50</v>
      </c>
      <c r="G203" s="319">
        <v>50</v>
      </c>
      <c r="H203" s="321"/>
      <c r="I203" s="321"/>
      <c r="J203" s="321"/>
      <c r="K203" s="321"/>
      <c r="L203" s="321"/>
      <c r="M203" s="321"/>
      <c r="N203" s="321"/>
      <c r="O203" s="321"/>
      <c r="P203" s="321"/>
      <c r="Q203" s="321"/>
      <c r="R203" s="321"/>
      <c r="S203" s="321"/>
      <c r="T203" s="321"/>
      <c r="U203" s="321"/>
      <c r="V203" s="321"/>
      <c r="W203" s="321"/>
      <c r="X203" s="321"/>
      <c r="Y203" s="321"/>
      <c r="Z203" s="321"/>
      <c r="AA203" s="321"/>
      <c r="AB203" s="321"/>
      <c r="AC203" s="321"/>
      <c r="AD203" s="321"/>
      <c r="AE203" s="321"/>
      <c r="AF203" s="321"/>
      <c r="AG203" s="321"/>
      <c r="AH203" s="321"/>
      <c r="AI203" s="321"/>
      <c r="AJ203" s="352" t="s">
        <v>53</v>
      </c>
      <c r="AK203" s="352" t="s">
        <v>205</v>
      </c>
      <c r="AL203" s="127" t="s">
        <v>490</v>
      </c>
      <c r="AM203" s="182">
        <v>41414</v>
      </c>
      <c r="AN203" s="182">
        <v>41639</v>
      </c>
      <c r="AO203" s="418">
        <v>172261500</v>
      </c>
      <c r="AP203" s="418">
        <v>113687138</v>
      </c>
      <c r="AQ203" s="418">
        <f>AO203-AP203</f>
        <v>58574362</v>
      </c>
      <c r="AR203" s="418">
        <v>172261500</v>
      </c>
      <c r="AS203" s="418">
        <f>113687138+588483</f>
        <v>114275621</v>
      </c>
      <c r="AT203" s="418">
        <f>AR203-AS203</f>
        <v>57985879</v>
      </c>
      <c r="AU203" s="418"/>
      <c r="AV203" s="418"/>
      <c r="AW203" s="418">
        <f>AU203-AV203</f>
        <v>0</v>
      </c>
      <c r="AX203" s="246"/>
      <c r="AY203" s="246"/>
      <c r="AZ203" s="246"/>
      <c r="BA203" s="246"/>
      <c r="BB203" s="246"/>
      <c r="BC203" s="246"/>
      <c r="BD203" s="246"/>
      <c r="BE203" s="246"/>
      <c r="BF203" s="246"/>
      <c r="BG203" s="246"/>
      <c r="BH203" s="246"/>
      <c r="BI203" s="246"/>
      <c r="BJ203" s="246"/>
      <c r="BK203" s="246"/>
      <c r="BL203" s="246"/>
      <c r="BM203" s="321">
        <v>581068765</v>
      </c>
      <c r="BN203" s="321"/>
      <c r="BO203" s="360"/>
      <c r="BP203" s="360"/>
      <c r="BQ203" s="360"/>
      <c r="BR203" s="360"/>
      <c r="BS203" s="360"/>
      <c r="BT203" s="360"/>
      <c r="BU203" s="341">
        <v>813146884</v>
      </c>
      <c r="BV203" s="341">
        <v>300000000</v>
      </c>
      <c r="BW203" s="341"/>
      <c r="BX203" s="341"/>
      <c r="BY203" s="341"/>
      <c r="BZ203" s="341"/>
      <c r="CA203" s="341"/>
      <c r="CB203" s="341"/>
      <c r="CC203" s="341"/>
      <c r="CD203" s="341"/>
      <c r="CE203" s="341"/>
      <c r="CF203" s="341"/>
      <c r="CG203" s="341"/>
      <c r="CH203" s="341">
        <f>SUM(BW203:CG206)</f>
        <v>0</v>
      </c>
      <c r="CI203" s="341">
        <f>CH203+BV203</f>
        <v>300000000</v>
      </c>
      <c r="CJ203" s="341"/>
      <c r="CK203" s="341"/>
      <c r="CL203" s="341"/>
      <c r="CM203" s="341"/>
      <c r="CN203" s="341"/>
      <c r="CO203" s="341"/>
      <c r="CP203" s="341">
        <f>SUM(CK203:CO206)</f>
        <v>0</v>
      </c>
      <c r="CQ203" s="341">
        <f>CP203+CJ203</f>
        <v>0</v>
      </c>
      <c r="CR203" s="341">
        <v>120000000</v>
      </c>
      <c r="CS203" s="341"/>
      <c r="CT203" s="341"/>
      <c r="CU203" s="341"/>
      <c r="CV203" s="341">
        <f>SUM(CS203:CU206)</f>
        <v>0</v>
      </c>
      <c r="CW203" s="341">
        <f>CV203+CR203</f>
        <v>120000000</v>
      </c>
      <c r="CX203" s="341">
        <v>90000000</v>
      </c>
      <c r="CY203" s="341"/>
      <c r="CZ203" s="341">
        <v>50000000</v>
      </c>
      <c r="DA203" s="341">
        <f>SUM(CY203:CZ206)</f>
        <v>50000000</v>
      </c>
      <c r="DB203" s="341">
        <f>DA203+CX203</f>
        <v>140000000</v>
      </c>
      <c r="DC203" s="341"/>
      <c r="DD203" s="341">
        <f>DB203+CW203+CQ203+CI203+DC203</f>
        <v>560000000</v>
      </c>
      <c r="DE203" s="341"/>
    </row>
    <row r="204" spans="1:109" s="4" customFormat="1" ht="72">
      <c r="A204" s="582"/>
      <c r="B204" s="593"/>
      <c r="C204" s="586"/>
      <c r="D204" s="584"/>
      <c r="E204" s="319"/>
      <c r="F204" s="319"/>
      <c r="G204" s="319"/>
      <c r="H204" s="321"/>
      <c r="I204" s="321"/>
      <c r="J204" s="321"/>
      <c r="K204" s="321"/>
      <c r="L204" s="321"/>
      <c r="M204" s="321"/>
      <c r="N204" s="321"/>
      <c r="O204" s="321"/>
      <c r="P204" s="321"/>
      <c r="Q204" s="321"/>
      <c r="R204" s="321"/>
      <c r="S204" s="321"/>
      <c r="T204" s="321"/>
      <c r="U204" s="321"/>
      <c r="V204" s="321"/>
      <c r="W204" s="321"/>
      <c r="X204" s="321"/>
      <c r="Y204" s="321"/>
      <c r="Z204" s="321"/>
      <c r="AA204" s="321"/>
      <c r="AB204" s="321"/>
      <c r="AC204" s="321"/>
      <c r="AD204" s="321"/>
      <c r="AE204" s="321"/>
      <c r="AF204" s="321"/>
      <c r="AG204" s="321"/>
      <c r="AH204" s="321"/>
      <c r="AI204" s="321"/>
      <c r="AJ204" s="352"/>
      <c r="AK204" s="352"/>
      <c r="AL204" s="127" t="s">
        <v>203</v>
      </c>
      <c r="AM204" s="182">
        <v>41414</v>
      </c>
      <c r="AN204" s="182">
        <v>41639</v>
      </c>
      <c r="AO204" s="419"/>
      <c r="AP204" s="419"/>
      <c r="AQ204" s="419"/>
      <c r="AR204" s="419"/>
      <c r="AS204" s="419"/>
      <c r="AT204" s="419"/>
      <c r="AU204" s="419"/>
      <c r="AV204" s="419"/>
      <c r="AW204" s="419"/>
      <c r="AX204" s="246"/>
      <c r="AY204" s="246"/>
      <c r="AZ204" s="246"/>
      <c r="BA204" s="246"/>
      <c r="BB204" s="246"/>
      <c r="BC204" s="246"/>
      <c r="BD204" s="246"/>
      <c r="BE204" s="246"/>
      <c r="BF204" s="246"/>
      <c r="BG204" s="246"/>
      <c r="BH204" s="246"/>
      <c r="BI204" s="246"/>
      <c r="BJ204" s="246"/>
      <c r="BK204" s="246"/>
      <c r="BL204" s="246"/>
      <c r="BM204" s="321"/>
      <c r="BN204" s="321"/>
      <c r="BO204" s="362"/>
      <c r="BP204" s="362"/>
      <c r="BQ204" s="362"/>
      <c r="BR204" s="362"/>
      <c r="BS204" s="362"/>
      <c r="BT204" s="362"/>
      <c r="BU204" s="341"/>
      <c r="BV204" s="341"/>
      <c r="BW204" s="341"/>
      <c r="BX204" s="341"/>
      <c r="BY204" s="341"/>
      <c r="BZ204" s="341"/>
      <c r="CA204" s="341"/>
      <c r="CB204" s="341"/>
      <c r="CC204" s="341"/>
      <c r="CD204" s="341"/>
      <c r="CE204" s="341"/>
      <c r="CF204" s="341"/>
      <c r="CG204" s="341"/>
      <c r="CH204" s="341"/>
      <c r="CI204" s="341"/>
      <c r="CJ204" s="341"/>
      <c r="CK204" s="341"/>
      <c r="CL204" s="341"/>
      <c r="CM204" s="341"/>
      <c r="CN204" s="341"/>
      <c r="CO204" s="341"/>
      <c r="CP204" s="341"/>
      <c r="CQ204" s="341"/>
      <c r="CR204" s="341"/>
      <c r="CS204" s="341"/>
      <c r="CT204" s="341"/>
      <c r="CU204" s="341"/>
      <c r="CV204" s="341"/>
      <c r="CW204" s="341"/>
      <c r="CX204" s="341"/>
      <c r="CY204" s="341"/>
      <c r="CZ204" s="341"/>
      <c r="DA204" s="341"/>
      <c r="DB204" s="341"/>
      <c r="DC204" s="341"/>
      <c r="DD204" s="341"/>
      <c r="DE204" s="341"/>
    </row>
    <row r="205" spans="1:109" s="4" customFormat="1" ht="48">
      <c r="A205" s="582"/>
      <c r="B205" s="593"/>
      <c r="C205" s="586"/>
      <c r="D205" s="584"/>
      <c r="E205" s="319"/>
      <c r="F205" s="319"/>
      <c r="G205" s="319"/>
      <c r="H205" s="321"/>
      <c r="I205" s="321"/>
      <c r="J205" s="321"/>
      <c r="K205" s="321"/>
      <c r="L205" s="321"/>
      <c r="M205" s="321"/>
      <c r="N205" s="321"/>
      <c r="O205" s="321"/>
      <c r="P205" s="321"/>
      <c r="Q205" s="321"/>
      <c r="R205" s="321"/>
      <c r="S205" s="321"/>
      <c r="T205" s="321"/>
      <c r="U205" s="321"/>
      <c r="V205" s="321"/>
      <c r="W205" s="321"/>
      <c r="X205" s="321"/>
      <c r="Y205" s="321"/>
      <c r="Z205" s="321"/>
      <c r="AA205" s="321"/>
      <c r="AB205" s="321"/>
      <c r="AC205" s="321"/>
      <c r="AD205" s="321"/>
      <c r="AE205" s="321"/>
      <c r="AF205" s="321"/>
      <c r="AG205" s="321"/>
      <c r="AH205" s="321"/>
      <c r="AI205" s="321"/>
      <c r="AJ205" s="352"/>
      <c r="AK205" s="352"/>
      <c r="AL205" s="127" t="s">
        <v>204</v>
      </c>
      <c r="AM205" s="182">
        <v>41414</v>
      </c>
      <c r="AN205" s="182">
        <v>41611</v>
      </c>
      <c r="AO205" s="419"/>
      <c r="AP205" s="419"/>
      <c r="AQ205" s="419"/>
      <c r="AR205" s="419"/>
      <c r="AS205" s="419"/>
      <c r="AT205" s="419"/>
      <c r="AU205" s="419"/>
      <c r="AV205" s="419"/>
      <c r="AW205" s="419"/>
      <c r="AX205" s="246"/>
      <c r="AY205" s="246"/>
      <c r="AZ205" s="246"/>
      <c r="BA205" s="246"/>
      <c r="BB205" s="246"/>
      <c r="BC205" s="246"/>
      <c r="BD205" s="246"/>
      <c r="BE205" s="246"/>
      <c r="BF205" s="246"/>
      <c r="BG205" s="246"/>
      <c r="BH205" s="246"/>
      <c r="BI205" s="246"/>
      <c r="BJ205" s="246"/>
      <c r="BK205" s="246"/>
      <c r="BL205" s="246"/>
      <c r="BM205" s="321"/>
      <c r="BN205" s="321"/>
      <c r="BO205" s="362"/>
      <c r="BP205" s="362"/>
      <c r="BQ205" s="362"/>
      <c r="BR205" s="362"/>
      <c r="BS205" s="362"/>
      <c r="BT205" s="362"/>
      <c r="BU205" s="341"/>
      <c r="BV205" s="341"/>
      <c r="BW205" s="341"/>
      <c r="BX205" s="341"/>
      <c r="BY205" s="341"/>
      <c r="BZ205" s="341"/>
      <c r="CA205" s="341"/>
      <c r="CB205" s="341"/>
      <c r="CC205" s="341"/>
      <c r="CD205" s="341"/>
      <c r="CE205" s="341"/>
      <c r="CF205" s="341"/>
      <c r="CG205" s="341"/>
      <c r="CH205" s="341"/>
      <c r="CI205" s="341"/>
      <c r="CJ205" s="341"/>
      <c r="CK205" s="341"/>
      <c r="CL205" s="341"/>
      <c r="CM205" s="341"/>
      <c r="CN205" s="341"/>
      <c r="CO205" s="341"/>
      <c r="CP205" s="341"/>
      <c r="CQ205" s="341"/>
      <c r="CR205" s="341"/>
      <c r="CS205" s="341"/>
      <c r="CT205" s="341"/>
      <c r="CU205" s="341"/>
      <c r="CV205" s="341"/>
      <c r="CW205" s="341"/>
      <c r="CX205" s="341"/>
      <c r="CY205" s="341"/>
      <c r="CZ205" s="341"/>
      <c r="DA205" s="341"/>
      <c r="DB205" s="341"/>
      <c r="DC205" s="341"/>
      <c r="DD205" s="341"/>
      <c r="DE205" s="341"/>
    </row>
    <row r="206" spans="1:109" s="4" customFormat="1" ht="84">
      <c r="A206" s="582"/>
      <c r="B206" s="593"/>
      <c r="C206" s="587"/>
      <c r="D206" s="574"/>
      <c r="E206" s="319"/>
      <c r="F206" s="319"/>
      <c r="G206" s="319"/>
      <c r="H206" s="321"/>
      <c r="I206" s="321"/>
      <c r="J206" s="321"/>
      <c r="K206" s="321"/>
      <c r="L206" s="321"/>
      <c r="M206" s="321"/>
      <c r="N206" s="321"/>
      <c r="O206" s="321"/>
      <c r="P206" s="321"/>
      <c r="Q206" s="321"/>
      <c r="R206" s="321"/>
      <c r="S206" s="321"/>
      <c r="T206" s="321"/>
      <c r="U206" s="321"/>
      <c r="V206" s="321"/>
      <c r="W206" s="321"/>
      <c r="X206" s="321"/>
      <c r="Y206" s="321"/>
      <c r="Z206" s="321"/>
      <c r="AA206" s="321"/>
      <c r="AB206" s="321"/>
      <c r="AC206" s="321"/>
      <c r="AD206" s="321"/>
      <c r="AE206" s="321"/>
      <c r="AF206" s="321"/>
      <c r="AG206" s="321"/>
      <c r="AH206" s="321"/>
      <c r="AI206" s="321"/>
      <c r="AJ206" s="352"/>
      <c r="AK206" s="352"/>
      <c r="AL206" s="127" t="s">
        <v>399</v>
      </c>
      <c r="AM206" s="182">
        <v>41414</v>
      </c>
      <c r="AN206" s="182">
        <v>41639</v>
      </c>
      <c r="AO206" s="420"/>
      <c r="AP206" s="420"/>
      <c r="AQ206" s="420"/>
      <c r="AR206" s="420"/>
      <c r="AS206" s="420"/>
      <c r="AT206" s="420"/>
      <c r="AU206" s="420"/>
      <c r="AV206" s="420"/>
      <c r="AW206" s="420"/>
      <c r="AX206" s="246"/>
      <c r="AY206" s="246"/>
      <c r="AZ206" s="246"/>
      <c r="BA206" s="246"/>
      <c r="BB206" s="246"/>
      <c r="BC206" s="246"/>
      <c r="BD206" s="246"/>
      <c r="BE206" s="246"/>
      <c r="BF206" s="246"/>
      <c r="BG206" s="246"/>
      <c r="BH206" s="246"/>
      <c r="BI206" s="246"/>
      <c r="BJ206" s="246"/>
      <c r="BK206" s="246"/>
      <c r="BL206" s="246"/>
      <c r="BM206" s="321"/>
      <c r="BN206" s="321"/>
      <c r="BO206" s="361"/>
      <c r="BP206" s="361"/>
      <c r="BQ206" s="361"/>
      <c r="BR206" s="361"/>
      <c r="BS206" s="361"/>
      <c r="BT206" s="361"/>
      <c r="BU206" s="341"/>
      <c r="BV206" s="341"/>
      <c r="BW206" s="341"/>
      <c r="BX206" s="341"/>
      <c r="BY206" s="341"/>
      <c r="BZ206" s="341"/>
      <c r="CA206" s="341"/>
      <c r="CB206" s="341"/>
      <c r="CC206" s="341"/>
      <c r="CD206" s="341"/>
      <c r="CE206" s="341"/>
      <c r="CF206" s="341"/>
      <c r="CG206" s="341"/>
      <c r="CH206" s="341"/>
      <c r="CI206" s="341"/>
      <c r="CJ206" s="341"/>
      <c r="CK206" s="341"/>
      <c r="CL206" s="341"/>
      <c r="CM206" s="341"/>
      <c r="CN206" s="341"/>
      <c r="CO206" s="341"/>
      <c r="CP206" s="341"/>
      <c r="CQ206" s="341"/>
      <c r="CR206" s="341"/>
      <c r="CS206" s="341"/>
      <c r="CT206" s="341"/>
      <c r="CU206" s="341"/>
      <c r="CV206" s="341"/>
      <c r="CW206" s="341"/>
      <c r="CX206" s="341"/>
      <c r="CY206" s="341"/>
      <c r="CZ206" s="341"/>
      <c r="DA206" s="341"/>
      <c r="DB206" s="341"/>
      <c r="DC206" s="341"/>
      <c r="DD206" s="341"/>
      <c r="DE206" s="341"/>
    </row>
    <row r="207" spans="1:109" s="8" customFormat="1" ht="33" customHeight="1">
      <c r="A207" s="582"/>
      <c r="B207" s="593"/>
      <c r="C207" s="588" t="s">
        <v>478</v>
      </c>
      <c r="D207" s="573" t="s">
        <v>485</v>
      </c>
      <c r="E207" s="319"/>
      <c r="F207" s="319">
        <v>1</v>
      </c>
      <c r="G207" s="319"/>
      <c r="H207" s="321"/>
      <c r="I207" s="321"/>
      <c r="J207" s="321"/>
      <c r="K207" s="321"/>
      <c r="L207" s="321"/>
      <c r="M207" s="321"/>
      <c r="N207" s="321"/>
      <c r="O207" s="321"/>
      <c r="P207" s="321"/>
      <c r="Q207" s="321"/>
      <c r="R207" s="321"/>
      <c r="S207" s="321"/>
      <c r="T207" s="321"/>
      <c r="U207" s="321"/>
      <c r="V207" s="321"/>
      <c r="W207" s="321"/>
      <c r="X207" s="321"/>
      <c r="Y207" s="321"/>
      <c r="Z207" s="321"/>
      <c r="AA207" s="321"/>
      <c r="AB207" s="321"/>
      <c r="AC207" s="321"/>
      <c r="AD207" s="321"/>
      <c r="AE207" s="321"/>
      <c r="AF207" s="321"/>
      <c r="AG207" s="321"/>
      <c r="AH207" s="321"/>
      <c r="AI207" s="321"/>
      <c r="AJ207" s="397" t="s">
        <v>27</v>
      </c>
      <c r="AK207" s="397" t="s">
        <v>54</v>
      </c>
      <c r="AL207" s="127" t="s">
        <v>532</v>
      </c>
      <c r="AM207" s="182">
        <v>41414</v>
      </c>
      <c r="AN207" s="182">
        <v>41440</v>
      </c>
      <c r="AO207" s="418">
        <v>82454500</v>
      </c>
      <c r="AP207" s="418"/>
      <c r="AQ207" s="418">
        <f>AO207-AP207</f>
        <v>82454500</v>
      </c>
      <c r="AR207" s="418">
        <v>82454500</v>
      </c>
      <c r="AS207" s="418"/>
      <c r="AT207" s="418">
        <f>AR207-AS207</f>
        <v>82454500</v>
      </c>
      <c r="AU207" s="418"/>
      <c r="AV207" s="418"/>
      <c r="AW207" s="418">
        <f>AU207-AV207</f>
        <v>0</v>
      </c>
      <c r="AX207" s="246"/>
      <c r="AY207" s="246"/>
      <c r="AZ207" s="246"/>
      <c r="BA207" s="246"/>
      <c r="BB207" s="246"/>
      <c r="BC207" s="246"/>
      <c r="BD207" s="246"/>
      <c r="BE207" s="246"/>
      <c r="BF207" s="246"/>
      <c r="BG207" s="246"/>
      <c r="BH207" s="246"/>
      <c r="BI207" s="246"/>
      <c r="BJ207" s="246"/>
      <c r="BK207" s="246"/>
      <c r="BL207" s="246"/>
      <c r="BM207" s="321">
        <v>424841500</v>
      </c>
      <c r="BN207" s="321"/>
      <c r="BO207" s="360"/>
      <c r="BP207" s="360"/>
      <c r="BQ207" s="360"/>
      <c r="BR207" s="360"/>
      <c r="BS207" s="360"/>
      <c r="BT207" s="360"/>
      <c r="BU207" s="360">
        <v>816040540</v>
      </c>
      <c r="BV207" s="360">
        <v>0</v>
      </c>
      <c r="BW207" s="360"/>
      <c r="BX207" s="360"/>
      <c r="BY207" s="360"/>
      <c r="BZ207" s="360"/>
      <c r="CA207" s="360"/>
      <c r="CB207" s="360"/>
      <c r="CC207" s="360"/>
      <c r="CD207" s="360"/>
      <c r="CE207" s="360"/>
      <c r="CF207" s="360"/>
      <c r="CG207" s="360"/>
      <c r="CH207" s="364">
        <f>SUM(BW207:CG207)</f>
        <v>0</v>
      </c>
      <c r="CI207" s="364">
        <f>CH207+BV207</f>
        <v>0</v>
      </c>
      <c r="CJ207" s="401">
        <v>23400000</v>
      </c>
      <c r="CK207" s="360"/>
      <c r="CL207" s="360"/>
      <c r="CM207" s="360"/>
      <c r="CN207" s="360"/>
      <c r="CO207" s="360"/>
      <c r="CP207" s="26">
        <f>SUM(CK207:CO207)</f>
        <v>0</v>
      </c>
      <c r="CQ207" s="26">
        <f>CP207+CJ207</f>
        <v>23400000</v>
      </c>
      <c r="CR207" s="29"/>
      <c r="CS207" s="10"/>
      <c r="CT207" s="10"/>
      <c r="CU207" s="10"/>
      <c r="CV207" s="26">
        <f>SUM(CS207:CU207)</f>
        <v>0</v>
      </c>
      <c r="CW207" s="26">
        <f>CV207+CR207</f>
        <v>0</v>
      </c>
      <c r="CX207" s="360"/>
      <c r="CY207" s="360"/>
      <c r="CZ207" s="360"/>
      <c r="DA207" s="364">
        <f>SUM(CY207:CZ207)</f>
        <v>0</v>
      </c>
      <c r="DB207" s="364">
        <f>DA207+CX207</f>
        <v>0</v>
      </c>
      <c r="DC207" s="360"/>
      <c r="DD207" s="364">
        <f>DB207+CW207+CQ207+CI207+DC207</f>
        <v>23400000</v>
      </c>
      <c r="DE207" s="364"/>
    </row>
    <row r="208" spans="1:109" s="8" customFormat="1" ht="36">
      <c r="A208" s="582"/>
      <c r="B208" s="593"/>
      <c r="C208" s="589"/>
      <c r="D208" s="584"/>
      <c r="E208" s="319"/>
      <c r="F208" s="319"/>
      <c r="G208" s="319"/>
      <c r="H208" s="321"/>
      <c r="I208" s="321"/>
      <c r="J208" s="321"/>
      <c r="K208" s="321"/>
      <c r="L208" s="321"/>
      <c r="M208" s="321"/>
      <c r="N208" s="321"/>
      <c r="O208" s="321"/>
      <c r="P208" s="321"/>
      <c r="Q208" s="321"/>
      <c r="R208" s="321"/>
      <c r="S208" s="321"/>
      <c r="T208" s="321"/>
      <c r="U208" s="321"/>
      <c r="V208" s="321"/>
      <c r="W208" s="321"/>
      <c r="X208" s="321"/>
      <c r="Y208" s="321"/>
      <c r="Z208" s="321"/>
      <c r="AA208" s="321"/>
      <c r="AB208" s="321"/>
      <c r="AC208" s="321"/>
      <c r="AD208" s="321"/>
      <c r="AE208" s="321"/>
      <c r="AF208" s="321"/>
      <c r="AG208" s="321"/>
      <c r="AH208" s="321"/>
      <c r="AI208" s="321"/>
      <c r="AJ208" s="400"/>
      <c r="AK208" s="400"/>
      <c r="AL208" s="127" t="s">
        <v>206</v>
      </c>
      <c r="AM208" s="182">
        <v>41414</v>
      </c>
      <c r="AN208" s="182">
        <v>41440</v>
      </c>
      <c r="AO208" s="419"/>
      <c r="AP208" s="419"/>
      <c r="AQ208" s="419"/>
      <c r="AR208" s="419"/>
      <c r="AS208" s="419"/>
      <c r="AT208" s="419"/>
      <c r="AU208" s="419"/>
      <c r="AV208" s="419"/>
      <c r="AW208" s="419"/>
      <c r="AX208" s="246"/>
      <c r="AY208" s="246"/>
      <c r="AZ208" s="246"/>
      <c r="BA208" s="246"/>
      <c r="BB208" s="246"/>
      <c r="BC208" s="246"/>
      <c r="BD208" s="246"/>
      <c r="BE208" s="246"/>
      <c r="BF208" s="246"/>
      <c r="BG208" s="246"/>
      <c r="BH208" s="246"/>
      <c r="BI208" s="246"/>
      <c r="BJ208" s="246"/>
      <c r="BK208" s="246"/>
      <c r="BL208" s="246"/>
      <c r="BM208" s="321"/>
      <c r="BN208" s="321"/>
      <c r="BO208" s="362"/>
      <c r="BP208" s="362"/>
      <c r="BQ208" s="362"/>
      <c r="BR208" s="362"/>
      <c r="BS208" s="362"/>
      <c r="BT208" s="362"/>
      <c r="BU208" s="362"/>
      <c r="BV208" s="362"/>
      <c r="BW208" s="362"/>
      <c r="BX208" s="362"/>
      <c r="BY208" s="362"/>
      <c r="BZ208" s="362"/>
      <c r="CA208" s="362"/>
      <c r="CB208" s="362"/>
      <c r="CC208" s="362"/>
      <c r="CD208" s="362"/>
      <c r="CE208" s="362"/>
      <c r="CF208" s="362"/>
      <c r="CG208" s="362"/>
      <c r="CH208" s="365"/>
      <c r="CI208" s="365"/>
      <c r="CJ208" s="402"/>
      <c r="CK208" s="362"/>
      <c r="CL208" s="362"/>
      <c r="CM208" s="362"/>
      <c r="CN208" s="362"/>
      <c r="CO208" s="362"/>
      <c r="CP208" s="26"/>
      <c r="CQ208" s="26"/>
      <c r="CR208" s="29"/>
      <c r="CS208" s="10"/>
      <c r="CT208" s="10"/>
      <c r="CU208" s="10"/>
      <c r="CV208" s="26"/>
      <c r="CW208" s="26"/>
      <c r="CX208" s="362"/>
      <c r="CY208" s="362"/>
      <c r="CZ208" s="362"/>
      <c r="DA208" s="365"/>
      <c r="DB208" s="365"/>
      <c r="DC208" s="362"/>
      <c r="DD208" s="365"/>
      <c r="DE208" s="365"/>
    </row>
    <row r="209" spans="1:109" s="8" customFormat="1" ht="24">
      <c r="A209" s="582"/>
      <c r="B209" s="593"/>
      <c r="C209" s="589"/>
      <c r="D209" s="584"/>
      <c r="E209" s="319"/>
      <c r="F209" s="319"/>
      <c r="G209" s="319"/>
      <c r="H209" s="321"/>
      <c r="I209" s="321"/>
      <c r="J209" s="321"/>
      <c r="K209" s="321"/>
      <c r="L209" s="321"/>
      <c r="M209" s="321"/>
      <c r="N209" s="321"/>
      <c r="O209" s="321"/>
      <c r="P209" s="321"/>
      <c r="Q209" s="321"/>
      <c r="R209" s="321"/>
      <c r="S209" s="321"/>
      <c r="T209" s="321"/>
      <c r="U209" s="321"/>
      <c r="V209" s="321"/>
      <c r="W209" s="321"/>
      <c r="X209" s="321"/>
      <c r="Y209" s="321"/>
      <c r="Z209" s="321"/>
      <c r="AA209" s="321"/>
      <c r="AB209" s="321"/>
      <c r="AC209" s="321"/>
      <c r="AD209" s="321"/>
      <c r="AE209" s="321"/>
      <c r="AF209" s="321"/>
      <c r="AG209" s="321"/>
      <c r="AH209" s="321"/>
      <c r="AI209" s="321"/>
      <c r="AJ209" s="400"/>
      <c r="AK209" s="400"/>
      <c r="AL209" s="127" t="s">
        <v>207</v>
      </c>
      <c r="AM209" s="182">
        <v>41426</v>
      </c>
      <c r="AN209" s="182">
        <v>41639</v>
      </c>
      <c r="AO209" s="419"/>
      <c r="AP209" s="419"/>
      <c r="AQ209" s="419"/>
      <c r="AR209" s="419"/>
      <c r="AS209" s="419"/>
      <c r="AT209" s="419"/>
      <c r="AU209" s="419"/>
      <c r="AV209" s="419"/>
      <c r="AW209" s="419"/>
      <c r="AX209" s="246"/>
      <c r="AY209" s="246"/>
      <c r="AZ209" s="246"/>
      <c r="BA209" s="246"/>
      <c r="BB209" s="246"/>
      <c r="BC209" s="246"/>
      <c r="BD209" s="246"/>
      <c r="BE209" s="246"/>
      <c r="BF209" s="246"/>
      <c r="BG209" s="246"/>
      <c r="BH209" s="246"/>
      <c r="BI209" s="246"/>
      <c r="BJ209" s="246"/>
      <c r="BK209" s="246"/>
      <c r="BL209" s="246"/>
      <c r="BM209" s="321"/>
      <c r="BN209" s="321"/>
      <c r="BO209" s="362"/>
      <c r="BP209" s="362"/>
      <c r="BQ209" s="362"/>
      <c r="BR209" s="362"/>
      <c r="BS209" s="362"/>
      <c r="BT209" s="362"/>
      <c r="BU209" s="362"/>
      <c r="BV209" s="362"/>
      <c r="BW209" s="362"/>
      <c r="BX209" s="362"/>
      <c r="BY209" s="362"/>
      <c r="BZ209" s="362"/>
      <c r="CA209" s="362"/>
      <c r="CB209" s="362"/>
      <c r="CC209" s="362"/>
      <c r="CD209" s="362"/>
      <c r="CE209" s="362"/>
      <c r="CF209" s="362"/>
      <c r="CG209" s="362"/>
      <c r="CH209" s="365"/>
      <c r="CI209" s="365"/>
      <c r="CJ209" s="402"/>
      <c r="CK209" s="362"/>
      <c r="CL209" s="362"/>
      <c r="CM209" s="362"/>
      <c r="CN209" s="362"/>
      <c r="CO209" s="362"/>
      <c r="CP209" s="26"/>
      <c r="CQ209" s="26"/>
      <c r="CR209" s="29"/>
      <c r="CS209" s="10"/>
      <c r="CT209" s="10"/>
      <c r="CU209" s="10"/>
      <c r="CV209" s="26"/>
      <c r="CW209" s="26"/>
      <c r="CX209" s="362"/>
      <c r="CY209" s="362"/>
      <c r="CZ209" s="362"/>
      <c r="DA209" s="365"/>
      <c r="DB209" s="365"/>
      <c r="DC209" s="362"/>
      <c r="DD209" s="365"/>
      <c r="DE209" s="365"/>
    </row>
    <row r="210" spans="1:109" s="8" customFormat="1" ht="36">
      <c r="A210" s="582"/>
      <c r="B210" s="593"/>
      <c r="C210" s="589"/>
      <c r="D210" s="574"/>
      <c r="E210" s="319"/>
      <c r="F210" s="319"/>
      <c r="G210" s="319"/>
      <c r="H210" s="321"/>
      <c r="I210" s="321"/>
      <c r="J210" s="321"/>
      <c r="K210" s="321"/>
      <c r="L210" s="321"/>
      <c r="M210" s="321"/>
      <c r="N210" s="321"/>
      <c r="O210" s="321"/>
      <c r="P210" s="321"/>
      <c r="Q210" s="321"/>
      <c r="R210" s="321"/>
      <c r="S210" s="321"/>
      <c r="T210" s="321"/>
      <c r="U210" s="321"/>
      <c r="V210" s="321"/>
      <c r="W210" s="321"/>
      <c r="X210" s="321"/>
      <c r="Y210" s="321"/>
      <c r="Z210" s="321"/>
      <c r="AA210" s="321"/>
      <c r="AB210" s="321"/>
      <c r="AC210" s="321"/>
      <c r="AD210" s="321"/>
      <c r="AE210" s="321"/>
      <c r="AF210" s="321"/>
      <c r="AG210" s="321"/>
      <c r="AH210" s="321"/>
      <c r="AI210" s="321"/>
      <c r="AJ210" s="398"/>
      <c r="AK210" s="398"/>
      <c r="AL210" s="127" t="s">
        <v>208</v>
      </c>
      <c r="AM210" s="182">
        <v>41426</v>
      </c>
      <c r="AN210" s="182">
        <v>42338</v>
      </c>
      <c r="AO210" s="420"/>
      <c r="AP210" s="420"/>
      <c r="AQ210" s="420"/>
      <c r="AR210" s="420"/>
      <c r="AS210" s="420"/>
      <c r="AT210" s="420"/>
      <c r="AU210" s="420"/>
      <c r="AV210" s="420"/>
      <c r="AW210" s="420"/>
      <c r="AX210" s="246"/>
      <c r="AY210" s="246"/>
      <c r="AZ210" s="246"/>
      <c r="BA210" s="246"/>
      <c r="BB210" s="246"/>
      <c r="BC210" s="246"/>
      <c r="BD210" s="246"/>
      <c r="BE210" s="246"/>
      <c r="BF210" s="246"/>
      <c r="BG210" s="246"/>
      <c r="BH210" s="246"/>
      <c r="BI210" s="246"/>
      <c r="BJ210" s="246"/>
      <c r="BK210" s="246"/>
      <c r="BL210" s="246"/>
      <c r="BM210" s="321"/>
      <c r="BN210" s="321"/>
      <c r="BO210" s="361"/>
      <c r="BP210" s="361"/>
      <c r="BQ210" s="361"/>
      <c r="BR210" s="361"/>
      <c r="BS210" s="361"/>
      <c r="BT210" s="361"/>
      <c r="BU210" s="361"/>
      <c r="BV210" s="361"/>
      <c r="BW210" s="361"/>
      <c r="BX210" s="361"/>
      <c r="BY210" s="361"/>
      <c r="BZ210" s="361"/>
      <c r="CA210" s="361"/>
      <c r="CB210" s="361"/>
      <c r="CC210" s="361"/>
      <c r="CD210" s="361"/>
      <c r="CE210" s="361"/>
      <c r="CF210" s="361"/>
      <c r="CG210" s="361"/>
      <c r="CH210" s="366"/>
      <c r="CI210" s="366"/>
      <c r="CJ210" s="403"/>
      <c r="CK210" s="361"/>
      <c r="CL210" s="361"/>
      <c r="CM210" s="361"/>
      <c r="CN210" s="361"/>
      <c r="CO210" s="361"/>
      <c r="CP210" s="26"/>
      <c r="CQ210" s="26"/>
      <c r="CR210" s="29"/>
      <c r="CS210" s="10"/>
      <c r="CT210" s="10"/>
      <c r="CU210" s="10"/>
      <c r="CV210" s="26"/>
      <c r="CW210" s="26"/>
      <c r="CX210" s="361"/>
      <c r="CY210" s="361"/>
      <c r="CZ210" s="361"/>
      <c r="DA210" s="366"/>
      <c r="DB210" s="366"/>
      <c r="DC210" s="361"/>
      <c r="DD210" s="366"/>
      <c r="DE210" s="366"/>
    </row>
    <row r="211" spans="1:109" s="8" customFormat="1" ht="21.75" customHeight="1">
      <c r="A211" s="582"/>
      <c r="B211" s="593"/>
      <c r="C211" s="589"/>
      <c r="D211" s="595" t="s">
        <v>400</v>
      </c>
      <c r="E211" s="545">
        <v>6</v>
      </c>
      <c r="F211" s="545">
        <v>3</v>
      </c>
      <c r="G211" s="545">
        <v>3</v>
      </c>
      <c r="H211" s="321"/>
      <c r="I211" s="321"/>
      <c r="J211" s="321"/>
      <c r="K211" s="321"/>
      <c r="L211" s="321"/>
      <c r="M211" s="321"/>
      <c r="N211" s="321"/>
      <c r="O211" s="321"/>
      <c r="P211" s="321"/>
      <c r="Q211" s="321"/>
      <c r="R211" s="321"/>
      <c r="S211" s="321"/>
      <c r="T211" s="321"/>
      <c r="U211" s="321"/>
      <c r="V211" s="321"/>
      <c r="W211" s="321"/>
      <c r="X211" s="321"/>
      <c r="Y211" s="321"/>
      <c r="Z211" s="321"/>
      <c r="AA211" s="321"/>
      <c r="AB211" s="321"/>
      <c r="AC211" s="321"/>
      <c r="AD211" s="321"/>
      <c r="AE211" s="321"/>
      <c r="AF211" s="321"/>
      <c r="AG211" s="321"/>
      <c r="AH211" s="321"/>
      <c r="AI211" s="321"/>
      <c r="AJ211" s="397" t="s">
        <v>55</v>
      </c>
      <c r="AK211" s="397" t="s">
        <v>201</v>
      </c>
      <c r="AL211" s="13" t="s">
        <v>209</v>
      </c>
      <c r="AM211" s="188">
        <v>41414</v>
      </c>
      <c r="AN211" s="188">
        <v>41440</v>
      </c>
      <c r="AO211" s="634">
        <v>49430500</v>
      </c>
      <c r="AP211" s="386">
        <v>0</v>
      </c>
      <c r="AQ211" s="386">
        <f>AO211-AP211</f>
        <v>49430500</v>
      </c>
      <c r="AR211" s="634">
        <v>49430500</v>
      </c>
      <c r="AS211" s="386">
        <v>0</v>
      </c>
      <c r="AT211" s="386">
        <f>AR211-AS211</f>
        <v>49430500</v>
      </c>
      <c r="AU211" s="634"/>
      <c r="AV211" s="386">
        <v>0</v>
      </c>
      <c r="AW211" s="386">
        <f>AU211-AV211</f>
        <v>0</v>
      </c>
      <c r="AX211" s="285"/>
      <c r="AY211" s="285"/>
      <c r="AZ211" s="285"/>
      <c r="BA211" s="285"/>
      <c r="BB211" s="285"/>
      <c r="BC211" s="285"/>
      <c r="BD211" s="285"/>
      <c r="BE211" s="285"/>
      <c r="BF211" s="285"/>
      <c r="BG211" s="285"/>
      <c r="BH211" s="285"/>
      <c r="BI211" s="285"/>
      <c r="BJ211" s="285"/>
      <c r="BK211" s="285"/>
      <c r="BL211" s="285"/>
      <c r="BM211" s="321"/>
      <c r="BN211" s="321"/>
      <c r="BO211" s="360"/>
      <c r="BP211" s="360"/>
      <c r="BQ211" s="360"/>
      <c r="BR211" s="360"/>
      <c r="BS211" s="360"/>
      <c r="BT211" s="360"/>
      <c r="BU211" s="360">
        <v>75000000</v>
      </c>
      <c r="BV211" s="360">
        <v>250000000</v>
      </c>
      <c r="BW211" s="360"/>
      <c r="BX211" s="360"/>
      <c r="BY211" s="360"/>
      <c r="BZ211" s="360"/>
      <c r="CA211" s="360"/>
      <c r="CB211" s="360"/>
      <c r="CC211" s="360"/>
      <c r="CD211" s="360"/>
      <c r="CE211" s="360"/>
      <c r="CF211" s="360"/>
      <c r="CG211" s="360"/>
      <c r="CH211" s="364">
        <f>SUM(BW211:CG211)</f>
        <v>0</v>
      </c>
      <c r="CI211" s="364">
        <f>CH211+BV211</f>
        <v>250000000</v>
      </c>
      <c r="CJ211" s="401"/>
      <c r="CK211" s="360"/>
      <c r="CL211" s="360"/>
      <c r="CM211" s="360"/>
      <c r="CN211" s="360"/>
      <c r="CO211" s="360"/>
      <c r="CP211" s="26">
        <f>SUM(CK211:CO211)</f>
        <v>0</v>
      </c>
      <c r="CQ211" s="26">
        <f>CP211+CJ211</f>
        <v>0</v>
      </c>
      <c r="CR211" s="29">
        <v>60000000</v>
      </c>
      <c r="CS211" s="10"/>
      <c r="CT211" s="10"/>
      <c r="CU211" s="10"/>
      <c r="CV211" s="26">
        <f>SUM(CS211:CU211)</f>
        <v>0</v>
      </c>
      <c r="CW211" s="26">
        <f>CV211+CR211</f>
        <v>60000000</v>
      </c>
      <c r="CX211" s="360"/>
      <c r="CY211" s="360"/>
      <c r="CZ211" s="360"/>
      <c r="DA211" s="364">
        <f>SUM(CY211:CZ211)</f>
        <v>0</v>
      </c>
      <c r="DB211" s="364">
        <f>DA211+CX211</f>
        <v>0</v>
      </c>
      <c r="DC211" s="360"/>
      <c r="DD211" s="364">
        <f>DB211+CW211+CQ211+CI211+DC211</f>
        <v>310000000</v>
      </c>
      <c r="DE211" s="364"/>
    </row>
    <row r="212" spans="1:109" s="8" customFormat="1" ht="36">
      <c r="A212" s="582"/>
      <c r="B212" s="593"/>
      <c r="C212" s="589"/>
      <c r="D212" s="596"/>
      <c r="E212" s="545"/>
      <c r="F212" s="545"/>
      <c r="G212" s="545"/>
      <c r="H212" s="321"/>
      <c r="I212" s="321"/>
      <c r="J212" s="321"/>
      <c r="K212" s="321"/>
      <c r="L212" s="321"/>
      <c r="M212" s="321"/>
      <c r="N212" s="321"/>
      <c r="O212" s="321"/>
      <c r="P212" s="321"/>
      <c r="Q212" s="321"/>
      <c r="R212" s="321"/>
      <c r="S212" s="321"/>
      <c r="T212" s="321"/>
      <c r="U212" s="321"/>
      <c r="V212" s="321"/>
      <c r="W212" s="321"/>
      <c r="X212" s="321"/>
      <c r="Y212" s="321"/>
      <c r="Z212" s="321"/>
      <c r="AA212" s="321"/>
      <c r="AB212" s="321"/>
      <c r="AC212" s="321"/>
      <c r="AD212" s="321"/>
      <c r="AE212" s="321"/>
      <c r="AF212" s="321"/>
      <c r="AG212" s="321"/>
      <c r="AH212" s="321"/>
      <c r="AI212" s="321"/>
      <c r="AJ212" s="400"/>
      <c r="AK212" s="400"/>
      <c r="AL212" s="13" t="s">
        <v>210</v>
      </c>
      <c r="AM212" s="188">
        <v>41426</v>
      </c>
      <c r="AN212" s="188">
        <v>41607</v>
      </c>
      <c r="AO212" s="635"/>
      <c r="AP212" s="633"/>
      <c r="AQ212" s="633"/>
      <c r="AR212" s="635"/>
      <c r="AS212" s="633"/>
      <c r="AT212" s="633"/>
      <c r="AU212" s="635"/>
      <c r="AV212" s="633"/>
      <c r="AW212" s="633"/>
      <c r="AX212" s="285"/>
      <c r="AY212" s="285"/>
      <c r="AZ212" s="285"/>
      <c r="BA212" s="285"/>
      <c r="BB212" s="285"/>
      <c r="BC212" s="285"/>
      <c r="BD212" s="285"/>
      <c r="BE212" s="285"/>
      <c r="BF212" s="285"/>
      <c r="BG212" s="285"/>
      <c r="BH212" s="285"/>
      <c r="BI212" s="285"/>
      <c r="BJ212" s="285"/>
      <c r="BK212" s="285"/>
      <c r="BL212" s="285"/>
      <c r="BM212" s="321"/>
      <c r="BN212" s="321"/>
      <c r="BO212" s="362"/>
      <c r="BP212" s="362"/>
      <c r="BQ212" s="362"/>
      <c r="BR212" s="362"/>
      <c r="BS212" s="362"/>
      <c r="BT212" s="362"/>
      <c r="BU212" s="362"/>
      <c r="BV212" s="362"/>
      <c r="BW212" s="362"/>
      <c r="BX212" s="362"/>
      <c r="BY212" s="362"/>
      <c r="BZ212" s="362"/>
      <c r="CA212" s="362"/>
      <c r="CB212" s="362"/>
      <c r="CC212" s="362"/>
      <c r="CD212" s="362"/>
      <c r="CE212" s="362"/>
      <c r="CF212" s="362"/>
      <c r="CG212" s="362"/>
      <c r="CH212" s="365"/>
      <c r="CI212" s="365"/>
      <c r="CJ212" s="402"/>
      <c r="CK212" s="362"/>
      <c r="CL212" s="362"/>
      <c r="CM212" s="362"/>
      <c r="CN212" s="362"/>
      <c r="CO212" s="362"/>
      <c r="CP212" s="26"/>
      <c r="CQ212" s="26"/>
      <c r="CR212" s="29"/>
      <c r="CS212" s="10"/>
      <c r="CT212" s="10"/>
      <c r="CU212" s="10"/>
      <c r="CV212" s="26"/>
      <c r="CW212" s="26"/>
      <c r="CX212" s="362"/>
      <c r="CY212" s="362"/>
      <c r="CZ212" s="362"/>
      <c r="DA212" s="365"/>
      <c r="DB212" s="365"/>
      <c r="DC212" s="362"/>
      <c r="DD212" s="365"/>
      <c r="DE212" s="365"/>
    </row>
    <row r="213" spans="1:109" s="8" customFormat="1" ht="60">
      <c r="A213" s="582"/>
      <c r="B213" s="593"/>
      <c r="C213" s="589"/>
      <c r="D213" s="596"/>
      <c r="E213" s="545"/>
      <c r="F213" s="545"/>
      <c r="G213" s="545"/>
      <c r="H213" s="321"/>
      <c r="I213" s="321"/>
      <c r="J213" s="321"/>
      <c r="K213" s="321"/>
      <c r="L213" s="321"/>
      <c r="M213" s="321"/>
      <c r="N213" s="321"/>
      <c r="O213" s="321"/>
      <c r="P213" s="321"/>
      <c r="Q213" s="321"/>
      <c r="R213" s="321"/>
      <c r="S213" s="321"/>
      <c r="T213" s="321"/>
      <c r="U213" s="321"/>
      <c r="V213" s="321"/>
      <c r="W213" s="321"/>
      <c r="X213" s="321"/>
      <c r="Y213" s="321"/>
      <c r="Z213" s="321"/>
      <c r="AA213" s="321"/>
      <c r="AB213" s="321"/>
      <c r="AC213" s="321"/>
      <c r="AD213" s="321"/>
      <c r="AE213" s="321"/>
      <c r="AF213" s="321"/>
      <c r="AG213" s="321"/>
      <c r="AH213" s="321"/>
      <c r="AI213" s="321"/>
      <c r="AJ213" s="400"/>
      <c r="AK213" s="400"/>
      <c r="AL213" s="13" t="s">
        <v>211</v>
      </c>
      <c r="AM213" s="188">
        <v>41456</v>
      </c>
      <c r="AN213" s="188">
        <v>41639</v>
      </c>
      <c r="AO213" s="635"/>
      <c r="AP213" s="633"/>
      <c r="AQ213" s="633"/>
      <c r="AR213" s="635"/>
      <c r="AS213" s="633"/>
      <c r="AT213" s="633"/>
      <c r="AU213" s="635"/>
      <c r="AV213" s="633"/>
      <c r="AW213" s="633"/>
      <c r="AX213" s="285"/>
      <c r="AY213" s="285"/>
      <c r="AZ213" s="285"/>
      <c r="BA213" s="285"/>
      <c r="BB213" s="285"/>
      <c r="BC213" s="285"/>
      <c r="BD213" s="285"/>
      <c r="BE213" s="285"/>
      <c r="BF213" s="285"/>
      <c r="BG213" s="285"/>
      <c r="BH213" s="285"/>
      <c r="BI213" s="285"/>
      <c r="BJ213" s="285"/>
      <c r="BK213" s="285"/>
      <c r="BL213" s="285"/>
      <c r="BM213" s="321"/>
      <c r="BN213" s="321"/>
      <c r="BO213" s="362"/>
      <c r="BP213" s="362"/>
      <c r="BQ213" s="362"/>
      <c r="BR213" s="362"/>
      <c r="BS213" s="362"/>
      <c r="BT213" s="362"/>
      <c r="BU213" s="362"/>
      <c r="BV213" s="362"/>
      <c r="BW213" s="362"/>
      <c r="BX213" s="362"/>
      <c r="BY213" s="362"/>
      <c r="BZ213" s="362"/>
      <c r="CA213" s="362"/>
      <c r="CB213" s="362"/>
      <c r="CC213" s="362"/>
      <c r="CD213" s="362"/>
      <c r="CE213" s="362"/>
      <c r="CF213" s="362"/>
      <c r="CG213" s="362"/>
      <c r="CH213" s="365"/>
      <c r="CI213" s="365"/>
      <c r="CJ213" s="402"/>
      <c r="CK213" s="362"/>
      <c r="CL213" s="362"/>
      <c r="CM213" s="362"/>
      <c r="CN213" s="362"/>
      <c r="CO213" s="362"/>
      <c r="CP213" s="26"/>
      <c r="CQ213" s="26"/>
      <c r="CR213" s="29"/>
      <c r="CS213" s="10"/>
      <c r="CT213" s="10"/>
      <c r="CU213" s="10"/>
      <c r="CV213" s="26"/>
      <c r="CW213" s="26"/>
      <c r="CX213" s="362"/>
      <c r="CY213" s="362"/>
      <c r="CZ213" s="362"/>
      <c r="DA213" s="365"/>
      <c r="DB213" s="365"/>
      <c r="DC213" s="362"/>
      <c r="DD213" s="365"/>
      <c r="DE213" s="365"/>
    </row>
    <row r="214" spans="1:109" s="8" customFormat="1" ht="48">
      <c r="A214" s="582"/>
      <c r="B214" s="593"/>
      <c r="C214" s="589"/>
      <c r="D214" s="597"/>
      <c r="E214" s="545"/>
      <c r="F214" s="545"/>
      <c r="G214" s="545"/>
      <c r="H214" s="321"/>
      <c r="I214" s="321"/>
      <c r="J214" s="321"/>
      <c r="K214" s="321"/>
      <c r="L214" s="321"/>
      <c r="M214" s="321"/>
      <c r="N214" s="321"/>
      <c r="O214" s="321"/>
      <c r="P214" s="321"/>
      <c r="Q214" s="321"/>
      <c r="R214" s="321"/>
      <c r="S214" s="321"/>
      <c r="T214" s="321"/>
      <c r="U214" s="321"/>
      <c r="V214" s="321"/>
      <c r="W214" s="321"/>
      <c r="X214" s="321"/>
      <c r="Y214" s="321"/>
      <c r="Z214" s="321"/>
      <c r="AA214" s="321"/>
      <c r="AB214" s="321"/>
      <c r="AC214" s="321"/>
      <c r="AD214" s="321"/>
      <c r="AE214" s="321"/>
      <c r="AF214" s="321"/>
      <c r="AG214" s="321"/>
      <c r="AH214" s="321"/>
      <c r="AI214" s="321"/>
      <c r="AJ214" s="398"/>
      <c r="AK214" s="398"/>
      <c r="AL214" s="13" t="s">
        <v>212</v>
      </c>
      <c r="AM214" s="188">
        <v>41548</v>
      </c>
      <c r="AN214" s="188">
        <v>41607</v>
      </c>
      <c r="AO214" s="636"/>
      <c r="AP214" s="387"/>
      <c r="AQ214" s="387"/>
      <c r="AR214" s="636"/>
      <c r="AS214" s="387"/>
      <c r="AT214" s="387"/>
      <c r="AU214" s="636"/>
      <c r="AV214" s="387"/>
      <c r="AW214" s="387"/>
      <c r="AX214" s="285"/>
      <c r="AY214" s="285"/>
      <c r="AZ214" s="285"/>
      <c r="BA214" s="285"/>
      <c r="BB214" s="285"/>
      <c r="BC214" s="285"/>
      <c r="BD214" s="285"/>
      <c r="BE214" s="285"/>
      <c r="BF214" s="285"/>
      <c r="BG214" s="285"/>
      <c r="BH214" s="285"/>
      <c r="BI214" s="285"/>
      <c r="BJ214" s="285"/>
      <c r="BK214" s="285"/>
      <c r="BL214" s="285"/>
      <c r="BM214" s="321"/>
      <c r="BN214" s="321"/>
      <c r="BO214" s="361"/>
      <c r="BP214" s="361"/>
      <c r="BQ214" s="361"/>
      <c r="BR214" s="361"/>
      <c r="BS214" s="361"/>
      <c r="BT214" s="361"/>
      <c r="BU214" s="361"/>
      <c r="BV214" s="361"/>
      <c r="BW214" s="361"/>
      <c r="BX214" s="361"/>
      <c r="BY214" s="361"/>
      <c r="BZ214" s="361"/>
      <c r="CA214" s="361"/>
      <c r="CB214" s="361"/>
      <c r="CC214" s="361"/>
      <c r="CD214" s="361"/>
      <c r="CE214" s="361"/>
      <c r="CF214" s="361"/>
      <c r="CG214" s="361"/>
      <c r="CH214" s="366"/>
      <c r="CI214" s="366"/>
      <c r="CJ214" s="403"/>
      <c r="CK214" s="361"/>
      <c r="CL214" s="361"/>
      <c r="CM214" s="361"/>
      <c r="CN214" s="361"/>
      <c r="CO214" s="361"/>
      <c r="CP214" s="26"/>
      <c r="CQ214" s="26"/>
      <c r="CR214" s="29"/>
      <c r="CS214" s="10"/>
      <c r="CT214" s="10"/>
      <c r="CU214" s="10"/>
      <c r="CV214" s="26"/>
      <c r="CW214" s="26"/>
      <c r="CX214" s="361"/>
      <c r="CY214" s="361"/>
      <c r="CZ214" s="361"/>
      <c r="DA214" s="366"/>
      <c r="DB214" s="366"/>
      <c r="DC214" s="361"/>
      <c r="DD214" s="366"/>
      <c r="DE214" s="366"/>
    </row>
    <row r="215" spans="1:109" s="8" customFormat="1" ht="66" customHeight="1">
      <c r="A215" s="582"/>
      <c r="B215" s="593"/>
      <c r="C215" s="589"/>
      <c r="D215" s="595" t="s">
        <v>486</v>
      </c>
      <c r="E215" s="545">
        <v>2</v>
      </c>
      <c r="F215" s="545">
        <v>2</v>
      </c>
      <c r="G215" s="545">
        <v>2</v>
      </c>
      <c r="H215" s="321"/>
      <c r="I215" s="321"/>
      <c r="J215" s="321"/>
      <c r="K215" s="321"/>
      <c r="L215" s="321"/>
      <c r="M215" s="321"/>
      <c r="N215" s="321"/>
      <c r="O215" s="321"/>
      <c r="P215" s="321"/>
      <c r="Q215" s="321"/>
      <c r="R215" s="321"/>
      <c r="S215" s="321"/>
      <c r="T215" s="321"/>
      <c r="U215" s="321"/>
      <c r="V215" s="321"/>
      <c r="W215" s="321"/>
      <c r="X215" s="321"/>
      <c r="Y215" s="321"/>
      <c r="Z215" s="321"/>
      <c r="AA215" s="321"/>
      <c r="AB215" s="321"/>
      <c r="AC215" s="321"/>
      <c r="AD215" s="321"/>
      <c r="AE215" s="321"/>
      <c r="AF215" s="321"/>
      <c r="AG215" s="321"/>
      <c r="AH215" s="321"/>
      <c r="AI215" s="321"/>
      <c r="AJ215" s="397" t="s">
        <v>27</v>
      </c>
      <c r="AK215" s="397" t="s">
        <v>202</v>
      </c>
      <c r="AL215" s="13" t="s">
        <v>426</v>
      </c>
      <c r="AM215" s="188">
        <v>41456</v>
      </c>
      <c r="AN215" s="188">
        <v>41607</v>
      </c>
      <c r="AO215" s="386">
        <v>92860500</v>
      </c>
      <c r="AP215" s="386">
        <v>0</v>
      </c>
      <c r="AQ215" s="386">
        <f>AO215-AP215</f>
        <v>92860500</v>
      </c>
      <c r="AR215" s="386">
        <v>92860500</v>
      </c>
      <c r="AS215" s="386">
        <v>2015472</v>
      </c>
      <c r="AT215" s="386">
        <f>AR215-AS215</f>
        <v>90845028</v>
      </c>
      <c r="AU215" s="386"/>
      <c r="AV215" s="386">
        <v>0</v>
      </c>
      <c r="AW215" s="386">
        <f>AU215-AV215</f>
        <v>0</v>
      </c>
      <c r="AX215" s="285"/>
      <c r="AY215" s="285"/>
      <c r="AZ215" s="285"/>
      <c r="BA215" s="285"/>
      <c r="BB215" s="285"/>
      <c r="BC215" s="285"/>
      <c r="BD215" s="285"/>
      <c r="BE215" s="285"/>
      <c r="BF215" s="285"/>
      <c r="BG215" s="285"/>
      <c r="BH215" s="285"/>
      <c r="BI215" s="285"/>
      <c r="BJ215" s="285"/>
      <c r="BK215" s="285"/>
      <c r="BL215" s="285"/>
      <c r="BM215" s="321"/>
      <c r="BN215" s="321"/>
      <c r="BO215" s="360"/>
      <c r="BP215" s="360"/>
      <c r="BQ215" s="360"/>
      <c r="BR215" s="360"/>
      <c r="BS215" s="360"/>
      <c r="BT215" s="360"/>
      <c r="BU215" s="360">
        <v>180000000</v>
      </c>
      <c r="BV215" s="360">
        <v>50000000</v>
      </c>
      <c r="BW215" s="360"/>
      <c r="BX215" s="360"/>
      <c r="BY215" s="360"/>
      <c r="BZ215" s="360"/>
      <c r="CA215" s="360"/>
      <c r="CB215" s="360"/>
      <c r="CC215" s="360"/>
      <c r="CD215" s="360"/>
      <c r="CE215" s="360"/>
      <c r="CF215" s="360"/>
      <c r="CG215" s="360"/>
      <c r="CH215" s="364">
        <f>SUM(BW215:CG215)</f>
        <v>0</v>
      </c>
      <c r="CI215" s="364">
        <f>CH215+BV215</f>
        <v>50000000</v>
      </c>
      <c r="CJ215" s="401"/>
      <c r="CK215" s="360"/>
      <c r="CL215" s="360"/>
      <c r="CM215" s="360"/>
      <c r="CN215" s="360"/>
      <c r="CO215" s="360"/>
      <c r="CP215" s="26">
        <f>SUM(CK215:CO215)</f>
        <v>0</v>
      </c>
      <c r="CQ215" s="26">
        <f>CP215+CJ215</f>
        <v>0</v>
      </c>
      <c r="CR215" s="29">
        <v>30000000</v>
      </c>
      <c r="CS215" s="10"/>
      <c r="CT215" s="10"/>
      <c r="CU215" s="10"/>
      <c r="CV215" s="26">
        <f>SUM(CS215:CU215)</f>
        <v>0</v>
      </c>
      <c r="CW215" s="26">
        <f>CV215+CR215</f>
        <v>30000000</v>
      </c>
      <c r="CX215" s="360"/>
      <c r="CY215" s="360"/>
      <c r="CZ215" s="360"/>
      <c r="DA215" s="364">
        <f>SUM(CY215:CZ215)</f>
        <v>0</v>
      </c>
      <c r="DB215" s="364">
        <f>DA215+CX215</f>
        <v>0</v>
      </c>
      <c r="DC215" s="360"/>
      <c r="DD215" s="364">
        <f>DB215+CW215+CQ215+CI215+DC215</f>
        <v>80000000</v>
      </c>
      <c r="DE215" s="364"/>
    </row>
    <row r="216" spans="1:109" s="8" customFormat="1" ht="60">
      <c r="A216" s="582"/>
      <c r="B216" s="593"/>
      <c r="C216" s="589"/>
      <c r="D216" s="596"/>
      <c r="E216" s="545"/>
      <c r="F216" s="545"/>
      <c r="G216" s="545"/>
      <c r="H216" s="321"/>
      <c r="I216" s="321"/>
      <c r="J216" s="321"/>
      <c r="K216" s="321"/>
      <c r="L216" s="321"/>
      <c r="M216" s="321"/>
      <c r="N216" s="321"/>
      <c r="O216" s="321"/>
      <c r="P216" s="321"/>
      <c r="Q216" s="321"/>
      <c r="R216" s="321"/>
      <c r="S216" s="321"/>
      <c r="T216" s="321"/>
      <c r="U216" s="321"/>
      <c r="V216" s="321"/>
      <c r="W216" s="321"/>
      <c r="X216" s="321"/>
      <c r="Y216" s="321"/>
      <c r="Z216" s="321"/>
      <c r="AA216" s="321"/>
      <c r="AB216" s="321"/>
      <c r="AC216" s="321"/>
      <c r="AD216" s="321"/>
      <c r="AE216" s="321"/>
      <c r="AF216" s="321"/>
      <c r="AG216" s="321"/>
      <c r="AH216" s="321"/>
      <c r="AI216" s="321"/>
      <c r="AJ216" s="400"/>
      <c r="AK216" s="400"/>
      <c r="AL216" s="13" t="s">
        <v>213</v>
      </c>
      <c r="AM216" s="188">
        <v>41456</v>
      </c>
      <c r="AN216" s="188">
        <v>41607</v>
      </c>
      <c r="AO216" s="633"/>
      <c r="AP216" s="633"/>
      <c r="AQ216" s="633"/>
      <c r="AR216" s="633"/>
      <c r="AS216" s="633"/>
      <c r="AT216" s="633"/>
      <c r="AU216" s="633"/>
      <c r="AV216" s="633"/>
      <c r="AW216" s="633"/>
      <c r="AX216" s="285"/>
      <c r="AY216" s="285"/>
      <c r="AZ216" s="285"/>
      <c r="BA216" s="285"/>
      <c r="BB216" s="285"/>
      <c r="BC216" s="285"/>
      <c r="BD216" s="285"/>
      <c r="BE216" s="285"/>
      <c r="BF216" s="285"/>
      <c r="BG216" s="285"/>
      <c r="BH216" s="285"/>
      <c r="BI216" s="285"/>
      <c r="BJ216" s="285"/>
      <c r="BK216" s="285"/>
      <c r="BL216" s="285"/>
      <c r="BM216" s="321"/>
      <c r="BN216" s="321"/>
      <c r="BO216" s="362"/>
      <c r="BP216" s="362"/>
      <c r="BQ216" s="362"/>
      <c r="BR216" s="362"/>
      <c r="BS216" s="362"/>
      <c r="BT216" s="362"/>
      <c r="BU216" s="362"/>
      <c r="BV216" s="362"/>
      <c r="BW216" s="362"/>
      <c r="BX216" s="362"/>
      <c r="BY216" s="362"/>
      <c r="BZ216" s="362"/>
      <c r="CA216" s="362"/>
      <c r="CB216" s="362"/>
      <c r="CC216" s="362"/>
      <c r="CD216" s="362"/>
      <c r="CE216" s="362"/>
      <c r="CF216" s="362"/>
      <c r="CG216" s="362"/>
      <c r="CH216" s="365"/>
      <c r="CI216" s="365"/>
      <c r="CJ216" s="402"/>
      <c r="CK216" s="362"/>
      <c r="CL216" s="362"/>
      <c r="CM216" s="362"/>
      <c r="CN216" s="362"/>
      <c r="CO216" s="362"/>
      <c r="CP216" s="26"/>
      <c r="CQ216" s="26"/>
      <c r="CR216" s="29"/>
      <c r="CS216" s="10"/>
      <c r="CT216" s="10"/>
      <c r="CU216" s="10"/>
      <c r="CV216" s="26"/>
      <c r="CW216" s="26"/>
      <c r="CX216" s="362"/>
      <c r="CY216" s="362"/>
      <c r="CZ216" s="362"/>
      <c r="DA216" s="365"/>
      <c r="DB216" s="365"/>
      <c r="DC216" s="362"/>
      <c r="DD216" s="365"/>
      <c r="DE216" s="365"/>
    </row>
    <row r="217" spans="1:109" s="8" customFormat="1" ht="48">
      <c r="A217" s="582"/>
      <c r="B217" s="593"/>
      <c r="C217" s="590"/>
      <c r="D217" s="597"/>
      <c r="E217" s="545"/>
      <c r="F217" s="545"/>
      <c r="G217" s="545"/>
      <c r="H217" s="321"/>
      <c r="I217" s="321"/>
      <c r="J217" s="321"/>
      <c r="K217" s="321"/>
      <c r="L217" s="321"/>
      <c r="M217" s="321"/>
      <c r="N217" s="321"/>
      <c r="O217" s="321"/>
      <c r="P217" s="321"/>
      <c r="Q217" s="321"/>
      <c r="R217" s="321"/>
      <c r="S217" s="321"/>
      <c r="T217" s="321"/>
      <c r="U217" s="321"/>
      <c r="V217" s="321"/>
      <c r="W217" s="321"/>
      <c r="X217" s="321"/>
      <c r="Y217" s="321"/>
      <c r="Z217" s="321"/>
      <c r="AA217" s="321"/>
      <c r="AB217" s="321"/>
      <c r="AC217" s="321"/>
      <c r="AD217" s="321"/>
      <c r="AE217" s="321"/>
      <c r="AF217" s="321"/>
      <c r="AG217" s="321"/>
      <c r="AH217" s="321"/>
      <c r="AI217" s="321"/>
      <c r="AJ217" s="400"/>
      <c r="AK217" s="400"/>
      <c r="AL217" s="13" t="s">
        <v>401</v>
      </c>
      <c r="AM217" s="188">
        <v>41548</v>
      </c>
      <c r="AN217" s="188">
        <v>41607</v>
      </c>
      <c r="AO217" s="387"/>
      <c r="AP217" s="387"/>
      <c r="AQ217" s="387"/>
      <c r="AR217" s="387"/>
      <c r="AS217" s="387"/>
      <c r="AT217" s="387"/>
      <c r="AU217" s="387"/>
      <c r="AV217" s="387"/>
      <c r="AW217" s="387"/>
      <c r="AX217" s="285"/>
      <c r="AY217" s="285"/>
      <c r="AZ217" s="285"/>
      <c r="BA217" s="285"/>
      <c r="BB217" s="285"/>
      <c r="BC217" s="285"/>
      <c r="BD217" s="285"/>
      <c r="BE217" s="285"/>
      <c r="BF217" s="285"/>
      <c r="BG217" s="285"/>
      <c r="BH217" s="285"/>
      <c r="BI217" s="285"/>
      <c r="BJ217" s="285"/>
      <c r="BK217" s="285"/>
      <c r="BL217" s="285"/>
      <c r="BM217" s="321"/>
      <c r="BN217" s="321"/>
      <c r="BO217" s="361"/>
      <c r="BP217" s="361"/>
      <c r="BQ217" s="361"/>
      <c r="BR217" s="361"/>
      <c r="BS217" s="361"/>
      <c r="BT217" s="361"/>
      <c r="BU217" s="361"/>
      <c r="BV217" s="361"/>
      <c r="BW217" s="361"/>
      <c r="BX217" s="361"/>
      <c r="BY217" s="361"/>
      <c r="BZ217" s="361"/>
      <c r="CA217" s="361"/>
      <c r="CB217" s="361"/>
      <c r="CC217" s="361"/>
      <c r="CD217" s="361"/>
      <c r="CE217" s="361"/>
      <c r="CF217" s="361"/>
      <c r="CG217" s="361"/>
      <c r="CH217" s="366"/>
      <c r="CI217" s="366"/>
      <c r="CJ217" s="403"/>
      <c r="CK217" s="361"/>
      <c r="CL217" s="361"/>
      <c r="CM217" s="361"/>
      <c r="CN217" s="361"/>
      <c r="CO217" s="361"/>
      <c r="CP217" s="26"/>
      <c r="CQ217" s="26"/>
      <c r="CR217" s="29"/>
      <c r="CS217" s="10"/>
      <c r="CT217" s="10"/>
      <c r="CU217" s="10"/>
      <c r="CV217" s="26"/>
      <c r="CW217" s="26"/>
      <c r="CX217" s="361"/>
      <c r="CY217" s="361"/>
      <c r="CZ217" s="361"/>
      <c r="DA217" s="366"/>
      <c r="DB217" s="366"/>
      <c r="DC217" s="361"/>
      <c r="DD217" s="366"/>
      <c r="DE217" s="366"/>
    </row>
    <row r="218" spans="1:109" s="4" customFormat="1" ht="54.75" customHeight="1">
      <c r="A218" s="582"/>
      <c r="B218" s="593"/>
      <c r="C218" s="598" t="s">
        <v>425</v>
      </c>
      <c r="D218" s="573" t="s">
        <v>487</v>
      </c>
      <c r="E218" s="319"/>
      <c r="F218" s="319">
        <v>2</v>
      </c>
      <c r="G218" s="319">
        <v>1</v>
      </c>
      <c r="H218" s="321"/>
      <c r="I218" s="321"/>
      <c r="J218" s="321"/>
      <c r="K218" s="321"/>
      <c r="L218" s="321"/>
      <c r="M218" s="321"/>
      <c r="N218" s="321"/>
      <c r="O218" s="321"/>
      <c r="P218" s="321"/>
      <c r="Q218" s="321"/>
      <c r="R218" s="321"/>
      <c r="S218" s="321"/>
      <c r="T218" s="321"/>
      <c r="U218" s="321"/>
      <c r="V218" s="321"/>
      <c r="W218" s="321"/>
      <c r="X218" s="321"/>
      <c r="Y218" s="321"/>
      <c r="Z218" s="321"/>
      <c r="AA218" s="321"/>
      <c r="AB218" s="321"/>
      <c r="AC218" s="321"/>
      <c r="AD218" s="321"/>
      <c r="AE218" s="321"/>
      <c r="AF218" s="321"/>
      <c r="AG218" s="321"/>
      <c r="AH218" s="321"/>
      <c r="AI218" s="321"/>
      <c r="AJ218" s="418" t="s">
        <v>101</v>
      </c>
      <c r="AK218" s="325" t="s">
        <v>102</v>
      </c>
      <c r="AL218" s="127" t="s">
        <v>402</v>
      </c>
      <c r="AM218" s="182">
        <v>41414</v>
      </c>
      <c r="AN218" s="182">
        <v>41639</v>
      </c>
      <c r="AO218" s="418">
        <v>519520500</v>
      </c>
      <c r="AP218" s="418">
        <v>142666888</v>
      </c>
      <c r="AQ218" s="418">
        <f>AO218-AP218</f>
        <v>376853612</v>
      </c>
      <c r="AR218" s="418">
        <v>519520500</v>
      </c>
      <c r="AS218" s="418">
        <v>142666888</v>
      </c>
      <c r="AT218" s="418">
        <f>AR218-AS218</f>
        <v>376853612</v>
      </c>
      <c r="AU218" s="418"/>
      <c r="AV218" s="418"/>
      <c r="AW218" s="418">
        <f>AU218-AV218</f>
        <v>0</v>
      </c>
      <c r="AX218" s="246"/>
      <c r="AY218" s="246"/>
      <c r="AZ218" s="246"/>
      <c r="BA218" s="246"/>
      <c r="BB218" s="246"/>
      <c r="BC218" s="246"/>
      <c r="BD218" s="246"/>
      <c r="BE218" s="246"/>
      <c r="BF218" s="246"/>
      <c r="BG218" s="246"/>
      <c r="BH218" s="246"/>
      <c r="BI218" s="246"/>
      <c r="BJ218" s="246"/>
      <c r="BK218" s="246"/>
      <c r="BL218" s="246"/>
      <c r="BM218" s="321">
        <v>919215635</v>
      </c>
      <c r="BN218" s="321">
        <v>0</v>
      </c>
      <c r="BO218" s="360">
        <v>162745588</v>
      </c>
      <c r="BP218" s="360">
        <v>0</v>
      </c>
      <c r="BQ218" s="360">
        <v>115281914</v>
      </c>
      <c r="BR218" s="360">
        <v>0</v>
      </c>
      <c r="BS218" s="360" t="e">
        <f>#REF!+BO218+BQ218</f>
        <v>#REF!</v>
      </c>
      <c r="BT218" s="360">
        <f>BN218+BP218+BR218</f>
        <v>0</v>
      </c>
      <c r="BU218" s="341" t="e">
        <f>BS218+BT218</f>
        <v>#REF!</v>
      </c>
      <c r="BV218" s="341">
        <v>50000000</v>
      </c>
      <c r="BW218" s="341"/>
      <c r="BX218" s="341"/>
      <c r="BY218" s="341"/>
      <c r="BZ218" s="341"/>
      <c r="CA218" s="310"/>
      <c r="CB218" s="310"/>
      <c r="CC218" s="310"/>
      <c r="CD218" s="310"/>
      <c r="CE218" s="310"/>
      <c r="CF218" s="310"/>
      <c r="CG218" s="310"/>
      <c r="CH218" s="310">
        <f>SUM(BW218:CG220)</f>
        <v>0</v>
      </c>
      <c r="CI218" s="310">
        <f>CH218+BV218</f>
        <v>50000000</v>
      </c>
      <c r="CJ218" s="363">
        <v>234000000</v>
      </c>
      <c r="CK218" s="341"/>
      <c r="CL218" s="341"/>
      <c r="CM218" s="341"/>
      <c r="CN218" s="341"/>
      <c r="CO218" s="341"/>
      <c r="CP218" s="310">
        <f>SUM(CK218:CO220)</f>
        <v>0</v>
      </c>
      <c r="CQ218" s="310">
        <f>CP218+CJ218</f>
        <v>234000000</v>
      </c>
      <c r="CR218" s="341">
        <v>60000000</v>
      </c>
      <c r="CS218" s="341"/>
      <c r="CT218" s="341"/>
      <c r="CU218" s="341"/>
      <c r="CV218" s="310">
        <f>SUM(CS218:CU220)</f>
        <v>0</v>
      </c>
      <c r="CW218" s="310">
        <f>CV218+CR218</f>
        <v>60000000</v>
      </c>
      <c r="CX218" s="341"/>
      <c r="CY218" s="341"/>
      <c r="CZ218" s="341"/>
      <c r="DA218" s="310">
        <f>SUM(CY218:CZ220)</f>
        <v>0</v>
      </c>
      <c r="DB218" s="310">
        <f>DA218+CX218</f>
        <v>0</v>
      </c>
      <c r="DC218" s="341"/>
      <c r="DD218" s="310">
        <f>DB218+CW218+CQ218+CI218+DC218</f>
        <v>344000000</v>
      </c>
      <c r="DE218" s="310"/>
    </row>
    <row r="219" spans="1:109" s="4" customFormat="1" ht="48">
      <c r="A219" s="582"/>
      <c r="B219" s="593"/>
      <c r="C219" s="599"/>
      <c r="D219" s="584"/>
      <c r="E219" s="319"/>
      <c r="F219" s="319"/>
      <c r="G219" s="319"/>
      <c r="H219" s="321"/>
      <c r="I219" s="321"/>
      <c r="J219" s="321"/>
      <c r="K219" s="321"/>
      <c r="L219" s="321"/>
      <c r="M219" s="321"/>
      <c r="N219" s="321"/>
      <c r="O219" s="321"/>
      <c r="P219" s="321"/>
      <c r="Q219" s="321"/>
      <c r="R219" s="321"/>
      <c r="S219" s="321"/>
      <c r="T219" s="321"/>
      <c r="U219" s="321"/>
      <c r="V219" s="321"/>
      <c r="W219" s="321"/>
      <c r="X219" s="321"/>
      <c r="Y219" s="321"/>
      <c r="Z219" s="321"/>
      <c r="AA219" s="321"/>
      <c r="AB219" s="321"/>
      <c r="AC219" s="321"/>
      <c r="AD219" s="321"/>
      <c r="AE219" s="321"/>
      <c r="AF219" s="321"/>
      <c r="AG219" s="321"/>
      <c r="AH219" s="321"/>
      <c r="AI219" s="321"/>
      <c r="AJ219" s="419"/>
      <c r="AK219" s="326"/>
      <c r="AL219" s="127" t="s">
        <v>403</v>
      </c>
      <c r="AM219" s="182">
        <v>41414</v>
      </c>
      <c r="AN219" s="182">
        <v>41607</v>
      </c>
      <c r="AO219" s="419"/>
      <c r="AP219" s="419"/>
      <c r="AQ219" s="419"/>
      <c r="AR219" s="419"/>
      <c r="AS219" s="419"/>
      <c r="AT219" s="419"/>
      <c r="AU219" s="419"/>
      <c r="AV219" s="419"/>
      <c r="AW219" s="419"/>
      <c r="AX219" s="246"/>
      <c r="AY219" s="246"/>
      <c r="AZ219" s="246"/>
      <c r="BA219" s="246"/>
      <c r="BB219" s="246"/>
      <c r="BC219" s="246"/>
      <c r="BD219" s="246"/>
      <c r="BE219" s="246"/>
      <c r="BF219" s="246"/>
      <c r="BG219" s="246"/>
      <c r="BH219" s="246"/>
      <c r="BI219" s="246"/>
      <c r="BJ219" s="246"/>
      <c r="BK219" s="246"/>
      <c r="BL219" s="246"/>
      <c r="BM219" s="321"/>
      <c r="BN219" s="321"/>
      <c r="BO219" s="362"/>
      <c r="BP219" s="362"/>
      <c r="BQ219" s="362"/>
      <c r="BR219" s="362"/>
      <c r="BS219" s="362"/>
      <c r="BT219" s="362"/>
      <c r="BU219" s="341"/>
      <c r="BV219" s="341"/>
      <c r="BW219" s="341"/>
      <c r="BX219" s="341"/>
      <c r="BY219" s="341"/>
      <c r="BZ219" s="341"/>
      <c r="CA219" s="310"/>
      <c r="CB219" s="310"/>
      <c r="CC219" s="310"/>
      <c r="CD219" s="310"/>
      <c r="CE219" s="310"/>
      <c r="CF219" s="310"/>
      <c r="CG219" s="310"/>
      <c r="CH219" s="310"/>
      <c r="CI219" s="310"/>
      <c r="CJ219" s="363"/>
      <c r="CK219" s="341"/>
      <c r="CL219" s="341"/>
      <c r="CM219" s="341"/>
      <c r="CN219" s="341"/>
      <c r="CO219" s="341"/>
      <c r="CP219" s="310"/>
      <c r="CQ219" s="310"/>
      <c r="CR219" s="341"/>
      <c r="CS219" s="341"/>
      <c r="CT219" s="341"/>
      <c r="CU219" s="341"/>
      <c r="CV219" s="310"/>
      <c r="CW219" s="310"/>
      <c r="CX219" s="341"/>
      <c r="CY219" s="341"/>
      <c r="CZ219" s="341"/>
      <c r="DA219" s="310"/>
      <c r="DB219" s="310"/>
      <c r="DC219" s="341"/>
      <c r="DD219" s="310"/>
      <c r="DE219" s="310"/>
    </row>
    <row r="220" spans="1:109" s="4" customFormat="1" ht="24">
      <c r="A220" s="582"/>
      <c r="B220" s="593"/>
      <c r="C220" s="599"/>
      <c r="D220" s="584"/>
      <c r="E220" s="319"/>
      <c r="F220" s="319"/>
      <c r="G220" s="319"/>
      <c r="H220" s="321"/>
      <c r="I220" s="321"/>
      <c r="J220" s="321"/>
      <c r="K220" s="321"/>
      <c r="L220" s="321"/>
      <c r="M220" s="321"/>
      <c r="N220" s="321"/>
      <c r="O220" s="321"/>
      <c r="P220" s="321"/>
      <c r="Q220" s="321"/>
      <c r="R220" s="321"/>
      <c r="S220" s="321"/>
      <c r="T220" s="321"/>
      <c r="U220" s="321"/>
      <c r="V220" s="321"/>
      <c r="W220" s="321"/>
      <c r="X220" s="321"/>
      <c r="Y220" s="321"/>
      <c r="Z220" s="321"/>
      <c r="AA220" s="321"/>
      <c r="AB220" s="321"/>
      <c r="AC220" s="321"/>
      <c r="AD220" s="321"/>
      <c r="AE220" s="321"/>
      <c r="AF220" s="321"/>
      <c r="AG220" s="321"/>
      <c r="AH220" s="321"/>
      <c r="AI220" s="321"/>
      <c r="AJ220" s="419"/>
      <c r="AK220" s="326"/>
      <c r="AL220" s="127" t="s">
        <v>404</v>
      </c>
      <c r="AM220" s="182">
        <v>41487</v>
      </c>
      <c r="AN220" s="182">
        <v>41639</v>
      </c>
      <c r="AO220" s="419"/>
      <c r="AP220" s="419"/>
      <c r="AQ220" s="419"/>
      <c r="AR220" s="419"/>
      <c r="AS220" s="419"/>
      <c r="AT220" s="419"/>
      <c r="AU220" s="419"/>
      <c r="AV220" s="419"/>
      <c r="AW220" s="419"/>
      <c r="AX220" s="246"/>
      <c r="AY220" s="246"/>
      <c r="AZ220" s="246"/>
      <c r="BA220" s="246"/>
      <c r="BB220" s="246"/>
      <c r="BC220" s="246"/>
      <c r="BD220" s="246"/>
      <c r="BE220" s="246"/>
      <c r="BF220" s="246"/>
      <c r="BG220" s="246"/>
      <c r="BH220" s="246"/>
      <c r="BI220" s="246"/>
      <c r="BJ220" s="246"/>
      <c r="BK220" s="246"/>
      <c r="BL220" s="246"/>
      <c r="BM220" s="321"/>
      <c r="BN220" s="321"/>
      <c r="BO220" s="361"/>
      <c r="BP220" s="361"/>
      <c r="BQ220" s="361"/>
      <c r="BR220" s="361"/>
      <c r="BS220" s="361"/>
      <c r="BT220" s="361"/>
      <c r="BU220" s="341"/>
      <c r="BV220" s="341"/>
      <c r="BW220" s="341"/>
      <c r="BX220" s="341"/>
      <c r="BY220" s="341"/>
      <c r="BZ220" s="341"/>
      <c r="CA220" s="310"/>
      <c r="CB220" s="310"/>
      <c r="CC220" s="310"/>
      <c r="CD220" s="310"/>
      <c r="CE220" s="310"/>
      <c r="CF220" s="310"/>
      <c r="CG220" s="310"/>
      <c r="CH220" s="310"/>
      <c r="CI220" s="310"/>
      <c r="CJ220" s="363"/>
      <c r="CK220" s="341"/>
      <c r="CL220" s="341"/>
      <c r="CM220" s="341"/>
      <c r="CN220" s="341"/>
      <c r="CO220" s="341"/>
      <c r="CP220" s="310"/>
      <c r="CQ220" s="310"/>
      <c r="CR220" s="341"/>
      <c r="CS220" s="341"/>
      <c r="CT220" s="341"/>
      <c r="CU220" s="341"/>
      <c r="CV220" s="310"/>
      <c r="CW220" s="310"/>
      <c r="CX220" s="341"/>
      <c r="CY220" s="341"/>
      <c r="CZ220" s="341"/>
      <c r="DA220" s="310"/>
      <c r="DB220" s="310"/>
      <c r="DC220" s="341"/>
      <c r="DD220" s="310"/>
      <c r="DE220" s="310"/>
    </row>
    <row r="221" spans="1:109" s="4" customFormat="1" ht="36">
      <c r="A221" s="582"/>
      <c r="B221" s="593"/>
      <c r="C221" s="599"/>
      <c r="D221" s="574"/>
      <c r="E221" s="319"/>
      <c r="F221" s="319"/>
      <c r="G221" s="319"/>
      <c r="H221" s="321"/>
      <c r="I221" s="321"/>
      <c r="J221" s="321"/>
      <c r="K221" s="321"/>
      <c r="L221" s="321"/>
      <c r="M221" s="321"/>
      <c r="N221" s="321"/>
      <c r="O221" s="321"/>
      <c r="P221" s="321"/>
      <c r="Q221" s="321"/>
      <c r="R221" s="321"/>
      <c r="S221" s="321"/>
      <c r="T221" s="321"/>
      <c r="U221" s="321"/>
      <c r="V221" s="321"/>
      <c r="W221" s="321"/>
      <c r="X221" s="321"/>
      <c r="Y221" s="321"/>
      <c r="Z221" s="321"/>
      <c r="AA221" s="321"/>
      <c r="AB221" s="321"/>
      <c r="AC221" s="321"/>
      <c r="AD221" s="321"/>
      <c r="AE221" s="321"/>
      <c r="AF221" s="321"/>
      <c r="AG221" s="321"/>
      <c r="AH221" s="321"/>
      <c r="AI221" s="321"/>
      <c r="AJ221" s="420"/>
      <c r="AK221" s="327"/>
      <c r="AL221" s="127" t="s">
        <v>405</v>
      </c>
      <c r="AM221" s="182">
        <v>41673</v>
      </c>
      <c r="AN221" s="182">
        <v>42338</v>
      </c>
      <c r="AO221" s="420"/>
      <c r="AP221" s="420"/>
      <c r="AQ221" s="420"/>
      <c r="AR221" s="420"/>
      <c r="AS221" s="420"/>
      <c r="AT221" s="420"/>
      <c r="AU221" s="420"/>
      <c r="AV221" s="420"/>
      <c r="AW221" s="420"/>
      <c r="AX221" s="246"/>
      <c r="AY221" s="246"/>
      <c r="AZ221" s="246"/>
      <c r="BA221" s="246"/>
      <c r="BB221" s="246"/>
      <c r="BC221" s="246"/>
      <c r="BD221" s="246"/>
      <c r="BE221" s="246"/>
      <c r="BF221" s="246"/>
      <c r="BG221" s="246"/>
      <c r="BH221" s="246"/>
      <c r="BI221" s="246"/>
      <c r="BJ221" s="246"/>
      <c r="BK221" s="246"/>
      <c r="BL221" s="246"/>
      <c r="BM221" s="321"/>
      <c r="BN221" s="71"/>
      <c r="BO221" s="117"/>
      <c r="BP221" s="117"/>
      <c r="BQ221" s="117"/>
      <c r="BR221" s="117"/>
      <c r="BS221" s="117"/>
      <c r="BT221" s="117"/>
      <c r="BU221" s="29"/>
      <c r="BV221" s="29"/>
      <c r="BW221" s="29"/>
      <c r="BX221" s="29"/>
      <c r="BY221" s="29"/>
      <c r="BZ221" s="29"/>
      <c r="CA221" s="26"/>
      <c r="CB221" s="26"/>
      <c r="CC221" s="26"/>
      <c r="CD221" s="26"/>
      <c r="CE221" s="26"/>
      <c r="CF221" s="26"/>
      <c r="CG221" s="26"/>
      <c r="CH221" s="26"/>
      <c r="CI221" s="26"/>
      <c r="CJ221" s="177"/>
      <c r="CK221" s="29"/>
      <c r="CL221" s="29"/>
      <c r="CM221" s="29"/>
      <c r="CN221" s="29"/>
      <c r="CO221" s="29"/>
      <c r="CP221" s="26"/>
      <c r="CQ221" s="26"/>
      <c r="CR221" s="29"/>
      <c r="CS221" s="29"/>
      <c r="CT221" s="29"/>
      <c r="CU221" s="29"/>
      <c r="CV221" s="26"/>
      <c r="CW221" s="26"/>
      <c r="CX221" s="29"/>
      <c r="CY221" s="29"/>
      <c r="CZ221" s="29"/>
      <c r="DA221" s="26"/>
      <c r="DB221" s="26"/>
      <c r="DC221" s="29"/>
      <c r="DD221" s="26"/>
      <c r="DE221" s="26"/>
    </row>
    <row r="222" spans="1:109" s="4" customFormat="1" ht="110.1" customHeight="1">
      <c r="A222" s="582"/>
      <c r="B222" s="593"/>
      <c r="C222" s="599"/>
      <c r="D222" s="573" t="s">
        <v>419</v>
      </c>
      <c r="E222" s="319"/>
      <c r="F222" s="319">
        <v>3</v>
      </c>
      <c r="G222" s="319">
        <v>3</v>
      </c>
      <c r="H222" s="321"/>
      <c r="I222" s="321"/>
      <c r="J222" s="321"/>
      <c r="K222" s="321"/>
      <c r="L222" s="321"/>
      <c r="M222" s="321"/>
      <c r="N222" s="321"/>
      <c r="O222" s="321"/>
      <c r="P222" s="321"/>
      <c r="Q222" s="321"/>
      <c r="R222" s="321"/>
      <c r="S222" s="321"/>
      <c r="T222" s="321"/>
      <c r="U222" s="321"/>
      <c r="V222" s="321"/>
      <c r="W222" s="321"/>
      <c r="X222" s="321"/>
      <c r="Y222" s="321"/>
      <c r="Z222" s="321"/>
      <c r="AA222" s="321"/>
      <c r="AB222" s="321"/>
      <c r="AC222" s="321"/>
      <c r="AD222" s="321"/>
      <c r="AE222" s="321"/>
      <c r="AF222" s="321"/>
      <c r="AG222" s="321"/>
      <c r="AH222" s="321"/>
      <c r="AI222" s="321"/>
      <c r="AJ222" s="325" t="s">
        <v>101</v>
      </c>
      <c r="AK222" s="325" t="s">
        <v>119</v>
      </c>
      <c r="AL222" s="127" t="s">
        <v>406</v>
      </c>
      <c r="AM222" s="182">
        <v>41414</v>
      </c>
      <c r="AN222" s="182">
        <v>41639</v>
      </c>
      <c r="AO222" s="418">
        <v>15494500</v>
      </c>
      <c r="AP222" s="418">
        <v>0</v>
      </c>
      <c r="AQ222" s="418">
        <f>AO222-AP222</f>
        <v>15494500</v>
      </c>
      <c r="AR222" s="418">
        <v>15494500</v>
      </c>
      <c r="AS222" s="418">
        <v>0</v>
      </c>
      <c r="AT222" s="418">
        <f>AR222-AS222</f>
        <v>15494500</v>
      </c>
      <c r="AU222" s="418"/>
      <c r="AV222" s="418"/>
      <c r="AW222" s="418">
        <f>AU222-AV222</f>
        <v>0</v>
      </c>
      <c r="AX222" s="246"/>
      <c r="AY222" s="246"/>
      <c r="AZ222" s="246"/>
      <c r="BA222" s="246"/>
      <c r="BB222" s="246"/>
      <c r="BC222" s="246"/>
      <c r="BD222" s="246"/>
      <c r="BE222" s="246"/>
      <c r="BF222" s="246"/>
      <c r="BG222" s="246"/>
      <c r="BH222" s="246"/>
      <c r="BI222" s="246"/>
      <c r="BJ222" s="246"/>
      <c r="BK222" s="246"/>
      <c r="BL222" s="246"/>
      <c r="BM222" s="321"/>
      <c r="BN222" s="321">
        <v>0</v>
      </c>
      <c r="BO222" s="360">
        <v>90919860</v>
      </c>
      <c r="BP222" s="360">
        <v>0</v>
      </c>
      <c r="BQ222" s="360">
        <v>87484943</v>
      </c>
      <c r="BR222" s="360">
        <v>0</v>
      </c>
      <c r="BS222" s="360">
        <f>BM222+BO222+BQ222</f>
        <v>178404803</v>
      </c>
      <c r="BT222" s="360">
        <f>BN222+BP222+BR222</f>
        <v>0</v>
      </c>
      <c r="BU222" s="341">
        <f>BS222+BT222</f>
        <v>178404803</v>
      </c>
      <c r="BV222" s="341">
        <v>30000000</v>
      </c>
      <c r="BW222" s="341"/>
      <c r="BX222" s="341"/>
      <c r="BY222" s="341"/>
      <c r="BZ222" s="341"/>
      <c r="CA222" s="310"/>
      <c r="CB222" s="310"/>
      <c r="CC222" s="310"/>
      <c r="CD222" s="310"/>
      <c r="CE222" s="310"/>
      <c r="CF222" s="310"/>
      <c r="CG222" s="310"/>
      <c r="CH222" s="310">
        <f>SUM(BW222:CG223)</f>
        <v>0</v>
      </c>
      <c r="CI222" s="310">
        <f>CH222+BV222</f>
        <v>30000000</v>
      </c>
      <c r="CJ222" s="363"/>
      <c r="CK222" s="341"/>
      <c r="CL222" s="341"/>
      <c r="CM222" s="341"/>
      <c r="CN222" s="341"/>
      <c r="CO222" s="341"/>
      <c r="CP222" s="310">
        <f>SUM(CK222:CO223)</f>
        <v>0</v>
      </c>
      <c r="CQ222" s="310">
        <f>CP222+CJ222</f>
        <v>0</v>
      </c>
      <c r="CR222" s="341">
        <v>9000000</v>
      </c>
      <c r="CS222" s="341"/>
      <c r="CT222" s="341"/>
      <c r="CU222" s="341"/>
      <c r="CV222" s="310">
        <f>SUM(CS222:CU223)</f>
        <v>0</v>
      </c>
      <c r="CW222" s="310">
        <f>CV222+CR222</f>
        <v>9000000</v>
      </c>
      <c r="CX222" s="341"/>
      <c r="CY222" s="341"/>
      <c r="CZ222" s="341"/>
      <c r="DA222" s="310">
        <f>SUM(CY222:CZ223)</f>
        <v>0</v>
      </c>
      <c r="DB222" s="310">
        <f>DA222+CX222</f>
        <v>0</v>
      </c>
      <c r="DC222" s="341"/>
      <c r="DD222" s="310">
        <f>DB222+CW222+CQ222+CI222+DC222</f>
        <v>39000000</v>
      </c>
      <c r="DE222" s="310"/>
    </row>
    <row r="223" spans="1:109" s="4" customFormat="1" ht="108">
      <c r="A223" s="582"/>
      <c r="B223" s="593"/>
      <c r="C223" s="599"/>
      <c r="D223" s="584"/>
      <c r="E223" s="319"/>
      <c r="F223" s="319"/>
      <c r="G223" s="319"/>
      <c r="H223" s="321"/>
      <c r="I223" s="321"/>
      <c r="J223" s="321"/>
      <c r="K223" s="321"/>
      <c r="L223" s="321"/>
      <c r="M223" s="321"/>
      <c r="N223" s="321"/>
      <c r="O223" s="321"/>
      <c r="P223" s="321"/>
      <c r="Q223" s="321"/>
      <c r="R223" s="321"/>
      <c r="S223" s="321"/>
      <c r="T223" s="321"/>
      <c r="U223" s="321"/>
      <c r="V223" s="321"/>
      <c r="W223" s="321"/>
      <c r="X223" s="321"/>
      <c r="Y223" s="321"/>
      <c r="Z223" s="321"/>
      <c r="AA223" s="321"/>
      <c r="AB223" s="321"/>
      <c r="AC223" s="321"/>
      <c r="AD223" s="321"/>
      <c r="AE223" s="321"/>
      <c r="AF223" s="321"/>
      <c r="AG223" s="321"/>
      <c r="AH223" s="321"/>
      <c r="AI223" s="321"/>
      <c r="AJ223" s="326"/>
      <c r="AK223" s="326"/>
      <c r="AL223" s="127" t="s">
        <v>407</v>
      </c>
      <c r="AM223" s="182">
        <v>41640</v>
      </c>
      <c r="AN223" s="182">
        <v>42004</v>
      </c>
      <c r="AO223" s="419"/>
      <c r="AP223" s="419"/>
      <c r="AQ223" s="419"/>
      <c r="AR223" s="419"/>
      <c r="AS223" s="419"/>
      <c r="AT223" s="419"/>
      <c r="AU223" s="419"/>
      <c r="AV223" s="419"/>
      <c r="AW223" s="419"/>
      <c r="AX223" s="246"/>
      <c r="AY223" s="246"/>
      <c r="AZ223" s="246"/>
      <c r="BA223" s="246"/>
      <c r="BB223" s="246"/>
      <c r="BC223" s="246"/>
      <c r="BD223" s="246"/>
      <c r="BE223" s="246"/>
      <c r="BF223" s="246"/>
      <c r="BG223" s="246"/>
      <c r="BH223" s="246"/>
      <c r="BI223" s="246"/>
      <c r="BJ223" s="246"/>
      <c r="BK223" s="246"/>
      <c r="BL223" s="246"/>
      <c r="BM223" s="321"/>
      <c r="BN223" s="321"/>
      <c r="BO223" s="361"/>
      <c r="BP223" s="361"/>
      <c r="BQ223" s="361"/>
      <c r="BR223" s="361"/>
      <c r="BS223" s="361"/>
      <c r="BT223" s="361"/>
      <c r="BU223" s="341"/>
      <c r="BV223" s="341"/>
      <c r="BW223" s="341"/>
      <c r="BX223" s="341"/>
      <c r="BY223" s="341"/>
      <c r="BZ223" s="341"/>
      <c r="CA223" s="310"/>
      <c r="CB223" s="310"/>
      <c r="CC223" s="310"/>
      <c r="CD223" s="310"/>
      <c r="CE223" s="310"/>
      <c r="CF223" s="310"/>
      <c r="CG223" s="310"/>
      <c r="CH223" s="310"/>
      <c r="CI223" s="310"/>
      <c r="CJ223" s="363"/>
      <c r="CK223" s="341"/>
      <c r="CL223" s="341"/>
      <c r="CM223" s="341"/>
      <c r="CN223" s="341"/>
      <c r="CO223" s="341"/>
      <c r="CP223" s="310"/>
      <c r="CQ223" s="310"/>
      <c r="CR223" s="341"/>
      <c r="CS223" s="341"/>
      <c r="CT223" s="341"/>
      <c r="CU223" s="341"/>
      <c r="CV223" s="310"/>
      <c r="CW223" s="310"/>
      <c r="CX223" s="341"/>
      <c r="CY223" s="341"/>
      <c r="CZ223" s="341"/>
      <c r="DA223" s="310"/>
      <c r="DB223" s="310"/>
      <c r="DC223" s="341"/>
      <c r="DD223" s="310"/>
      <c r="DE223" s="310"/>
    </row>
    <row r="224" spans="1:109" s="4" customFormat="1" ht="60">
      <c r="A224" s="582"/>
      <c r="B224" s="593"/>
      <c r="C224" s="599"/>
      <c r="D224" s="574"/>
      <c r="E224" s="319"/>
      <c r="F224" s="319"/>
      <c r="G224" s="319"/>
      <c r="H224" s="321"/>
      <c r="I224" s="321"/>
      <c r="J224" s="321"/>
      <c r="K224" s="321"/>
      <c r="L224" s="321"/>
      <c r="M224" s="321"/>
      <c r="N224" s="321"/>
      <c r="O224" s="321"/>
      <c r="P224" s="321"/>
      <c r="Q224" s="321"/>
      <c r="R224" s="321"/>
      <c r="S224" s="321"/>
      <c r="T224" s="321"/>
      <c r="U224" s="321"/>
      <c r="V224" s="321"/>
      <c r="W224" s="321"/>
      <c r="X224" s="321"/>
      <c r="Y224" s="321"/>
      <c r="Z224" s="321"/>
      <c r="AA224" s="321"/>
      <c r="AB224" s="321"/>
      <c r="AC224" s="321"/>
      <c r="AD224" s="321"/>
      <c r="AE224" s="321"/>
      <c r="AF224" s="321"/>
      <c r="AG224" s="321"/>
      <c r="AH224" s="321"/>
      <c r="AI224" s="321"/>
      <c r="AJ224" s="327"/>
      <c r="AK224" s="327"/>
      <c r="AL224" s="127" t="s">
        <v>408</v>
      </c>
      <c r="AM224" s="182">
        <v>41640</v>
      </c>
      <c r="AN224" s="182">
        <v>41971</v>
      </c>
      <c r="AO224" s="420"/>
      <c r="AP224" s="420"/>
      <c r="AQ224" s="420"/>
      <c r="AR224" s="420"/>
      <c r="AS224" s="420"/>
      <c r="AT224" s="420"/>
      <c r="AU224" s="420"/>
      <c r="AV224" s="420"/>
      <c r="AW224" s="420"/>
      <c r="AX224" s="246"/>
      <c r="AY224" s="246"/>
      <c r="AZ224" s="246"/>
      <c r="BA224" s="246"/>
      <c r="BB224" s="246"/>
      <c r="BC224" s="246"/>
      <c r="BD224" s="246"/>
      <c r="BE224" s="246"/>
      <c r="BF224" s="246"/>
      <c r="BG224" s="246"/>
      <c r="BH224" s="246"/>
      <c r="BI224" s="246"/>
      <c r="BJ224" s="246"/>
      <c r="BK224" s="246"/>
      <c r="BL224" s="246"/>
      <c r="BM224" s="321"/>
      <c r="BN224" s="71"/>
      <c r="BO224" s="117"/>
      <c r="BP224" s="117"/>
      <c r="BQ224" s="117"/>
      <c r="BR224" s="117"/>
      <c r="BS224" s="117"/>
      <c r="BT224" s="117"/>
      <c r="BU224" s="29"/>
      <c r="BV224" s="29"/>
      <c r="BW224" s="29"/>
      <c r="BX224" s="29"/>
      <c r="BY224" s="29"/>
      <c r="BZ224" s="29"/>
      <c r="CA224" s="26"/>
      <c r="CB224" s="26"/>
      <c r="CC224" s="26"/>
      <c r="CD224" s="26"/>
      <c r="CE224" s="26"/>
      <c r="CF224" s="26"/>
      <c r="CG224" s="26"/>
      <c r="CH224" s="26"/>
      <c r="CI224" s="26"/>
      <c r="CJ224" s="177"/>
      <c r="CK224" s="29"/>
      <c r="CL224" s="29"/>
      <c r="CM224" s="29"/>
      <c r="CN224" s="29"/>
      <c r="CO224" s="29"/>
      <c r="CP224" s="26"/>
      <c r="CQ224" s="26"/>
      <c r="CR224" s="29"/>
      <c r="CS224" s="29"/>
      <c r="CT224" s="29"/>
      <c r="CU224" s="29"/>
      <c r="CV224" s="26"/>
      <c r="CW224" s="26"/>
      <c r="CX224" s="29"/>
      <c r="CY224" s="29"/>
      <c r="CZ224" s="29"/>
      <c r="DA224" s="26"/>
      <c r="DB224" s="26"/>
      <c r="DC224" s="29"/>
      <c r="DD224" s="26"/>
      <c r="DE224" s="26"/>
    </row>
    <row r="225" spans="1:109" s="4" customFormat="1" ht="21.75" customHeight="1">
      <c r="A225" s="582"/>
      <c r="B225" s="593"/>
      <c r="C225" s="599"/>
      <c r="D225" s="573" t="s">
        <v>654</v>
      </c>
      <c r="E225" s="319"/>
      <c r="F225" s="319">
        <v>1</v>
      </c>
      <c r="G225" s="319"/>
      <c r="H225" s="321"/>
      <c r="I225" s="321"/>
      <c r="J225" s="321"/>
      <c r="K225" s="321"/>
      <c r="L225" s="321"/>
      <c r="M225" s="321"/>
      <c r="N225" s="321"/>
      <c r="O225" s="321"/>
      <c r="P225" s="321"/>
      <c r="Q225" s="321"/>
      <c r="R225" s="321"/>
      <c r="S225" s="321"/>
      <c r="T225" s="321"/>
      <c r="U225" s="321"/>
      <c r="V225" s="321"/>
      <c r="W225" s="321"/>
      <c r="X225" s="321"/>
      <c r="Y225" s="321"/>
      <c r="Z225" s="321"/>
      <c r="AA225" s="321"/>
      <c r="AB225" s="321"/>
      <c r="AC225" s="321"/>
      <c r="AD225" s="321"/>
      <c r="AE225" s="321"/>
      <c r="AF225" s="321"/>
      <c r="AG225" s="321"/>
      <c r="AH225" s="321"/>
      <c r="AI225" s="321"/>
      <c r="AJ225" s="325" t="s">
        <v>27</v>
      </c>
      <c r="AK225" s="325" t="s">
        <v>120</v>
      </c>
      <c r="AL225" s="127" t="s">
        <v>409</v>
      </c>
      <c r="AM225" s="182">
        <v>41414</v>
      </c>
      <c r="AN225" s="182">
        <v>41608</v>
      </c>
      <c r="AO225" s="418">
        <v>11450500</v>
      </c>
      <c r="AP225" s="418">
        <v>0</v>
      </c>
      <c r="AQ225" s="418">
        <f>AO225-AP225</f>
        <v>11450500</v>
      </c>
      <c r="AR225" s="418">
        <v>11450500</v>
      </c>
      <c r="AS225" s="418">
        <v>0</v>
      </c>
      <c r="AT225" s="418">
        <f>AR225-AS225</f>
        <v>11450500</v>
      </c>
      <c r="AU225" s="418"/>
      <c r="AV225" s="418"/>
      <c r="AW225" s="418">
        <f>AU225-AV225</f>
        <v>0</v>
      </c>
      <c r="AX225" s="246"/>
      <c r="AY225" s="246"/>
      <c r="AZ225" s="246"/>
      <c r="BA225" s="246"/>
      <c r="BB225" s="246"/>
      <c r="BC225" s="246"/>
      <c r="BD225" s="246"/>
      <c r="BE225" s="246"/>
      <c r="BF225" s="246"/>
      <c r="BG225" s="246"/>
      <c r="BH225" s="246"/>
      <c r="BI225" s="246"/>
      <c r="BJ225" s="246"/>
      <c r="BK225" s="246"/>
      <c r="BL225" s="246"/>
      <c r="BM225" s="321"/>
      <c r="BN225" s="391"/>
      <c r="BO225" s="386">
        <v>196471060</v>
      </c>
      <c r="BP225" s="386"/>
      <c r="BQ225" s="386">
        <v>100516254</v>
      </c>
      <c r="BR225" s="386"/>
      <c r="BS225" s="360">
        <f>BM225+BO225+BQ225</f>
        <v>296987314</v>
      </c>
      <c r="BT225" s="360">
        <f>BN225+BP225+BR225</f>
        <v>0</v>
      </c>
      <c r="BU225" s="310">
        <f>BS225+BT225</f>
        <v>296987314</v>
      </c>
      <c r="BV225" s="310">
        <v>40000000</v>
      </c>
      <c r="BW225" s="310"/>
      <c r="BX225" s="310"/>
      <c r="BY225" s="310"/>
      <c r="BZ225" s="310"/>
      <c r="CA225" s="310"/>
      <c r="CB225" s="310"/>
      <c r="CC225" s="310"/>
      <c r="CD225" s="310"/>
      <c r="CE225" s="310"/>
      <c r="CF225" s="310"/>
      <c r="CG225" s="310"/>
      <c r="CH225" s="310">
        <f>SUM(BW225:CG226)</f>
        <v>0</v>
      </c>
      <c r="CI225" s="310">
        <f>CH225+BV225</f>
        <v>40000000</v>
      </c>
      <c r="CJ225" s="392"/>
      <c r="CK225" s="310"/>
      <c r="CL225" s="310"/>
      <c r="CM225" s="310"/>
      <c r="CN225" s="310"/>
      <c r="CO225" s="310"/>
      <c r="CP225" s="310">
        <f>SUM(CK225:CO226)</f>
        <v>0</v>
      </c>
      <c r="CQ225" s="310">
        <f>CP225+CJ225</f>
        <v>0</v>
      </c>
      <c r="CR225" s="310">
        <v>6000000</v>
      </c>
      <c r="CS225" s="310"/>
      <c r="CT225" s="310"/>
      <c r="CU225" s="310"/>
      <c r="CV225" s="310">
        <f>SUM(CS225:CU226)</f>
        <v>0</v>
      </c>
      <c r="CW225" s="310">
        <f>CV225+CR225</f>
        <v>6000000</v>
      </c>
      <c r="CX225" s="310"/>
      <c r="CY225" s="310"/>
      <c r="CZ225" s="310"/>
      <c r="DA225" s="310">
        <f>SUM(CY225:CZ226)</f>
        <v>0</v>
      </c>
      <c r="DB225" s="310">
        <f>DA225+CX225</f>
        <v>0</v>
      </c>
      <c r="DC225" s="310"/>
      <c r="DD225" s="310">
        <f>DB225+CW225+CQ225+CI225+DC225</f>
        <v>46000000</v>
      </c>
      <c r="DE225" s="310"/>
    </row>
    <row r="226" spans="1:109" s="4" customFormat="1" ht="84">
      <c r="A226" s="582"/>
      <c r="B226" s="593"/>
      <c r="C226" s="599"/>
      <c r="D226" s="584"/>
      <c r="E226" s="319"/>
      <c r="F226" s="319"/>
      <c r="G226" s="319"/>
      <c r="H226" s="321"/>
      <c r="I226" s="321"/>
      <c r="J226" s="321"/>
      <c r="K226" s="321"/>
      <c r="L226" s="321"/>
      <c r="M226" s="321"/>
      <c r="N226" s="321"/>
      <c r="O226" s="321"/>
      <c r="P226" s="321"/>
      <c r="Q226" s="321"/>
      <c r="R226" s="321"/>
      <c r="S226" s="321"/>
      <c r="T226" s="321"/>
      <c r="U226" s="321"/>
      <c r="V226" s="321"/>
      <c r="W226" s="321"/>
      <c r="X226" s="321"/>
      <c r="Y226" s="321"/>
      <c r="Z226" s="321"/>
      <c r="AA226" s="321"/>
      <c r="AB226" s="321"/>
      <c r="AC226" s="321"/>
      <c r="AD226" s="321"/>
      <c r="AE226" s="321"/>
      <c r="AF226" s="321"/>
      <c r="AG226" s="321"/>
      <c r="AH226" s="321"/>
      <c r="AI226" s="321"/>
      <c r="AJ226" s="326"/>
      <c r="AK226" s="326"/>
      <c r="AL226" s="127" t="s">
        <v>410</v>
      </c>
      <c r="AM226" s="182">
        <v>41428</v>
      </c>
      <c r="AN226" s="182">
        <v>41639</v>
      </c>
      <c r="AO226" s="419"/>
      <c r="AP226" s="419"/>
      <c r="AQ226" s="419"/>
      <c r="AR226" s="419"/>
      <c r="AS226" s="419"/>
      <c r="AT226" s="419"/>
      <c r="AU226" s="419"/>
      <c r="AV226" s="419"/>
      <c r="AW226" s="419"/>
      <c r="AX226" s="246"/>
      <c r="AY226" s="246"/>
      <c r="AZ226" s="246"/>
      <c r="BA226" s="246"/>
      <c r="BB226" s="246"/>
      <c r="BC226" s="246"/>
      <c r="BD226" s="246"/>
      <c r="BE226" s="246"/>
      <c r="BF226" s="246"/>
      <c r="BG226" s="246"/>
      <c r="BH226" s="246"/>
      <c r="BI226" s="246"/>
      <c r="BJ226" s="246"/>
      <c r="BK226" s="246"/>
      <c r="BL226" s="246"/>
      <c r="BM226" s="321"/>
      <c r="BN226" s="391"/>
      <c r="BO226" s="387"/>
      <c r="BP226" s="387"/>
      <c r="BQ226" s="387"/>
      <c r="BR226" s="387"/>
      <c r="BS226" s="361"/>
      <c r="BT226" s="361"/>
      <c r="BU226" s="310"/>
      <c r="BV226" s="310"/>
      <c r="BW226" s="310"/>
      <c r="BX226" s="310"/>
      <c r="BY226" s="310"/>
      <c r="BZ226" s="310"/>
      <c r="CA226" s="310"/>
      <c r="CB226" s="310"/>
      <c r="CC226" s="310"/>
      <c r="CD226" s="310"/>
      <c r="CE226" s="310"/>
      <c r="CF226" s="310"/>
      <c r="CG226" s="310"/>
      <c r="CH226" s="310"/>
      <c r="CI226" s="310"/>
      <c r="CJ226" s="392"/>
      <c r="CK226" s="310"/>
      <c r="CL226" s="310"/>
      <c r="CM226" s="310"/>
      <c r="CN226" s="310"/>
      <c r="CO226" s="310"/>
      <c r="CP226" s="310"/>
      <c r="CQ226" s="310"/>
      <c r="CR226" s="310"/>
      <c r="CS226" s="310"/>
      <c r="CT226" s="310"/>
      <c r="CU226" s="310"/>
      <c r="CV226" s="310"/>
      <c r="CW226" s="310"/>
      <c r="CX226" s="310"/>
      <c r="CY226" s="310"/>
      <c r="CZ226" s="310"/>
      <c r="DA226" s="310"/>
      <c r="DB226" s="310"/>
      <c r="DC226" s="310"/>
      <c r="DD226" s="310"/>
      <c r="DE226" s="310"/>
    </row>
    <row r="227" spans="1:109" s="4" customFormat="1" ht="24">
      <c r="A227" s="582"/>
      <c r="B227" s="593"/>
      <c r="C227" s="599"/>
      <c r="D227" s="584"/>
      <c r="E227" s="319"/>
      <c r="F227" s="319"/>
      <c r="G227" s="319"/>
      <c r="H227" s="321"/>
      <c r="I227" s="321"/>
      <c r="J227" s="321"/>
      <c r="K227" s="321"/>
      <c r="L227" s="321"/>
      <c r="M227" s="321"/>
      <c r="N227" s="321"/>
      <c r="O227" s="321"/>
      <c r="P227" s="321"/>
      <c r="Q227" s="321"/>
      <c r="R227" s="321"/>
      <c r="S227" s="321"/>
      <c r="T227" s="321"/>
      <c r="U227" s="321"/>
      <c r="V227" s="321"/>
      <c r="W227" s="321"/>
      <c r="X227" s="321"/>
      <c r="Y227" s="321"/>
      <c r="Z227" s="321"/>
      <c r="AA227" s="321"/>
      <c r="AB227" s="321"/>
      <c r="AC227" s="321"/>
      <c r="AD227" s="321"/>
      <c r="AE227" s="321"/>
      <c r="AF227" s="321"/>
      <c r="AG227" s="321"/>
      <c r="AH227" s="321"/>
      <c r="AI227" s="321"/>
      <c r="AJ227" s="326"/>
      <c r="AK227" s="326"/>
      <c r="AL227" s="127" t="s">
        <v>411</v>
      </c>
      <c r="AM227" s="182">
        <v>41519</v>
      </c>
      <c r="AN227" s="182">
        <v>41639</v>
      </c>
      <c r="AO227" s="419"/>
      <c r="AP227" s="419"/>
      <c r="AQ227" s="419"/>
      <c r="AR227" s="419"/>
      <c r="AS227" s="419"/>
      <c r="AT227" s="419"/>
      <c r="AU227" s="419"/>
      <c r="AV227" s="419"/>
      <c r="AW227" s="419"/>
      <c r="AX227" s="246"/>
      <c r="AY227" s="246"/>
      <c r="AZ227" s="246"/>
      <c r="BA227" s="246"/>
      <c r="BB227" s="246"/>
      <c r="BC227" s="246"/>
      <c r="BD227" s="246"/>
      <c r="BE227" s="246"/>
      <c r="BF227" s="246"/>
      <c r="BG227" s="246"/>
      <c r="BH227" s="246"/>
      <c r="BI227" s="246"/>
      <c r="BJ227" s="246"/>
      <c r="BK227" s="246"/>
      <c r="BL227" s="246"/>
      <c r="BM227" s="321"/>
      <c r="BN227" s="17"/>
      <c r="BO227" s="132"/>
      <c r="BP227" s="132"/>
      <c r="BQ227" s="132"/>
      <c r="BR227" s="132"/>
      <c r="BS227" s="118"/>
      <c r="BT227" s="118"/>
      <c r="BU227" s="26"/>
      <c r="BV227" s="26"/>
      <c r="BW227" s="26"/>
      <c r="BX227" s="26"/>
      <c r="BY227" s="26"/>
      <c r="BZ227" s="26"/>
      <c r="CA227" s="26"/>
      <c r="CB227" s="26"/>
      <c r="CC227" s="26"/>
      <c r="CD227" s="26"/>
      <c r="CE227" s="26"/>
      <c r="CF227" s="26"/>
      <c r="CG227" s="26"/>
      <c r="CH227" s="26"/>
      <c r="CI227" s="26"/>
      <c r="CJ227" s="176"/>
      <c r="CK227" s="26"/>
      <c r="CL227" s="26"/>
      <c r="CM227" s="26"/>
      <c r="CN227" s="26"/>
      <c r="CO227" s="26"/>
      <c r="CP227" s="26"/>
      <c r="CQ227" s="26"/>
      <c r="CR227" s="26"/>
      <c r="CS227" s="26"/>
      <c r="CT227" s="26"/>
      <c r="CU227" s="26"/>
      <c r="CV227" s="26"/>
      <c r="CW227" s="26"/>
      <c r="CX227" s="26"/>
      <c r="CY227" s="26"/>
      <c r="CZ227" s="26"/>
      <c r="DA227" s="26"/>
      <c r="DB227" s="26"/>
      <c r="DC227" s="26"/>
      <c r="DD227" s="26"/>
      <c r="DE227" s="26"/>
    </row>
    <row r="228" spans="1:109" s="4" customFormat="1" ht="36">
      <c r="A228" s="582"/>
      <c r="B228" s="594"/>
      <c r="C228" s="600"/>
      <c r="D228" s="574"/>
      <c r="E228" s="319"/>
      <c r="F228" s="319"/>
      <c r="G228" s="319"/>
      <c r="H228" s="321"/>
      <c r="I228" s="321"/>
      <c r="J228" s="321"/>
      <c r="K228" s="321"/>
      <c r="L228" s="321"/>
      <c r="M228" s="321"/>
      <c r="N228" s="321"/>
      <c r="O228" s="321"/>
      <c r="P228" s="321"/>
      <c r="Q228" s="321"/>
      <c r="R228" s="321"/>
      <c r="S228" s="321"/>
      <c r="T228" s="321"/>
      <c r="U228" s="321"/>
      <c r="V228" s="321"/>
      <c r="W228" s="321"/>
      <c r="X228" s="321"/>
      <c r="Y228" s="321"/>
      <c r="Z228" s="321"/>
      <c r="AA228" s="321"/>
      <c r="AB228" s="321"/>
      <c r="AC228" s="321"/>
      <c r="AD228" s="321"/>
      <c r="AE228" s="321"/>
      <c r="AF228" s="321"/>
      <c r="AG228" s="321"/>
      <c r="AH228" s="321"/>
      <c r="AI228" s="321"/>
      <c r="AJ228" s="327"/>
      <c r="AK228" s="327"/>
      <c r="AL228" s="127" t="s">
        <v>405</v>
      </c>
      <c r="AM228" s="182">
        <v>41792</v>
      </c>
      <c r="AN228" s="182">
        <v>42338</v>
      </c>
      <c r="AO228" s="420"/>
      <c r="AP228" s="420"/>
      <c r="AQ228" s="420"/>
      <c r="AR228" s="420"/>
      <c r="AS228" s="420"/>
      <c r="AT228" s="420"/>
      <c r="AU228" s="420"/>
      <c r="AV228" s="420"/>
      <c r="AW228" s="420"/>
      <c r="AX228" s="246"/>
      <c r="AY228" s="246"/>
      <c r="AZ228" s="246"/>
      <c r="BA228" s="246"/>
      <c r="BB228" s="246"/>
      <c r="BC228" s="246"/>
      <c r="BD228" s="246"/>
      <c r="BE228" s="246"/>
      <c r="BF228" s="246"/>
      <c r="BG228" s="246"/>
      <c r="BH228" s="246"/>
      <c r="BI228" s="246"/>
      <c r="BJ228" s="246"/>
      <c r="BK228" s="246"/>
      <c r="BL228" s="246"/>
      <c r="BM228" s="321"/>
      <c r="BN228" s="17"/>
      <c r="BO228" s="132"/>
      <c r="BP228" s="132"/>
      <c r="BQ228" s="132"/>
      <c r="BR228" s="132"/>
      <c r="BS228" s="118"/>
      <c r="BT228" s="118"/>
      <c r="BU228" s="26"/>
      <c r="BV228" s="26"/>
      <c r="BW228" s="26"/>
      <c r="BX228" s="26"/>
      <c r="BY228" s="26"/>
      <c r="BZ228" s="26"/>
      <c r="CA228" s="26"/>
      <c r="CB228" s="26"/>
      <c r="CC228" s="26"/>
      <c r="CD228" s="26"/>
      <c r="CE228" s="26"/>
      <c r="CF228" s="26"/>
      <c r="CG228" s="26"/>
      <c r="CH228" s="26"/>
      <c r="CI228" s="26"/>
      <c r="CJ228" s="176"/>
      <c r="CK228" s="26"/>
      <c r="CL228" s="26"/>
      <c r="CM228" s="26"/>
      <c r="CN228" s="26"/>
      <c r="CO228" s="26"/>
      <c r="CP228" s="26"/>
      <c r="CQ228" s="26"/>
      <c r="CR228" s="26"/>
      <c r="CS228" s="26"/>
      <c r="CT228" s="26"/>
      <c r="CU228" s="26"/>
      <c r="CV228" s="26"/>
      <c r="CW228" s="26"/>
      <c r="CX228" s="26"/>
      <c r="CY228" s="26"/>
      <c r="CZ228" s="26"/>
      <c r="DA228" s="26"/>
      <c r="DB228" s="26"/>
      <c r="DC228" s="26"/>
      <c r="DD228" s="26"/>
      <c r="DE228" s="26"/>
    </row>
    <row r="229" spans="1:109" s="50" customFormat="1" ht="11.1" customHeight="1">
      <c r="A229" s="583"/>
      <c r="B229" s="578" t="s">
        <v>139</v>
      </c>
      <c r="C229" s="579"/>
      <c r="D229" s="580"/>
      <c r="E229" s="297">
        <f>SUM(E181:E228)</f>
        <v>105.2</v>
      </c>
      <c r="F229" s="297"/>
      <c r="G229" s="297"/>
      <c r="H229" s="298"/>
      <c r="I229" s="298"/>
      <c r="J229" s="298"/>
      <c r="K229" s="298"/>
      <c r="L229" s="298"/>
      <c r="M229" s="298"/>
      <c r="N229" s="298"/>
      <c r="O229" s="298"/>
      <c r="P229" s="298"/>
      <c r="Q229" s="298"/>
      <c r="R229" s="298"/>
      <c r="S229" s="298"/>
      <c r="T229" s="298"/>
      <c r="U229" s="298"/>
      <c r="V229" s="298"/>
      <c r="W229" s="298"/>
      <c r="X229" s="298"/>
      <c r="Y229" s="298"/>
      <c r="Z229" s="298"/>
      <c r="AA229" s="298"/>
      <c r="AB229" s="298"/>
      <c r="AC229" s="298"/>
      <c r="AD229" s="298"/>
      <c r="AE229" s="298"/>
      <c r="AF229" s="298"/>
      <c r="AG229" s="298"/>
      <c r="AH229" s="298"/>
      <c r="AI229" s="298"/>
      <c r="AJ229" s="299"/>
      <c r="AK229" s="299"/>
      <c r="AL229" s="297">
        <v>4197988722</v>
      </c>
      <c r="AM229" s="297"/>
      <c r="AN229" s="297"/>
      <c r="AO229" s="297">
        <f t="shared" ref="AO229:AW229" si="18">SUM(AO181:AO228)</f>
        <v>1501649167</v>
      </c>
      <c r="AP229" s="297">
        <f t="shared" si="18"/>
        <v>591398173</v>
      </c>
      <c r="AQ229" s="297">
        <f t="shared" si="18"/>
        <v>910250994</v>
      </c>
      <c r="AR229" s="297">
        <f t="shared" si="18"/>
        <v>1501649167</v>
      </c>
      <c r="AS229" s="297">
        <f t="shared" si="18"/>
        <v>594002128</v>
      </c>
      <c r="AT229" s="297">
        <f t="shared" si="18"/>
        <v>907647039</v>
      </c>
      <c r="AU229" s="300">
        <f t="shared" si="18"/>
        <v>0</v>
      </c>
      <c r="AV229" s="300">
        <f t="shared" si="18"/>
        <v>0</v>
      </c>
      <c r="AW229" s="300">
        <f t="shared" si="18"/>
        <v>0</v>
      </c>
      <c r="AX229" s="297"/>
      <c r="AY229" s="297"/>
      <c r="AZ229" s="297"/>
      <c r="BA229" s="297"/>
      <c r="BB229" s="297"/>
      <c r="BC229" s="297"/>
      <c r="BD229" s="297"/>
      <c r="BE229" s="297"/>
      <c r="BF229" s="297"/>
      <c r="BG229" s="297"/>
      <c r="BH229" s="297"/>
      <c r="BI229" s="297"/>
      <c r="BJ229" s="297"/>
      <c r="BK229" s="297"/>
      <c r="BL229" s="297"/>
      <c r="BM229" s="297">
        <f>SUM(BM181:BM228)</f>
        <v>3025875900</v>
      </c>
      <c r="BN229" s="297"/>
      <c r="BO229" s="297"/>
      <c r="BP229" s="297"/>
      <c r="BQ229" s="297"/>
      <c r="BR229" s="45"/>
      <c r="BS229" s="43"/>
      <c r="BT229" s="43"/>
      <c r="BU229" s="45" t="e">
        <f>SUM(BU181:BU228)</f>
        <v>#REF!</v>
      </c>
      <c r="BV229" s="45">
        <f t="shared" ref="BV229:CH229" si="19">SUM(BV181:BV215)</f>
        <v>3889094216</v>
      </c>
      <c r="BW229" s="45">
        <f t="shared" si="19"/>
        <v>0</v>
      </c>
      <c r="BX229" s="45">
        <f t="shared" si="19"/>
        <v>0</v>
      </c>
      <c r="BY229" s="45">
        <f t="shared" si="19"/>
        <v>0</v>
      </c>
      <c r="BZ229" s="45">
        <f t="shared" si="19"/>
        <v>0</v>
      </c>
      <c r="CA229" s="45">
        <f t="shared" si="19"/>
        <v>0</v>
      </c>
      <c r="CB229" s="45">
        <f t="shared" si="19"/>
        <v>0</v>
      </c>
      <c r="CC229" s="45">
        <f t="shared" si="19"/>
        <v>0</v>
      </c>
      <c r="CD229" s="45">
        <f t="shared" si="19"/>
        <v>0</v>
      </c>
      <c r="CE229" s="45">
        <f t="shared" si="19"/>
        <v>0</v>
      </c>
      <c r="CF229" s="45">
        <f t="shared" si="19"/>
        <v>0</v>
      </c>
      <c r="CG229" s="45">
        <f t="shared" si="19"/>
        <v>0</v>
      </c>
      <c r="CH229" s="45">
        <f t="shared" si="19"/>
        <v>0</v>
      </c>
      <c r="CI229" s="232">
        <f>SUM(CI181:CI215)</f>
        <v>3889094216</v>
      </c>
      <c r="CJ229" s="45">
        <f>SUM(CJ181:CJ215)</f>
        <v>568282220</v>
      </c>
      <c r="CK229" s="45">
        <f t="shared" ref="CK229:DE229" si="20">SUM(CK181:CK215)</f>
        <v>0</v>
      </c>
      <c r="CL229" s="45">
        <f t="shared" si="20"/>
        <v>0</v>
      </c>
      <c r="CM229" s="45">
        <f t="shared" si="20"/>
        <v>0</v>
      </c>
      <c r="CN229" s="45">
        <f t="shared" si="20"/>
        <v>0</v>
      </c>
      <c r="CO229" s="45">
        <f t="shared" si="20"/>
        <v>0</v>
      </c>
      <c r="CP229" s="45">
        <f t="shared" si="20"/>
        <v>0</v>
      </c>
      <c r="CQ229" s="45">
        <f t="shared" si="20"/>
        <v>568282220</v>
      </c>
      <c r="CR229" s="45">
        <f t="shared" si="20"/>
        <v>870000000</v>
      </c>
      <c r="CS229" s="45">
        <f t="shared" si="20"/>
        <v>0</v>
      </c>
      <c r="CT229" s="45">
        <f t="shared" si="20"/>
        <v>0</v>
      </c>
      <c r="CU229" s="45">
        <f t="shared" si="20"/>
        <v>0</v>
      </c>
      <c r="CV229" s="45">
        <f t="shared" si="20"/>
        <v>0</v>
      </c>
      <c r="CW229" s="45">
        <f t="shared" si="20"/>
        <v>870000000</v>
      </c>
      <c r="CX229" s="45">
        <f t="shared" si="20"/>
        <v>180000000</v>
      </c>
      <c r="CY229" s="45">
        <f t="shared" si="20"/>
        <v>158000000</v>
      </c>
      <c r="CZ229" s="45">
        <f t="shared" si="20"/>
        <v>150000000</v>
      </c>
      <c r="DA229" s="45">
        <f t="shared" si="20"/>
        <v>308000000</v>
      </c>
      <c r="DB229" s="45">
        <f t="shared" si="20"/>
        <v>488000000</v>
      </c>
      <c r="DC229" s="45">
        <f t="shared" si="20"/>
        <v>0</v>
      </c>
      <c r="DD229" s="45">
        <f t="shared" si="20"/>
        <v>5815376436</v>
      </c>
      <c r="DE229" s="180">
        <f t="shared" si="20"/>
        <v>0</v>
      </c>
    </row>
    <row r="230" spans="1:109" s="6" customFormat="1">
      <c r="A230" s="575" t="s">
        <v>140</v>
      </c>
      <c r="B230" s="576"/>
      <c r="C230" s="576"/>
      <c r="D230" s="577"/>
      <c r="E230" s="233"/>
      <c r="F230" s="233"/>
      <c r="G230" s="233"/>
      <c r="H230" s="56"/>
      <c r="I230" s="56"/>
      <c r="J230" s="56"/>
      <c r="K230" s="56"/>
      <c r="L230" s="56"/>
      <c r="M230" s="56"/>
      <c r="N230" s="56"/>
      <c r="O230" s="56"/>
      <c r="P230" s="56"/>
      <c r="Q230" s="56"/>
      <c r="R230" s="56"/>
      <c r="S230" s="56"/>
      <c r="T230" s="56"/>
      <c r="U230" s="56"/>
      <c r="V230" s="56"/>
      <c r="W230" s="56"/>
      <c r="X230" s="56"/>
      <c r="Y230" s="56"/>
      <c r="Z230" s="56"/>
      <c r="AA230" s="56"/>
      <c r="AB230" s="56"/>
      <c r="AC230" s="56"/>
      <c r="AD230" s="56"/>
      <c r="AE230" s="56"/>
      <c r="AF230" s="56"/>
      <c r="AG230" s="56"/>
      <c r="AH230" s="56"/>
      <c r="AI230" s="56"/>
      <c r="AJ230" s="57"/>
      <c r="AK230" s="57"/>
      <c r="AL230" s="287"/>
      <c r="AM230" s="57"/>
      <c r="AN230" s="57"/>
      <c r="AO230" s="217"/>
      <c r="AP230" s="217"/>
      <c r="AQ230" s="217"/>
      <c r="AR230" s="217"/>
      <c r="AS230" s="217"/>
      <c r="AT230" s="217"/>
      <c r="AU230" s="217"/>
      <c r="AV230" s="217"/>
      <c r="AW230" s="217"/>
      <c r="AX230" s="287"/>
      <c r="AY230" s="287"/>
      <c r="AZ230" s="287"/>
      <c r="BA230" s="287"/>
      <c r="BB230" s="287"/>
      <c r="BC230" s="287"/>
      <c r="BD230" s="287"/>
      <c r="BE230" s="287"/>
      <c r="BF230" s="287"/>
      <c r="BG230" s="287"/>
      <c r="BH230" s="287"/>
      <c r="BI230" s="287"/>
      <c r="BJ230" s="287"/>
      <c r="BK230" s="287"/>
      <c r="BL230" s="287"/>
      <c r="BM230" s="149" t="s">
        <v>447</v>
      </c>
      <c r="BN230" s="149"/>
      <c r="BO230" s="57"/>
      <c r="BP230" s="57"/>
      <c r="BQ230" s="57"/>
      <c r="BR230" s="233"/>
      <c r="BS230" s="56"/>
      <c r="BT230" s="56"/>
      <c r="BU230" s="57" t="e">
        <f t="shared" ref="BU230:DE230" si="21">BU229+BU180+BU156+BU125+BU79+BU45</f>
        <v>#REF!</v>
      </c>
      <c r="BV230" s="57">
        <f t="shared" si="21"/>
        <v>21194101956</v>
      </c>
      <c r="BW230" s="57">
        <f t="shared" si="21"/>
        <v>0</v>
      </c>
      <c r="BX230" s="57">
        <f t="shared" si="21"/>
        <v>0</v>
      </c>
      <c r="BY230" s="57">
        <f t="shared" si="21"/>
        <v>0</v>
      </c>
      <c r="BZ230" s="57">
        <f t="shared" si="21"/>
        <v>0</v>
      </c>
      <c r="CA230" s="57">
        <f t="shared" si="21"/>
        <v>0</v>
      </c>
      <c r="CB230" s="57">
        <f t="shared" si="21"/>
        <v>0</v>
      </c>
      <c r="CC230" s="57">
        <f t="shared" si="21"/>
        <v>0</v>
      </c>
      <c r="CD230" s="57">
        <f t="shared" si="21"/>
        <v>0</v>
      </c>
      <c r="CE230" s="57">
        <f t="shared" si="21"/>
        <v>0</v>
      </c>
      <c r="CF230" s="57">
        <f t="shared" si="21"/>
        <v>0</v>
      </c>
      <c r="CG230" s="57">
        <f t="shared" si="21"/>
        <v>0</v>
      </c>
      <c r="CH230" s="57">
        <f t="shared" si="21"/>
        <v>0</v>
      </c>
      <c r="CI230" s="57">
        <f t="shared" si="21"/>
        <v>21194101956</v>
      </c>
      <c r="CJ230" s="57">
        <f t="shared" si="21"/>
        <v>8884000000</v>
      </c>
      <c r="CK230" s="57">
        <f t="shared" si="21"/>
        <v>0</v>
      </c>
      <c r="CL230" s="57">
        <f t="shared" si="21"/>
        <v>0</v>
      </c>
      <c r="CM230" s="57">
        <f t="shared" si="21"/>
        <v>0</v>
      </c>
      <c r="CN230" s="57">
        <f t="shared" si="21"/>
        <v>0</v>
      </c>
      <c r="CO230" s="57">
        <f t="shared" si="21"/>
        <v>0</v>
      </c>
      <c r="CP230" s="57">
        <f t="shared" si="21"/>
        <v>0</v>
      </c>
      <c r="CQ230" s="57">
        <f t="shared" si="21"/>
        <v>8884000000</v>
      </c>
      <c r="CR230" s="57">
        <f t="shared" si="21"/>
        <v>7318722625</v>
      </c>
      <c r="CS230" s="57">
        <f t="shared" si="21"/>
        <v>0</v>
      </c>
      <c r="CT230" s="57">
        <f t="shared" si="21"/>
        <v>0</v>
      </c>
      <c r="CU230" s="57">
        <f t="shared" si="21"/>
        <v>0</v>
      </c>
      <c r="CV230" s="57">
        <f t="shared" si="21"/>
        <v>0</v>
      </c>
      <c r="CW230" s="57">
        <f t="shared" si="21"/>
        <v>7318722625</v>
      </c>
      <c r="CX230" s="57">
        <f t="shared" si="21"/>
        <v>2860000000</v>
      </c>
      <c r="CY230" s="57">
        <f t="shared" si="21"/>
        <v>581000000</v>
      </c>
      <c r="CZ230" s="57">
        <f t="shared" si="21"/>
        <v>1099000000</v>
      </c>
      <c r="DA230" s="57">
        <f t="shared" si="21"/>
        <v>1680000000</v>
      </c>
      <c r="DB230" s="57">
        <f t="shared" si="21"/>
        <v>4540000000</v>
      </c>
      <c r="DC230" s="57">
        <f t="shared" si="21"/>
        <v>185350000</v>
      </c>
      <c r="DD230" s="57">
        <f t="shared" si="21"/>
        <v>42122174581</v>
      </c>
      <c r="DE230" s="57">
        <f t="shared" si="21"/>
        <v>0</v>
      </c>
    </row>
    <row r="231" spans="1:109" s="2" customFormat="1">
      <c r="A231" s="245"/>
      <c r="B231" s="9"/>
      <c r="C231" s="9"/>
      <c r="D231" s="245"/>
      <c r="E231" s="212"/>
      <c r="F231" s="212"/>
      <c r="G231" s="212"/>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36"/>
      <c r="AK231" s="143"/>
      <c r="AL231" s="245"/>
      <c r="AM231" s="36"/>
      <c r="AN231" s="36"/>
      <c r="AO231" s="36"/>
      <c r="AP231" s="36"/>
      <c r="AQ231" s="36"/>
      <c r="AR231" s="36"/>
      <c r="AS231" s="143"/>
      <c r="AT231" s="36"/>
      <c r="AU231" s="36"/>
      <c r="AV231" s="36"/>
      <c r="AW231" s="36"/>
      <c r="AX231" s="245"/>
      <c r="AY231" s="245"/>
      <c r="AZ231" s="245"/>
      <c r="BA231" s="245"/>
      <c r="BB231" s="245"/>
      <c r="BC231" s="245"/>
      <c r="BD231" s="245"/>
      <c r="BE231" s="245"/>
      <c r="BF231" s="245"/>
      <c r="BG231" s="245"/>
      <c r="BH231" s="245"/>
      <c r="BI231" s="245"/>
      <c r="BJ231" s="245"/>
      <c r="BK231" s="245"/>
      <c r="BL231" s="245"/>
      <c r="BM231" s="143"/>
      <c r="BN231" s="143"/>
      <c r="BO231" s="36"/>
      <c r="BP231" s="36"/>
      <c r="BQ231" s="47"/>
      <c r="BR231" s="88"/>
      <c r="BS231" s="11"/>
      <c r="BT231" s="11"/>
      <c r="BU231" s="47"/>
      <c r="BV231" s="47"/>
      <c r="BW231" s="25"/>
      <c r="BX231" s="25"/>
      <c r="BY231" s="25"/>
      <c r="BZ231" s="25"/>
      <c r="CA231" s="19"/>
      <c r="CB231" s="19"/>
      <c r="CC231" s="19"/>
      <c r="CD231" s="19"/>
      <c r="CE231" s="19"/>
      <c r="CF231" s="19"/>
      <c r="CG231" s="19"/>
      <c r="CH231" s="36"/>
      <c r="CI231" s="36"/>
      <c r="CJ231" s="47"/>
      <c r="CK231" s="25"/>
      <c r="CL231" s="25"/>
      <c r="CM231" s="25"/>
      <c r="CN231" s="25"/>
      <c r="CO231" s="25"/>
      <c r="CP231" s="36"/>
      <c r="CQ231" s="36"/>
      <c r="CR231" s="47"/>
      <c r="CS231" s="25"/>
      <c r="CT231" s="25"/>
      <c r="CU231" s="25"/>
      <c r="CV231" s="36"/>
      <c r="CW231" s="36"/>
      <c r="CX231" s="47"/>
      <c r="CY231" s="25"/>
      <c r="CZ231" s="25"/>
      <c r="DA231" s="36"/>
      <c r="DB231" s="36"/>
      <c r="DC231" s="25"/>
    </row>
    <row r="232" spans="1:109" s="2" customFormat="1">
      <c r="A232" s="9"/>
      <c r="B232" s="9"/>
      <c r="C232" s="9"/>
      <c r="D232" s="9"/>
      <c r="E232" s="212"/>
      <c r="F232" s="212"/>
      <c r="G232" s="212"/>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36"/>
      <c r="AK232" s="143"/>
      <c r="AL232" s="245"/>
      <c r="AM232" s="36"/>
      <c r="AN232" s="36"/>
      <c r="AO232" s="36"/>
      <c r="AP232" s="36"/>
      <c r="AQ232" s="36"/>
      <c r="AR232" s="36"/>
      <c r="AS232" s="143"/>
      <c r="AT232" s="36"/>
      <c r="AU232" s="36"/>
      <c r="AV232" s="36"/>
      <c r="AW232" s="36"/>
      <c r="AX232" s="245"/>
      <c r="AY232" s="245"/>
      <c r="AZ232" s="245"/>
      <c r="BA232" s="245"/>
      <c r="BB232" s="245"/>
      <c r="BC232" s="245"/>
      <c r="BD232" s="245"/>
      <c r="BE232" s="245"/>
      <c r="BF232" s="245"/>
      <c r="BG232" s="245"/>
      <c r="BH232" s="245"/>
      <c r="BI232" s="245"/>
      <c r="BJ232" s="245"/>
      <c r="BK232" s="245"/>
      <c r="BL232" s="245"/>
      <c r="BM232" s="143"/>
      <c r="BN232" s="143"/>
      <c r="BO232" s="36"/>
      <c r="BP232" s="36"/>
      <c r="BQ232" s="47"/>
      <c r="BR232" s="88"/>
      <c r="BS232" s="11"/>
      <c r="BT232" s="11"/>
      <c r="BU232" s="89"/>
      <c r="BV232" s="47"/>
      <c r="BW232" s="25"/>
      <c r="BX232" s="25"/>
      <c r="BY232" s="25"/>
      <c r="BZ232" s="25"/>
      <c r="CA232" s="19"/>
      <c r="CB232" s="19"/>
      <c r="CC232" s="19"/>
      <c r="CD232" s="19"/>
      <c r="CE232" s="19"/>
      <c r="CF232" s="19"/>
      <c r="CG232" s="19"/>
      <c r="CH232" s="36"/>
      <c r="CI232" s="36"/>
      <c r="CJ232" s="47"/>
      <c r="CK232" s="25"/>
      <c r="CL232" s="25"/>
      <c r="CM232" s="25"/>
      <c r="CN232" s="25"/>
      <c r="CO232" s="25"/>
      <c r="CP232" s="36"/>
      <c r="CQ232" s="36"/>
      <c r="CR232" s="47"/>
      <c r="CS232" s="25"/>
      <c r="CT232" s="25"/>
      <c r="CU232" s="25"/>
      <c r="CV232" s="36"/>
      <c r="CW232" s="36"/>
      <c r="CX232" s="47"/>
      <c r="CY232" s="25"/>
      <c r="CZ232" s="25"/>
      <c r="DA232" s="36"/>
      <c r="DB232" s="36"/>
      <c r="DC232" s="25"/>
    </row>
    <row r="233" spans="1:109" s="2" customFormat="1">
      <c r="A233" s="9"/>
      <c r="B233" s="9"/>
      <c r="C233" s="9"/>
      <c r="D233" s="9"/>
      <c r="E233" s="212"/>
      <c r="F233" s="212"/>
      <c r="G233" s="212"/>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36"/>
      <c r="AK233" s="143"/>
      <c r="AL233" s="245"/>
      <c r="AM233" s="36"/>
      <c r="AN233" s="36"/>
      <c r="AO233" s="36"/>
      <c r="AP233" s="36"/>
      <c r="AQ233" s="36"/>
      <c r="AR233" s="36"/>
      <c r="AS233" s="143"/>
      <c r="AT233" s="36"/>
      <c r="AU233" s="36"/>
      <c r="AV233" s="36"/>
      <c r="AW233" s="36"/>
      <c r="AX233" s="245"/>
      <c r="AY233" s="245"/>
      <c r="AZ233" s="245"/>
      <c r="BA233" s="245"/>
      <c r="BB233" s="245"/>
      <c r="BC233" s="245"/>
      <c r="BD233" s="245"/>
      <c r="BE233" s="245"/>
      <c r="BF233" s="245"/>
      <c r="BG233" s="245"/>
      <c r="BH233" s="245"/>
      <c r="BI233" s="245"/>
      <c r="BJ233" s="245"/>
      <c r="BK233" s="245"/>
      <c r="BL233" s="245"/>
      <c r="BM233" s="143"/>
      <c r="BN233" s="143"/>
      <c r="BO233" s="36"/>
      <c r="BP233" s="36"/>
      <c r="BQ233" s="47"/>
      <c r="BR233" s="88"/>
      <c r="BS233" s="11"/>
      <c r="BT233" s="11"/>
      <c r="BU233" s="47"/>
      <c r="BV233" s="47"/>
      <c r="BW233" s="25"/>
      <c r="BX233" s="25"/>
      <c r="BY233" s="25"/>
      <c r="BZ233" s="25"/>
      <c r="CA233" s="19"/>
      <c r="CB233" s="19"/>
      <c r="CC233" s="19"/>
      <c r="CD233" s="19"/>
      <c r="CE233" s="19"/>
      <c r="CF233" s="19"/>
      <c r="CG233" s="19"/>
      <c r="CH233" s="36"/>
      <c r="CI233" s="36"/>
      <c r="CJ233" s="47"/>
      <c r="CK233" s="25"/>
      <c r="CL233" s="25"/>
      <c r="CM233" s="25"/>
      <c r="CN233" s="25"/>
      <c r="CO233" s="25"/>
      <c r="CP233" s="36"/>
      <c r="CQ233" s="36"/>
      <c r="CR233" s="47"/>
      <c r="CS233" s="25"/>
      <c r="CT233" s="25"/>
      <c r="CU233" s="25"/>
      <c r="CV233" s="36"/>
      <c r="CW233" s="36"/>
      <c r="CX233" s="47"/>
      <c r="CY233" s="25"/>
      <c r="CZ233" s="25"/>
      <c r="DA233" s="36"/>
      <c r="DB233" s="36"/>
      <c r="DC233" s="25"/>
    </row>
    <row r="234" spans="1:109" s="2" customFormat="1">
      <c r="A234" s="9"/>
      <c r="B234" s="9"/>
      <c r="C234" s="9"/>
      <c r="D234" s="9"/>
      <c r="E234" s="212"/>
      <c r="F234" s="212"/>
      <c r="G234" s="212"/>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36"/>
      <c r="AK234" s="143"/>
      <c r="AL234" s="245"/>
      <c r="AM234" s="36"/>
      <c r="AN234" s="36"/>
      <c r="AO234" s="36"/>
      <c r="AP234" s="36"/>
      <c r="AQ234" s="36"/>
      <c r="AR234" s="36"/>
      <c r="AS234" s="143"/>
      <c r="AT234" s="36"/>
      <c r="AU234" s="36"/>
      <c r="AV234" s="36"/>
      <c r="AW234" s="36"/>
      <c r="AX234" s="245"/>
      <c r="AY234" s="245"/>
      <c r="AZ234" s="245"/>
      <c r="BA234" s="245"/>
      <c r="BB234" s="245"/>
      <c r="BC234" s="245"/>
      <c r="BD234" s="245"/>
      <c r="BE234" s="245"/>
      <c r="BF234" s="245"/>
      <c r="BG234" s="245"/>
      <c r="BH234" s="245"/>
      <c r="BI234" s="245"/>
      <c r="BJ234" s="245"/>
      <c r="BK234" s="245"/>
      <c r="BL234" s="245"/>
      <c r="BM234" s="143"/>
      <c r="BN234" s="143"/>
      <c r="BO234" s="36"/>
      <c r="BP234" s="36"/>
      <c r="BQ234" s="47"/>
      <c r="BR234" s="88"/>
      <c r="BS234" s="11"/>
      <c r="BT234" s="11"/>
      <c r="BU234" s="47"/>
      <c r="BV234" s="47"/>
      <c r="BW234" s="25"/>
      <c r="BX234" s="25"/>
      <c r="BY234" s="25"/>
      <c r="BZ234" s="25"/>
      <c r="CA234" s="19"/>
      <c r="CB234" s="19"/>
      <c r="CC234" s="19"/>
      <c r="CD234" s="19"/>
      <c r="CE234" s="19"/>
      <c r="CF234" s="19"/>
      <c r="CG234" s="19"/>
      <c r="CH234" s="36"/>
      <c r="CI234" s="36"/>
      <c r="CJ234" s="47"/>
      <c r="CK234" s="25"/>
      <c r="CL234" s="25"/>
      <c r="CM234" s="25"/>
      <c r="CN234" s="25"/>
      <c r="CO234" s="25"/>
      <c r="CP234" s="36"/>
      <c r="CQ234" s="36"/>
      <c r="CR234" s="47"/>
      <c r="CS234" s="25"/>
      <c r="CT234" s="25"/>
      <c r="CU234" s="25"/>
      <c r="CV234" s="36"/>
      <c r="CW234" s="36"/>
      <c r="CX234" s="47"/>
      <c r="CY234" s="25"/>
      <c r="CZ234" s="25"/>
      <c r="DA234" s="36"/>
      <c r="DB234" s="36"/>
      <c r="DC234" s="25"/>
    </row>
    <row r="235" spans="1:109" s="2" customFormat="1">
      <c r="A235" s="9"/>
      <c r="B235" s="9"/>
      <c r="C235" s="9"/>
      <c r="D235" s="9"/>
      <c r="E235" s="212"/>
      <c r="F235" s="212"/>
      <c r="G235" s="212"/>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36"/>
      <c r="AK235" s="143"/>
      <c r="AL235" s="245"/>
      <c r="AM235" s="36"/>
      <c r="AN235" s="36"/>
      <c r="AO235" s="36"/>
      <c r="AP235" s="36"/>
      <c r="AQ235" s="36"/>
      <c r="AR235" s="36"/>
      <c r="AS235" s="143"/>
      <c r="AT235" s="36"/>
      <c r="AU235" s="36"/>
      <c r="AV235" s="36"/>
      <c r="AW235" s="36"/>
      <c r="AX235" s="245"/>
      <c r="AY235" s="245"/>
      <c r="AZ235" s="245"/>
      <c r="BA235" s="245"/>
      <c r="BB235" s="245"/>
      <c r="BC235" s="245"/>
      <c r="BD235" s="245"/>
      <c r="BE235" s="245"/>
      <c r="BF235" s="245"/>
      <c r="BG235" s="245"/>
      <c r="BH235" s="245"/>
      <c r="BI235" s="245"/>
      <c r="BJ235" s="245"/>
      <c r="BK235" s="245"/>
      <c r="BL235" s="245"/>
      <c r="BM235" s="143"/>
      <c r="BN235" s="143"/>
      <c r="BO235" s="36"/>
      <c r="BP235" s="36"/>
      <c r="BQ235" s="47"/>
      <c r="BR235" s="88"/>
      <c r="BS235" s="11"/>
      <c r="BT235" s="11"/>
      <c r="BU235" s="47"/>
      <c r="BV235" s="47"/>
      <c r="BW235" s="25"/>
      <c r="BX235" s="25"/>
      <c r="BY235" s="25"/>
      <c r="BZ235" s="25"/>
      <c r="CA235" s="19"/>
      <c r="CB235" s="19"/>
      <c r="CC235" s="19"/>
      <c r="CD235" s="19"/>
      <c r="CE235" s="19"/>
      <c r="CF235" s="19"/>
      <c r="CG235" s="19"/>
      <c r="CH235" s="36"/>
      <c r="CI235" s="36"/>
      <c r="CJ235" s="47"/>
      <c r="CK235" s="25"/>
      <c r="CL235" s="25"/>
      <c r="CM235" s="25"/>
      <c r="CN235" s="25"/>
      <c r="CO235" s="25"/>
      <c r="CP235" s="36"/>
      <c r="CQ235" s="36"/>
      <c r="CR235" s="47"/>
      <c r="CS235" s="25"/>
      <c r="CT235" s="25"/>
      <c r="CU235" s="25"/>
      <c r="CV235" s="36"/>
      <c r="CW235" s="36"/>
      <c r="CX235" s="47"/>
      <c r="CY235" s="25"/>
      <c r="CZ235" s="25"/>
      <c r="DA235" s="36"/>
      <c r="DB235" s="36"/>
      <c r="DC235" s="25"/>
    </row>
    <row r="236" spans="1:109" s="2" customFormat="1">
      <c r="A236" s="9"/>
      <c r="B236" s="9"/>
      <c r="C236" s="9"/>
      <c r="D236" s="9"/>
      <c r="E236" s="212"/>
      <c r="F236" s="212"/>
      <c r="G236" s="212"/>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36"/>
      <c r="AK236" s="143"/>
      <c r="AL236" s="245"/>
      <c r="AM236" s="36"/>
      <c r="AN236" s="36"/>
      <c r="AO236" s="36"/>
      <c r="AP236" s="36"/>
      <c r="AQ236" s="36"/>
      <c r="AR236" s="36"/>
      <c r="AS236" s="143"/>
      <c r="AT236" s="36"/>
      <c r="AU236" s="36"/>
      <c r="AV236" s="36"/>
      <c r="AW236" s="36"/>
      <c r="AX236" s="245"/>
      <c r="AY236" s="245"/>
      <c r="AZ236" s="245"/>
      <c r="BA236" s="245"/>
      <c r="BB236" s="245"/>
      <c r="BC236" s="245"/>
      <c r="BD236" s="245"/>
      <c r="BE236" s="245"/>
      <c r="BF236" s="245"/>
      <c r="BG236" s="245"/>
      <c r="BH236" s="245"/>
      <c r="BI236" s="245"/>
      <c r="BJ236" s="245"/>
      <c r="BK236" s="245"/>
      <c r="BL236" s="245"/>
      <c r="BM236" s="143"/>
      <c r="BN236" s="143"/>
      <c r="BO236" s="36"/>
      <c r="BP236" s="36"/>
      <c r="BQ236" s="47"/>
      <c r="BR236" s="88"/>
      <c r="BS236" s="11"/>
      <c r="BT236" s="11"/>
      <c r="BU236" s="47"/>
      <c r="BV236" s="47"/>
      <c r="BW236" s="25"/>
      <c r="BX236" s="25"/>
      <c r="BY236" s="25"/>
      <c r="BZ236" s="25"/>
      <c r="CA236" s="19"/>
      <c r="CB236" s="19"/>
      <c r="CC236" s="19"/>
      <c r="CD236" s="19"/>
      <c r="CE236" s="19"/>
      <c r="CF236" s="19"/>
      <c r="CG236" s="19"/>
      <c r="CH236" s="36"/>
      <c r="CI236" s="36"/>
      <c r="CJ236" s="47"/>
      <c r="CK236" s="25"/>
      <c r="CL236" s="25"/>
      <c r="CM236" s="25"/>
      <c r="CN236" s="25"/>
      <c r="CO236" s="25"/>
      <c r="CP236" s="36"/>
      <c r="CQ236" s="36"/>
      <c r="CR236" s="47"/>
      <c r="CS236" s="25"/>
      <c r="CT236" s="25"/>
      <c r="CU236" s="25"/>
      <c r="CV236" s="36"/>
      <c r="CW236" s="36"/>
      <c r="CX236" s="47"/>
      <c r="CY236" s="25"/>
      <c r="CZ236" s="25"/>
      <c r="DA236" s="36"/>
      <c r="DB236" s="36"/>
      <c r="DC236" s="25"/>
    </row>
    <row r="237" spans="1:109" s="2" customFormat="1">
      <c r="A237" s="9"/>
      <c r="B237" s="9"/>
      <c r="C237" s="9"/>
      <c r="D237" s="9"/>
      <c r="E237" s="212"/>
      <c r="F237" s="212"/>
      <c r="G237" s="212"/>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36"/>
      <c r="AK237" s="143"/>
      <c r="AL237" s="245"/>
      <c r="AM237" s="36"/>
      <c r="AN237" s="36"/>
      <c r="AO237" s="36"/>
      <c r="AP237" s="36"/>
      <c r="AQ237" s="36"/>
      <c r="AR237" s="36"/>
      <c r="AS237" s="143"/>
      <c r="AT237" s="36"/>
      <c r="AU237" s="36"/>
      <c r="AV237" s="36"/>
      <c r="AW237" s="36"/>
      <c r="AX237" s="245"/>
      <c r="AY237" s="245"/>
      <c r="AZ237" s="245"/>
      <c r="BA237" s="245"/>
      <c r="BB237" s="245"/>
      <c r="BC237" s="245"/>
      <c r="BD237" s="245"/>
      <c r="BE237" s="245"/>
      <c r="BF237" s="245"/>
      <c r="BG237" s="245"/>
      <c r="BH237" s="245"/>
      <c r="BI237" s="245"/>
      <c r="BJ237" s="245"/>
      <c r="BK237" s="245"/>
      <c r="BL237" s="245"/>
      <c r="BM237" s="143"/>
      <c r="BN237" s="143"/>
      <c r="BO237" s="36"/>
      <c r="BP237" s="36"/>
      <c r="BQ237" s="47"/>
      <c r="BR237" s="88"/>
      <c r="BS237" s="11"/>
      <c r="BT237" s="11"/>
      <c r="BU237" s="47"/>
      <c r="BV237" s="47"/>
      <c r="BW237" s="25"/>
      <c r="BX237" s="25"/>
      <c r="BY237" s="25"/>
      <c r="BZ237" s="25"/>
      <c r="CA237" s="19"/>
      <c r="CB237" s="19"/>
      <c r="CC237" s="19"/>
      <c r="CD237" s="19"/>
      <c r="CE237" s="19"/>
      <c r="CF237" s="19"/>
      <c r="CG237" s="19"/>
      <c r="CH237" s="36"/>
      <c r="CI237" s="36"/>
      <c r="CJ237" s="47"/>
      <c r="CK237" s="25"/>
      <c r="CL237" s="25"/>
      <c r="CM237" s="25"/>
      <c r="CN237" s="25"/>
      <c r="CO237" s="25"/>
      <c r="CP237" s="36"/>
      <c r="CQ237" s="36"/>
      <c r="CR237" s="47"/>
      <c r="CS237" s="25"/>
      <c r="CT237" s="25"/>
      <c r="CU237" s="25"/>
      <c r="CV237" s="36"/>
      <c r="CW237" s="36"/>
      <c r="CX237" s="47"/>
      <c r="CY237" s="25"/>
      <c r="CZ237" s="25"/>
      <c r="DA237" s="36"/>
      <c r="DB237" s="36"/>
      <c r="DC237" s="25"/>
    </row>
    <row r="238" spans="1:109">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BQ238" s="47"/>
      <c r="BR238" s="88"/>
      <c r="BS238" s="11"/>
      <c r="BT238" s="11"/>
      <c r="BU238" s="47"/>
      <c r="BV238" s="47"/>
      <c r="BW238" s="25"/>
      <c r="BX238" s="25"/>
      <c r="BY238" s="25"/>
      <c r="BZ238" s="25"/>
      <c r="CA238" s="12"/>
      <c r="CB238" s="12"/>
      <c r="CC238" s="12"/>
      <c r="CD238" s="12"/>
      <c r="CE238" s="12"/>
      <c r="CF238" s="12"/>
      <c r="CG238" s="12"/>
      <c r="CJ238" s="47"/>
      <c r="CK238" s="25"/>
      <c r="CL238" s="25"/>
      <c r="CM238" s="25"/>
      <c r="CN238" s="25"/>
      <c r="CO238" s="25"/>
      <c r="CR238" s="47"/>
      <c r="CS238" s="25"/>
      <c r="CT238" s="25"/>
      <c r="CU238" s="25"/>
      <c r="CX238" s="47"/>
      <c r="CY238" s="25"/>
      <c r="CZ238" s="25"/>
      <c r="DC238" s="25"/>
    </row>
    <row r="239" spans="1:109">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BQ239" s="47"/>
      <c r="BR239" s="88"/>
      <c r="BS239" s="11"/>
      <c r="BT239" s="11"/>
      <c r="BU239" s="47"/>
      <c r="BV239" s="47"/>
      <c r="BW239" s="25"/>
      <c r="BX239" s="25"/>
      <c r="BY239" s="25"/>
      <c r="BZ239" s="25"/>
      <c r="CA239" s="12"/>
      <c r="CB239" s="12"/>
      <c r="CC239" s="12"/>
      <c r="CD239" s="12"/>
      <c r="CE239" s="12"/>
      <c r="CF239" s="12"/>
      <c r="CG239" s="12"/>
      <c r="CJ239" s="47"/>
      <c r="CK239" s="25"/>
      <c r="CL239" s="25"/>
      <c r="CM239" s="25"/>
      <c r="CN239" s="25"/>
      <c r="CO239" s="25"/>
      <c r="CR239" s="47"/>
      <c r="CS239" s="25"/>
      <c r="CT239" s="25"/>
      <c r="CU239" s="25"/>
      <c r="CX239" s="47"/>
      <c r="CY239" s="25"/>
      <c r="CZ239" s="25"/>
      <c r="DC239" s="25"/>
    </row>
    <row r="240" spans="1:109">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BQ240" s="47"/>
      <c r="BR240" s="88"/>
      <c r="BS240" s="11"/>
      <c r="BT240" s="11"/>
      <c r="BU240" s="47"/>
      <c r="BV240" s="47"/>
      <c r="BW240" s="25"/>
      <c r="BX240" s="25"/>
      <c r="BY240" s="25"/>
      <c r="BZ240" s="25"/>
      <c r="CA240" s="12"/>
      <c r="CB240" s="12"/>
      <c r="CC240" s="12"/>
      <c r="CD240" s="12"/>
      <c r="CE240" s="12"/>
      <c r="CF240" s="12"/>
      <c r="CG240" s="12"/>
      <c r="CJ240" s="47"/>
      <c r="CK240" s="25"/>
      <c r="CL240" s="25"/>
      <c r="CM240" s="25"/>
      <c r="CN240" s="25"/>
      <c r="CO240" s="25"/>
      <c r="CR240" s="47"/>
      <c r="CS240" s="25"/>
      <c r="CT240" s="25"/>
      <c r="CU240" s="25"/>
      <c r="CX240" s="47"/>
      <c r="CY240" s="25"/>
      <c r="CZ240" s="25"/>
      <c r="DC240" s="25"/>
    </row>
    <row r="241" spans="8:107" s="1" customFormat="1">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36"/>
      <c r="AK241" s="143"/>
      <c r="AL241" s="245"/>
      <c r="AM241" s="36"/>
      <c r="AN241" s="36"/>
      <c r="AO241" s="36"/>
      <c r="AP241" s="36"/>
      <c r="AQ241" s="36"/>
      <c r="AR241" s="36"/>
      <c r="AS241" s="143"/>
      <c r="AT241" s="36"/>
      <c r="AU241" s="36"/>
      <c r="AV241" s="36"/>
      <c r="AW241" s="36"/>
      <c r="AX241" s="245"/>
      <c r="AY241" s="245"/>
      <c r="AZ241" s="245"/>
      <c r="BA241" s="245"/>
      <c r="BB241" s="245"/>
      <c r="BC241" s="245"/>
      <c r="BD241" s="245"/>
      <c r="BE241" s="245"/>
      <c r="BF241" s="245"/>
      <c r="BG241" s="245"/>
      <c r="BH241" s="245"/>
      <c r="BI241" s="245"/>
      <c r="BJ241" s="245"/>
      <c r="BK241" s="245"/>
      <c r="BL241" s="245"/>
      <c r="BM241" s="143"/>
      <c r="BN241" s="143"/>
      <c r="BO241" s="36"/>
      <c r="BP241" s="36"/>
      <c r="BQ241" s="47"/>
      <c r="BR241" s="88"/>
      <c r="BS241" s="11"/>
      <c r="BT241" s="11"/>
      <c r="BU241" s="47"/>
      <c r="BV241" s="47"/>
      <c r="BW241" s="25"/>
      <c r="BX241" s="25"/>
      <c r="BY241" s="25"/>
      <c r="BZ241" s="25"/>
      <c r="CA241" s="12"/>
      <c r="CB241" s="12"/>
      <c r="CC241" s="12"/>
      <c r="CD241" s="12"/>
      <c r="CE241" s="12"/>
      <c r="CF241" s="12"/>
      <c r="CG241" s="12"/>
      <c r="CH241" s="36"/>
      <c r="CI241" s="36"/>
      <c r="CJ241" s="47"/>
      <c r="CK241" s="25"/>
      <c r="CL241" s="25"/>
      <c r="CM241" s="25"/>
      <c r="CN241" s="25"/>
      <c r="CO241" s="25"/>
      <c r="CP241" s="36"/>
      <c r="CQ241" s="36"/>
      <c r="CR241" s="47"/>
      <c r="CS241" s="25"/>
      <c r="CT241" s="25"/>
      <c r="CU241" s="25"/>
      <c r="CV241" s="36"/>
      <c r="CW241" s="36"/>
      <c r="CX241" s="47"/>
      <c r="CY241" s="25"/>
      <c r="CZ241" s="25"/>
      <c r="DA241" s="36"/>
      <c r="DB241" s="36"/>
      <c r="DC241" s="25"/>
    </row>
    <row r="242" spans="8:107" s="1" customFormat="1">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36"/>
      <c r="AK242" s="143"/>
      <c r="AL242" s="245"/>
      <c r="AM242" s="36"/>
      <c r="AN242" s="36"/>
      <c r="AO242" s="36"/>
      <c r="AP242" s="36"/>
      <c r="AQ242" s="36"/>
      <c r="AR242" s="36"/>
      <c r="AS242" s="143"/>
      <c r="AT242" s="36"/>
      <c r="AU242" s="36"/>
      <c r="AV242" s="36"/>
      <c r="AW242" s="36"/>
      <c r="AX242" s="245"/>
      <c r="AY242" s="245"/>
      <c r="AZ242" s="245"/>
      <c r="BA242" s="245"/>
      <c r="BB242" s="245"/>
      <c r="BC242" s="245"/>
      <c r="BD242" s="245"/>
      <c r="BE242" s="245"/>
      <c r="BF242" s="245"/>
      <c r="BG242" s="245"/>
      <c r="BH242" s="245"/>
      <c r="BI242" s="245"/>
      <c r="BJ242" s="245"/>
      <c r="BK242" s="245"/>
      <c r="BL242" s="245"/>
      <c r="BM242" s="143"/>
      <c r="BN242" s="143"/>
      <c r="BO242" s="36"/>
      <c r="BP242" s="36"/>
      <c r="BQ242" s="47"/>
      <c r="BR242" s="88"/>
      <c r="BS242" s="11"/>
      <c r="BT242" s="11"/>
      <c r="BU242" s="47"/>
      <c r="BV242" s="47"/>
      <c r="BW242" s="25"/>
      <c r="BX242" s="25"/>
      <c r="BY242" s="25"/>
      <c r="BZ242" s="25"/>
      <c r="CA242" s="12"/>
      <c r="CB242" s="12"/>
      <c r="CC242" s="12"/>
      <c r="CD242" s="12"/>
      <c r="CE242" s="12"/>
      <c r="CF242" s="12"/>
      <c r="CG242" s="12"/>
      <c r="CH242" s="36"/>
      <c r="CI242" s="36"/>
      <c r="CJ242" s="47"/>
      <c r="CK242" s="25"/>
      <c r="CL242" s="25"/>
      <c r="CM242" s="25"/>
      <c r="CN242" s="25"/>
      <c r="CO242" s="25"/>
      <c r="CP242" s="36"/>
      <c r="CQ242" s="36"/>
      <c r="CR242" s="47"/>
      <c r="CS242" s="25"/>
      <c r="CT242" s="25"/>
      <c r="CU242" s="25"/>
      <c r="CV242" s="36"/>
      <c r="CW242" s="36"/>
      <c r="CX242" s="47"/>
      <c r="CY242" s="25"/>
      <c r="CZ242" s="25"/>
      <c r="DA242" s="36"/>
      <c r="DB242" s="36"/>
      <c r="DC242" s="25"/>
    </row>
    <row r="243" spans="8:107" s="1" customFormat="1">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36"/>
      <c r="AK243" s="143"/>
      <c r="AL243" s="245"/>
      <c r="AM243" s="36"/>
      <c r="AN243" s="36"/>
      <c r="AO243" s="36"/>
      <c r="AP243" s="36"/>
      <c r="AQ243" s="36"/>
      <c r="AR243" s="36"/>
      <c r="AS243" s="143"/>
      <c r="AT243" s="36"/>
      <c r="AU243" s="36"/>
      <c r="AV243" s="36"/>
      <c r="AW243" s="36"/>
      <c r="AX243" s="245"/>
      <c r="AY243" s="245"/>
      <c r="AZ243" s="245"/>
      <c r="BA243" s="245"/>
      <c r="BB243" s="245"/>
      <c r="BC243" s="245"/>
      <c r="BD243" s="245"/>
      <c r="BE243" s="245"/>
      <c r="BF243" s="245"/>
      <c r="BG243" s="245"/>
      <c r="BH243" s="245"/>
      <c r="BI243" s="245"/>
      <c r="BJ243" s="245"/>
      <c r="BK243" s="245"/>
      <c r="BL243" s="245"/>
      <c r="BM243" s="143"/>
      <c r="BN243" s="143"/>
      <c r="BO243" s="36"/>
      <c r="BP243" s="36"/>
      <c r="BQ243" s="47"/>
      <c r="BR243" s="88"/>
      <c r="BS243" s="11"/>
      <c r="BT243" s="11"/>
      <c r="BU243" s="47"/>
      <c r="BV243" s="47"/>
      <c r="BW243" s="25"/>
      <c r="BX243" s="25"/>
      <c r="BY243" s="25"/>
      <c r="BZ243" s="25"/>
      <c r="CA243" s="12"/>
      <c r="CB243" s="12"/>
      <c r="CC243" s="12"/>
      <c r="CD243" s="12"/>
      <c r="CE243" s="12"/>
      <c r="CF243" s="12"/>
      <c r="CG243" s="12"/>
      <c r="CH243" s="36"/>
      <c r="CI243" s="36"/>
      <c r="CJ243" s="47"/>
      <c r="CK243" s="25"/>
      <c r="CL243" s="25"/>
      <c r="CM243" s="25"/>
      <c r="CN243" s="25"/>
      <c r="CO243" s="25"/>
      <c r="CP243" s="36"/>
      <c r="CQ243" s="36"/>
      <c r="CR243" s="47"/>
      <c r="CS243" s="25"/>
      <c r="CT243" s="25"/>
      <c r="CU243" s="25"/>
      <c r="CV243" s="36"/>
      <c r="CW243" s="36"/>
      <c r="CX243" s="47"/>
      <c r="CY243" s="25"/>
      <c r="CZ243" s="25"/>
      <c r="DA243" s="36"/>
      <c r="DB243" s="36"/>
      <c r="DC243" s="25"/>
    </row>
    <row r="244" spans="8:107" s="1" customFormat="1">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36"/>
      <c r="AK244" s="143"/>
      <c r="AL244" s="245"/>
      <c r="AM244" s="36"/>
      <c r="AN244" s="36"/>
      <c r="AO244" s="36"/>
      <c r="AP244" s="36"/>
      <c r="AQ244" s="36"/>
      <c r="AR244" s="36"/>
      <c r="AS244" s="143"/>
      <c r="AT244" s="36"/>
      <c r="AU244" s="36"/>
      <c r="AV244" s="36"/>
      <c r="AW244" s="36"/>
      <c r="AX244" s="245"/>
      <c r="AY244" s="245"/>
      <c r="AZ244" s="245"/>
      <c r="BA244" s="245"/>
      <c r="BB244" s="245"/>
      <c r="BC244" s="245"/>
      <c r="BD244" s="245"/>
      <c r="BE244" s="245"/>
      <c r="BF244" s="245"/>
      <c r="BG244" s="245"/>
      <c r="BH244" s="245"/>
      <c r="BI244" s="245"/>
      <c r="BJ244" s="245"/>
      <c r="BK244" s="245"/>
      <c r="BL244" s="245"/>
      <c r="BM244" s="143"/>
      <c r="BN244" s="143"/>
      <c r="BO244" s="36"/>
      <c r="BP244" s="36"/>
      <c r="BQ244" s="47"/>
      <c r="BR244" s="88"/>
      <c r="BS244" s="11"/>
      <c r="BT244" s="11"/>
      <c r="BU244" s="47"/>
      <c r="BV244" s="47"/>
      <c r="BW244" s="25"/>
      <c r="BX244" s="25"/>
      <c r="BY244" s="25"/>
      <c r="BZ244" s="25"/>
      <c r="CA244" s="12"/>
      <c r="CB244" s="12"/>
      <c r="CC244" s="12"/>
      <c r="CD244" s="12"/>
      <c r="CE244" s="12"/>
      <c r="CF244" s="12"/>
      <c r="CG244" s="12"/>
      <c r="CH244" s="36"/>
      <c r="CI244" s="36"/>
      <c r="CJ244" s="47"/>
      <c r="CK244" s="25"/>
      <c r="CL244" s="25"/>
      <c r="CM244" s="25"/>
      <c r="CN244" s="25"/>
      <c r="CO244" s="25"/>
      <c r="CP244" s="36"/>
      <c r="CQ244" s="36"/>
      <c r="CR244" s="47"/>
      <c r="CS244" s="25"/>
      <c r="CT244" s="25"/>
      <c r="CU244" s="25"/>
      <c r="CV244" s="36"/>
      <c r="CW244" s="36"/>
      <c r="CX244" s="47"/>
      <c r="CY244" s="25"/>
      <c r="CZ244" s="25"/>
      <c r="DA244" s="36"/>
      <c r="DB244" s="36"/>
      <c r="DC244" s="25"/>
    </row>
    <row r="245" spans="8:107" s="1" customFormat="1">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36"/>
      <c r="AK245" s="143"/>
      <c r="AL245" s="245"/>
      <c r="AM245" s="36"/>
      <c r="AN245" s="36"/>
      <c r="AO245" s="36"/>
      <c r="AP245" s="36"/>
      <c r="AQ245" s="36"/>
      <c r="AR245" s="36"/>
      <c r="AS245" s="143"/>
      <c r="AT245" s="36"/>
      <c r="AU245" s="36"/>
      <c r="AV245" s="36"/>
      <c r="AW245" s="36"/>
      <c r="AX245" s="245"/>
      <c r="AY245" s="245"/>
      <c r="AZ245" s="245"/>
      <c r="BA245" s="245"/>
      <c r="BB245" s="245"/>
      <c r="BC245" s="245"/>
      <c r="BD245" s="245"/>
      <c r="BE245" s="245"/>
      <c r="BF245" s="245"/>
      <c r="BG245" s="245"/>
      <c r="BH245" s="245"/>
      <c r="BI245" s="245"/>
      <c r="BJ245" s="245"/>
      <c r="BK245" s="245"/>
      <c r="BL245" s="245"/>
      <c r="BM245" s="143"/>
      <c r="BN245" s="143"/>
      <c r="BO245" s="36"/>
      <c r="BP245" s="36"/>
      <c r="BQ245" s="47"/>
      <c r="BR245" s="88"/>
      <c r="BS245" s="11"/>
      <c r="BT245" s="11"/>
      <c r="BU245" s="47"/>
      <c r="BV245" s="47"/>
      <c r="BW245" s="25"/>
      <c r="BX245" s="25"/>
      <c r="BY245" s="25"/>
      <c r="BZ245" s="25"/>
      <c r="CA245" s="12"/>
      <c r="CB245" s="12"/>
      <c r="CC245" s="12"/>
      <c r="CD245" s="12"/>
      <c r="CE245" s="12"/>
      <c r="CF245" s="12"/>
      <c r="CG245" s="12"/>
      <c r="CH245" s="36"/>
      <c r="CI245" s="36"/>
      <c r="CJ245" s="47"/>
      <c r="CK245" s="25"/>
      <c r="CL245" s="25"/>
      <c r="CM245" s="25"/>
      <c r="CN245" s="25"/>
      <c r="CO245" s="25"/>
      <c r="CP245" s="36"/>
      <c r="CQ245" s="36"/>
      <c r="CR245" s="47"/>
      <c r="CS245" s="25"/>
      <c r="CT245" s="25"/>
      <c r="CU245" s="25"/>
      <c r="CV245" s="36"/>
      <c r="CW245" s="36"/>
      <c r="CX245" s="47"/>
      <c r="CY245" s="25"/>
      <c r="CZ245" s="25"/>
      <c r="DA245" s="36"/>
      <c r="DB245" s="36"/>
      <c r="DC245" s="25"/>
    </row>
    <row r="246" spans="8:107" s="1" customFormat="1">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36"/>
      <c r="AK246" s="143"/>
      <c r="AL246" s="245"/>
      <c r="AM246" s="36"/>
      <c r="AN246" s="36"/>
      <c r="AO246" s="36"/>
      <c r="AP246" s="36"/>
      <c r="AQ246" s="36"/>
      <c r="AR246" s="36"/>
      <c r="AS246" s="143"/>
      <c r="AT246" s="36"/>
      <c r="AU246" s="36"/>
      <c r="AV246" s="36"/>
      <c r="AW246" s="36"/>
      <c r="AX246" s="245"/>
      <c r="AY246" s="245"/>
      <c r="AZ246" s="245"/>
      <c r="BA246" s="245"/>
      <c r="BB246" s="245"/>
      <c r="BC246" s="245"/>
      <c r="BD246" s="245"/>
      <c r="BE246" s="245"/>
      <c r="BF246" s="245"/>
      <c r="BG246" s="245"/>
      <c r="BH246" s="245"/>
      <c r="BI246" s="245"/>
      <c r="BJ246" s="245"/>
      <c r="BK246" s="245"/>
      <c r="BL246" s="245"/>
      <c r="BM246" s="143"/>
      <c r="BN246" s="143"/>
      <c r="BO246" s="36"/>
      <c r="BP246" s="36"/>
      <c r="BQ246" s="47"/>
      <c r="BR246" s="88"/>
      <c r="BS246" s="11"/>
      <c r="BT246" s="11"/>
      <c r="BU246" s="47"/>
      <c r="BV246" s="47"/>
      <c r="BW246" s="25"/>
      <c r="BX246" s="25"/>
      <c r="BY246" s="25"/>
      <c r="BZ246" s="25"/>
      <c r="CA246" s="12"/>
      <c r="CB246" s="12"/>
      <c r="CC246" s="12"/>
      <c r="CD246" s="12"/>
      <c r="CE246" s="12"/>
      <c r="CF246" s="12"/>
      <c r="CG246" s="12"/>
      <c r="CH246" s="36"/>
      <c r="CI246" s="36"/>
      <c r="CJ246" s="47"/>
      <c r="CK246" s="25"/>
      <c r="CL246" s="25"/>
      <c r="CM246" s="25"/>
      <c r="CN246" s="25"/>
      <c r="CO246" s="25"/>
      <c r="CP246" s="36"/>
      <c r="CQ246" s="36"/>
      <c r="CR246" s="47"/>
      <c r="CS246" s="25"/>
      <c r="CT246" s="25"/>
      <c r="CU246" s="25"/>
      <c r="CV246" s="36"/>
      <c r="CW246" s="36"/>
      <c r="CX246" s="47"/>
      <c r="CY246" s="25"/>
      <c r="CZ246" s="25"/>
      <c r="DA246" s="36"/>
      <c r="DB246" s="36"/>
      <c r="DC246" s="25"/>
    </row>
    <row r="247" spans="8:107" s="1" customFormat="1">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36"/>
      <c r="AK247" s="143"/>
      <c r="AL247" s="245"/>
      <c r="AM247" s="36"/>
      <c r="AN247" s="36"/>
      <c r="AO247" s="36"/>
      <c r="AP247" s="36"/>
      <c r="AQ247" s="36"/>
      <c r="AR247" s="36"/>
      <c r="AS247" s="143"/>
      <c r="AT247" s="36"/>
      <c r="AU247" s="36"/>
      <c r="AV247" s="36"/>
      <c r="AW247" s="36"/>
      <c r="AX247" s="245"/>
      <c r="AY247" s="245"/>
      <c r="AZ247" s="245"/>
      <c r="BA247" s="245"/>
      <c r="BB247" s="245"/>
      <c r="BC247" s="245"/>
      <c r="BD247" s="245"/>
      <c r="BE247" s="245"/>
      <c r="BF247" s="245"/>
      <c r="BG247" s="245"/>
      <c r="BH247" s="245"/>
      <c r="BI247" s="245"/>
      <c r="BJ247" s="245"/>
      <c r="BK247" s="245"/>
      <c r="BL247" s="245"/>
      <c r="BM247" s="143"/>
      <c r="BN247" s="143"/>
      <c r="BO247" s="36"/>
      <c r="BP247" s="36"/>
      <c r="BQ247" s="47"/>
      <c r="BR247" s="88"/>
      <c r="BS247" s="11"/>
      <c r="BT247" s="11"/>
      <c r="BU247" s="47"/>
      <c r="BV247" s="47"/>
      <c r="BW247" s="25"/>
      <c r="BX247" s="25"/>
      <c r="BY247" s="25"/>
      <c r="BZ247" s="25"/>
      <c r="CA247" s="12"/>
      <c r="CB247" s="12"/>
      <c r="CC247" s="12"/>
      <c r="CD247" s="12"/>
      <c r="CE247" s="12"/>
      <c r="CF247" s="12"/>
      <c r="CG247" s="12"/>
      <c r="CH247" s="36"/>
      <c r="CI247" s="36"/>
      <c r="CJ247" s="47"/>
      <c r="CK247" s="25"/>
      <c r="CL247" s="25"/>
      <c r="CM247" s="25"/>
      <c r="CN247" s="25"/>
      <c r="CO247" s="25"/>
      <c r="CP247" s="36"/>
      <c r="CQ247" s="36"/>
      <c r="CR247" s="47"/>
      <c r="CS247" s="25"/>
      <c r="CT247" s="25"/>
      <c r="CU247" s="25"/>
      <c r="CV247" s="36"/>
      <c r="CW247" s="36"/>
      <c r="CX247" s="47"/>
      <c r="CY247" s="25"/>
      <c r="CZ247" s="25"/>
      <c r="DA247" s="36"/>
      <c r="DB247" s="36"/>
      <c r="DC247" s="25"/>
    </row>
    <row r="248" spans="8:107" s="1" customFormat="1">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36"/>
      <c r="AK248" s="143"/>
      <c r="AL248" s="245"/>
      <c r="AM248" s="36"/>
      <c r="AN248" s="36"/>
      <c r="AO248" s="36"/>
      <c r="AP248" s="36"/>
      <c r="AQ248" s="36"/>
      <c r="AR248" s="36"/>
      <c r="AS248" s="143"/>
      <c r="AT248" s="36"/>
      <c r="AU248" s="36"/>
      <c r="AV248" s="36"/>
      <c r="AW248" s="36"/>
      <c r="AX248" s="245"/>
      <c r="AY248" s="245"/>
      <c r="AZ248" s="245"/>
      <c r="BA248" s="245"/>
      <c r="BB248" s="245"/>
      <c r="BC248" s="245"/>
      <c r="BD248" s="245"/>
      <c r="BE248" s="245"/>
      <c r="BF248" s="245"/>
      <c r="BG248" s="245"/>
      <c r="BH248" s="245"/>
      <c r="BI248" s="245"/>
      <c r="BJ248" s="245"/>
      <c r="BK248" s="245"/>
      <c r="BL248" s="245"/>
      <c r="BM248" s="143"/>
      <c r="BN248" s="143"/>
      <c r="BO248" s="36"/>
      <c r="BP248" s="36"/>
      <c r="BQ248" s="47"/>
      <c r="BR248" s="88"/>
      <c r="BS248" s="11"/>
      <c r="BT248" s="11"/>
      <c r="BU248" s="47"/>
      <c r="BV248" s="47"/>
      <c r="BW248" s="25"/>
      <c r="BX248" s="25"/>
      <c r="BY248" s="25"/>
      <c r="BZ248" s="25"/>
      <c r="CA248" s="12"/>
      <c r="CB248" s="12"/>
      <c r="CC248" s="12"/>
      <c r="CD248" s="12"/>
      <c r="CE248" s="12"/>
      <c r="CF248" s="12"/>
      <c r="CG248" s="12"/>
      <c r="CH248" s="36"/>
      <c r="CI248" s="36"/>
      <c r="CJ248" s="47"/>
      <c r="CK248" s="25"/>
      <c r="CL248" s="25"/>
      <c r="CM248" s="25"/>
      <c r="CN248" s="25"/>
      <c r="CO248" s="25"/>
      <c r="CP248" s="36"/>
      <c r="CQ248" s="36"/>
      <c r="CR248" s="47"/>
      <c r="CS248" s="25"/>
      <c r="CT248" s="25"/>
      <c r="CU248" s="25"/>
      <c r="CV248" s="36"/>
      <c r="CW248" s="36"/>
      <c r="CX248" s="47"/>
      <c r="CY248" s="25"/>
      <c r="CZ248" s="25"/>
      <c r="DA248" s="36"/>
      <c r="DB248" s="36"/>
      <c r="DC248" s="25"/>
    </row>
    <row r="249" spans="8:107" s="1" customFormat="1">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36"/>
      <c r="AK249" s="143"/>
      <c r="AL249" s="245"/>
      <c r="AM249" s="36"/>
      <c r="AN249" s="36"/>
      <c r="AO249" s="36"/>
      <c r="AP249" s="36"/>
      <c r="AQ249" s="36"/>
      <c r="AR249" s="36"/>
      <c r="AS249" s="143"/>
      <c r="AT249" s="36"/>
      <c r="AU249" s="36"/>
      <c r="AV249" s="36"/>
      <c r="AW249" s="36"/>
      <c r="AX249" s="245"/>
      <c r="AY249" s="245"/>
      <c r="AZ249" s="245"/>
      <c r="BA249" s="245"/>
      <c r="BB249" s="245"/>
      <c r="BC249" s="245"/>
      <c r="BD249" s="245"/>
      <c r="BE249" s="245"/>
      <c r="BF249" s="245"/>
      <c r="BG249" s="245"/>
      <c r="BH249" s="245"/>
      <c r="BI249" s="245"/>
      <c r="BJ249" s="245"/>
      <c r="BK249" s="245"/>
      <c r="BL249" s="245"/>
      <c r="BM249" s="143"/>
      <c r="BN249" s="143"/>
      <c r="BO249" s="36"/>
      <c r="BP249" s="36"/>
      <c r="BQ249" s="47"/>
      <c r="BR249" s="88"/>
      <c r="BS249" s="11"/>
      <c r="BT249" s="11"/>
      <c r="BU249" s="47"/>
      <c r="BV249" s="47"/>
      <c r="BW249" s="25"/>
      <c r="BX249" s="25"/>
      <c r="BY249" s="25"/>
      <c r="BZ249" s="25"/>
      <c r="CA249" s="12"/>
      <c r="CB249" s="12"/>
      <c r="CC249" s="12"/>
      <c r="CD249" s="12"/>
      <c r="CE249" s="12"/>
      <c r="CF249" s="12"/>
      <c r="CG249" s="12"/>
      <c r="CH249" s="36"/>
      <c r="CI249" s="36"/>
      <c r="CJ249" s="47"/>
      <c r="CK249" s="25"/>
      <c r="CL249" s="25"/>
      <c r="CM249" s="25"/>
      <c r="CN249" s="25"/>
      <c r="CO249" s="25"/>
      <c r="CP249" s="36"/>
      <c r="CQ249" s="36"/>
      <c r="CR249" s="47"/>
      <c r="CS249" s="25"/>
      <c r="CT249" s="25"/>
      <c r="CU249" s="25"/>
      <c r="CV249" s="36"/>
      <c r="CW249" s="36"/>
      <c r="CX249" s="47"/>
      <c r="CY249" s="25"/>
      <c r="CZ249" s="25"/>
      <c r="DA249" s="36"/>
      <c r="DB249" s="36"/>
      <c r="DC249" s="25"/>
    </row>
    <row r="250" spans="8:107" s="1" customFormat="1">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36"/>
      <c r="AK250" s="143"/>
      <c r="AL250" s="245"/>
      <c r="AM250" s="36"/>
      <c r="AN250" s="36"/>
      <c r="AO250" s="36"/>
      <c r="AP250" s="36"/>
      <c r="AQ250" s="36"/>
      <c r="AR250" s="36"/>
      <c r="AS250" s="143"/>
      <c r="AT250" s="36"/>
      <c r="AU250" s="36"/>
      <c r="AV250" s="36"/>
      <c r="AW250" s="36"/>
      <c r="AX250" s="245"/>
      <c r="AY250" s="245"/>
      <c r="AZ250" s="245"/>
      <c r="BA250" s="245"/>
      <c r="BB250" s="245"/>
      <c r="BC250" s="245"/>
      <c r="BD250" s="245"/>
      <c r="BE250" s="245"/>
      <c r="BF250" s="245"/>
      <c r="BG250" s="245"/>
      <c r="BH250" s="245"/>
      <c r="BI250" s="245"/>
      <c r="BJ250" s="245"/>
      <c r="BK250" s="245"/>
      <c r="BL250" s="245"/>
      <c r="BM250" s="143"/>
      <c r="BN250" s="143"/>
      <c r="BO250" s="36"/>
      <c r="BP250" s="36"/>
      <c r="BQ250" s="47"/>
      <c r="BR250" s="88"/>
      <c r="BS250" s="11"/>
      <c r="BT250" s="11"/>
      <c r="BU250" s="47"/>
      <c r="BV250" s="47"/>
      <c r="BW250" s="25"/>
      <c r="BX250" s="25"/>
      <c r="BY250" s="25"/>
      <c r="BZ250" s="25"/>
      <c r="CA250" s="12"/>
      <c r="CB250" s="12"/>
      <c r="CC250" s="12"/>
      <c r="CD250" s="12"/>
      <c r="CE250" s="12"/>
      <c r="CF250" s="12"/>
      <c r="CG250" s="12"/>
      <c r="CH250" s="36"/>
      <c r="CI250" s="36"/>
      <c r="CJ250" s="47"/>
      <c r="CK250" s="25"/>
      <c r="CL250" s="25"/>
      <c r="CM250" s="25"/>
      <c r="CN250" s="25"/>
      <c r="CO250" s="25"/>
      <c r="CP250" s="36"/>
      <c r="CQ250" s="36"/>
      <c r="CR250" s="47"/>
      <c r="CS250" s="25"/>
      <c r="CT250" s="25"/>
      <c r="CU250" s="25"/>
      <c r="CV250" s="36"/>
      <c r="CW250" s="36"/>
      <c r="CX250" s="47"/>
      <c r="CY250" s="25"/>
      <c r="CZ250" s="25"/>
      <c r="DA250" s="36"/>
      <c r="DB250" s="36"/>
      <c r="DC250" s="25"/>
    </row>
    <row r="251" spans="8:107" s="1" customFormat="1">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36"/>
      <c r="AK251" s="143"/>
      <c r="AL251" s="245"/>
      <c r="AM251" s="36"/>
      <c r="AN251" s="36"/>
      <c r="AO251" s="36"/>
      <c r="AP251" s="36"/>
      <c r="AQ251" s="36"/>
      <c r="AR251" s="36"/>
      <c r="AS251" s="143"/>
      <c r="AT251" s="36"/>
      <c r="AU251" s="36"/>
      <c r="AV251" s="36"/>
      <c r="AW251" s="36"/>
      <c r="AX251" s="245"/>
      <c r="AY251" s="245"/>
      <c r="AZ251" s="245"/>
      <c r="BA251" s="245"/>
      <c r="BB251" s="245"/>
      <c r="BC251" s="245"/>
      <c r="BD251" s="245"/>
      <c r="BE251" s="245"/>
      <c r="BF251" s="245"/>
      <c r="BG251" s="245"/>
      <c r="BH251" s="245"/>
      <c r="BI251" s="245"/>
      <c r="BJ251" s="245"/>
      <c r="BK251" s="245"/>
      <c r="BL251" s="245"/>
      <c r="BM251" s="143"/>
      <c r="BN251" s="143"/>
      <c r="BO251" s="36"/>
      <c r="BP251" s="36"/>
      <c r="BQ251" s="47"/>
      <c r="BR251" s="88"/>
      <c r="BS251" s="11"/>
      <c r="BT251" s="11"/>
      <c r="BU251" s="47"/>
      <c r="BV251" s="47"/>
      <c r="BW251" s="25"/>
      <c r="BX251" s="25"/>
      <c r="BY251" s="25"/>
      <c r="BZ251" s="25"/>
      <c r="CA251" s="12"/>
      <c r="CB251" s="12"/>
      <c r="CC251" s="12"/>
      <c r="CD251" s="12"/>
      <c r="CE251" s="12"/>
      <c r="CF251" s="12"/>
      <c r="CG251" s="12"/>
      <c r="CH251" s="36"/>
      <c r="CI251" s="36"/>
      <c r="CJ251" s="47"/>
      <c r="CK251" s="25"/>
      <c r="CL251" s="25"/>
      <c r="CM251" s="25"/>
      <c r="CN251" s="25"/>
      <c r="CO251" s="25"/>
      <c r="CP251" s="36"/>
      <c r="CQ251" s="36"/>
      <c r="CR251" s="47"/>
      <c r="CS251" s="25"/>
      <c r="CT251" s="25"/>
      <c r="CU251" s="25"/>
      <c r="CV251" s="36"/>
      <c r="CW251" s="36"/>
      <c r="CX251" s="47"/>
      <c r="CY251" s="25"/>
      <c r="CZ251" s="25"/>
      <c r="DA251" s="36"/>
      <c r="DB251" s="36"/>
      <c r="DC251" s="25"/>
    </row>
    <row r="252" spans="8:107" s="1" customFormat="1">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36"/>
      <c r="AK252" s="143"/>
      <c r="AL252" s="245"/>
      <c r="AM252" s="36"/>
      <c r="AN252" s="36"/>
      <c r="AO252" s="36"/>
      <c r="AP252" s="36"/>
      <c r="AQ252" s="36"/>
      <c r="AR252" s="36"/>
      <c r="AS252" s="143"/>
      <c r="AT252" s="36"/>
      <c r="AU252" s="36"/>
      <c r="AV252" s="36"/>
      <c r="AW252" s="36"/>
      <c r="AX252" s="245"/>
      <c r="AY252" s="245"/>
      <c r="AZ252" s="245"/>
      <c r="BA252" s="245"/>
      <c r="BB252" s="245"/>
      <c r="BC252" s="245"/>
      <c r="BD252" s="245"/>
      <c r="BE252" s="245"/>
      <c r="BF252" s="245"/>
      <c r="BG252" s="245"/>
      <c r="BH252" s="245"/>
      <c r="BI252" s="245"/>
      <c r="BJ252" s="245"/>
      <c r="BK252" s="245"/>
      <c r="BL252" s="245"/>
      <c r="BM252" s="143"/>
      <c r="BN252" s="143"/>
      <c r="BO252" s="36"/>
      <c r="BP252" s="36"/>
      <c r="BQ252" s="47"/>
      <c r="BR252" s="88"/>
      <c r="BS252" s="11"/>
      <c r="BT252" s="11"/>
      <c r="BU252" s="47"/>
      <c r="BV252" s="47"/>
      <c r="BW252" s="25"/>
      <c r="BX252" s="25"/>
      <c r="BY252" s="25"/>
      <c r="BZ252" s="25"/>
      <c r="CA252" s="12"/>
      <c r="CB252" s="12"/>
      <c r="CC252" s="12"/>
      <c r="CD252" s="12"/>
      <c r="CE252" s="12"/>
      <c r="CF252" s="12"/>
      <c r="CG252" s="12"/>
      <c r="CH252" s="36"/>
      <c r="CI252" s="36"/>
      <c r="CJ252" s="47"/>
      <c r="CK252" s="25"/>
      <c r="CL252" s="25"/>
      <c r="CM252" s="25"/>
      <c r="CN252" s="25"/>
      <c r="CO252" s="25"/>
      <c r="CP252" s="36"/>
      <c r="CQ252" s="36"/>
      <c r="CR252" s="47"/>
      <c r="CS252" s="25"/>
      <c r="CT252" s="25"/>
      <c r="CU252" s="25"/>
      <c r="CV252" s="36"/>
      <c r="CW252" s="36"/>
      <c r="CX252" s="47"/>
      <c r="CY252" s="25"/>
      <c r="CZ252" s="25"/>
      <c r="DA252" s="36"/>
      <c r="DB252" s="36"/>
      <c r="DC252" s="25"/>
    </row>
    <row r="253" spans="8:107" s="1" customFormat="1">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36"/>
      <c r="AK253" s="143"/>
      <c r="AL253" s="245"/>
      <c r="AM253" s="36"/>
      <c r="AN253" s="36"/>
      <c r="AO253" s="36"/>
      <c r="AP253" s="36"/>
      <c r="AQ253" s="36"/>
      <c r="AR253" s="36"/>
      <c r="AS253" s="143"/>
      <c r="AT253" s="36"/>
      <c r="AU253" s="36"/>
      <c r="AV253" s="36"/>
      <c r="AW253" s="36"/>
      <c r="AX253" s="245"/>
      <c r="AY253" s="245"/>
      <c r="AZ253" s="245"/>
      <c r="BA253" s="245"/>
      <c r="BB253" s="245"/>
      <c r="BC253" s="245"/>
      <c r="BD253" s="245"/>
      <c r="BE253" s="245"/>
      <c r="BF253" s="245"/>
      <c r="BG253" s="245"/>
      <c r="BH253" s="245"/>
      <c r="BI253" s="245"/>
      <c r="BJ253" s="245"/>
      <c r="BK253" s="245"/>
      <c r="BL253" s="245"/>
      <c r="BM253" s="143"/>
      <c r="BN253" s="143"/>
      <c r="BO253" s="36"/>
      <c r="BP253" s="36"/>
      <c r="BQ253" s="47"/>
      <c r="BR253" s="88"/>
      <c r="BS253" s="11"/>
      <c r="BT253" s="11"/>
      <c r="BU253" s="47"/>
      <c r="BV253" s="47"/>
      <c r="BW253" s="25"/>
      <c r="BX253" s="25"/>
      <c r="BY253" s="25"/>
      <c r="BZ253" s="25"/>
      <c r="CA253" s="12"/>
      <c r="CB253" s="12"/>
      <c r="CC253" s="12"/>
      <c r="CD253" s="12"/>
      <c r="CE253" s="12"/>
      <c r="CF253" s="12"/>
      <c r="CG253" s="12"/>
      <c r="CH253" s="36"/>
      <c r="CI253" s="36"/>
      <c r="CJ253" s="47"/>
      <c r="CK253" s="25"/>
      <c r="CL253" s="25"/>
      <c r="CM253" s="25"/>
      <c r="CN253" s="25"/>
      <c r="CO253" s="25"/>
      <c r="CP253" s="36"/>
      <c r="CQ253" s="36"/>
      <c r="CR253" s="47"/>
      <c r="CS253" s="25"/>
      <c r="CT253" s="25"/>
      <c r="CU253" s="25"/>
      <c r="CV253" s="36"/>
      <c r="CW253" s="36"/>
      <c r="CX253" s="47"/>
      <c r="CY253" s="25"/>
      <c r="CZ253" s="25"/>
      <c r="DA253" s="36"/>
      <c r="DB253" s="36"/>
      <c r="DC253" s="25"/>
    </row>
    <row r="254" spans="8:107" s="1" customFormat="1">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36"/>
      <c r="AK254" s="143"/>
      <c r="AL254" s="245"/>
      <c r="AM254" s="36"/>
      <c r="AN254" s="36"/>
      <c r="AO254" s="36"/>
      <c r="AP254" s="36"/>
      <c r="AQ254" s="36"/>
      <c r="AR254" s="36"/>
      <c r="AS254" s="143"/>
      <c r="AT254" s="36"/>
      <c r="AU254" s="36"/>
      <c r="AV254" s="36"/>
      <c r="AW254" s="36"/>
      <c r="AX254" s="245"/>
      <c r="AY254" s="245"/>
      <c r="AZ254" s="245"/>
      <c r="BA254" s="245"/>
      <c r="BB254" s="245"/>
      <c r="BC254" s="245"/>
      <c r="BD254" s="245"/>
      <c r="BE254" s="245"/>
      <c r="BF254" s="245"/>
      <c r="BG254" s="245"/>
      <c r="BH254" s="245"/>
      <c r="BI254" s="245"/>
      <c r="BJ254" s="245"/>
      <c r="BK254" s="245"/>
      <c r="BL254" s="245"/>
      <c r="BM254" s="143"/>
      <c r="BN254" s="143"/>
      <c r="BO254" s="36"/>
      <c r="BP254" s="36"/>
      <c r="BQ254" s="47"/>
      <c r="BR254" s="88"/>
      <c r="BS254" s="11"/>
      <c r="BT254" s="11"/>
      <c r="BU254" s="47"/>
      <c r="BV254" s="47"/>
      <c r="BW254" s="25"/>
      <c r="BX254" s="25"/>
      <c r="BY254" s="25"/>
      <c r="BZ254" s="25"/>
      <c r="CA254" s="12"/>
      <c r="CB254" s="12"/>
      <c r="CC254" s="12"/>
      <c r="CD254" s="12"/>
      <c r="CE254" s="12"/>
      <c r="CF254" s="12"/>
      <c r="CG254" s="12"/>
      <c r="CH254" s="36"/>
      <c r="CI254" s="36"/>
      <c r="CJ254" s="47"/>
      <c r="CK254" s="25"/>
      <c r="CL254" s="25"/>
      <c r="CM254" s="25"/>
      <c r="CN254" s="25"/>
      <c r="CO254" s="25"/>
      <c r="CP254" s="36"/>
      <c r="CQ254" s="36"/>
      <c r="CR254" s="47"/>
      <c r="CS254" s="25"/>
      <c r="CT254" s="25"/>
      <c r="CU254" s="25"/>
      <c r="CV254" s="36"/>
      <c r="CW254" s="36"/>
      <c r="CX254" s="47"/>
      <c r="CY254" s="25"/>
      <c r="CZ254" s="25"/>
      <c r="DA254" s="36"/>
      <c r="DB254" s="36"/>
      <c r="DC254" s="25"/>
    </row>
    <row r="255" spans="8:107" s="1" customFormat="1">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36"/>
      <c r="AK255" s="143"/>
      <c r="AL255" s="245"/>
      <c r="AM255" s="36"/>
      <c r="AN255" s="36"/>
      <c r="AO255" s="36"/>
      <c r="AP255" s="36"/>
      <c r="AQ255" s="36"/>
      <c r="AR255" s="36"/>
      <c r="AS255" s="143"/>
      <c r="AT255" s="36"/>
      <c r="AU255" s="36"/>
      <c r="AV255" s="36"/>
      <c r="AW255" s="36"/>
      <c r="AX255" s="245"/>
      <c r="AY255" s="245"/>
      <c r="AZ255" s="245"/>
      <c r="BA255" s="245"/>
      <c r="BB255" s="245"/>
      <c r="BC255" s="245"/>
      <c r="BD255" s="245"/>
      <c r="BE255" s="245"/>
      <c r="BF255" s="245"/>
      <c r="BG255" s="245"/>
      <c r="BH255" s="245"/>
      <c r="BI255" s="245"/>
      <c r="BJ255" s="245"/>
      <c r="BK255" s="245"/>
      <c r="BL255" s="245"/>
      <c r="BM255" s="143"/>
      <c r="BN255" s="143"/>
      <c r="BO255" s="36"/>
      <c r="BP255" s="36"/>
      <c r="BQ255" s="47"/>
      <c r="BR255" s="88"/>
      <c r="BS255" s="11"/>
      <c r="BT255" s="11"/>
      <c r="BU255" s="47"/>
      <c r="BV255" s="47"/>
      <c r="BW255" s="25"/>
      <c r="BX255" s="25"/>
      <c r="BY255" s="25"/>
      <c r="BZ255" s="25"/>
      <c r="CA255" s="12"/>
      <c r="CB255" s="12"/>
      <c r="CC255" s="12"/>
      <c r="CD255" s="12"/>
      <c r="CE255" s="12"/>
      <c r="CF255" s="12"/>
      <c r="CG255" s="12"/>
      <c r="CH255" s="36"/>
      <c r="CI255" s="36"/>
      <c r="CJ255" s="47"/>
      <c r="CK255" s="25"/>
      <c r="CL255" s="25"/>
      <c r="CM255" s="25"/>
      <c r="CN255" s="25"/>
      <c r="CO255" s="25"/>
      <c r="CP255" s="36"/>
      <c r="CQ255" s="36"/>
      <c r="CR255" s="47"/>
      <c r="CS255" s="25"/>
      <c r="CT255" s="25"/>
      <c r="CU255" s="25"/>
      <c r="CV255" s="36"/>
      <c r="CW255" s="36"/>
      <c r="CX255" s="47"/>
      <c r="CY255" s="25"/>
      <c r="CZ255" s="25"/>
      <c r="DA255" s="36"/>
      <c r="DB255" s="36"/>
      <c r="DC255" s="25"/>
    </row>
    <row r="256" spans="8:107" s="1" customFormat="1">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36"/>
      <c r="AK256" s="143"/>
      <c r="AL256" s="245"/>
      <c r="AM256" s="36"/>
      <c r="AN256" s="36"/>
      <c r="AO256" s="36"/>
      <c r="AP256" s="36"/>
      <c r="AQ256" s="36"/>
      <c r="AR256" s="36"/>
      <c r="AS256" s="143"/>
      <c r="AT256" s="36"/>
      <c r="AU256" s="36"/>
      <c r="AV256" s="36"/>
      <c r="AW256" s="36"/>
      <c r="AX256" s="245"/>
      <c r="AY256" s="245"/>
      <c r="AZ256" s="245"/>
      <c r="BA256" s="245"/>
      <c r="BB256" s="245"/>
      <c r="BC256" s="245"/>
      <c r="BD256" s="245"/>
      <c r="BE256" s="245"/>
      <c r="BF256" s="245"/>
      <c r="BG256" s="245"/>
      <c r="BH256" s="245"/>
      <c r="BI256" s="245"/>
      <c r="BJ256" s="245"/>
      <c r="BK256" s="245"/>
      <c r="BL256" s="245"/>
      <c r="BM256" s="143"/>
      <c r="BN256" s="143"/>
      <c r="BO256" s="36"/>
      <c r="BP256" s="36"/>
      <c r="BQ256" s="47"/>
      <c r="BR256" s="47"/>
      <c r="BS256" s="12"/>
      <c r="BT256" s="12"/>
      <c r="BU256" s="47"/>
      <c r="BV256" s="47"/>
      <c r="BW256" s="25"/>
      <c r="BX256" s="25"/>
      <c r="BY256" s="25"/>
      <c r="BZ256" s="25"/>
      <c r="CA256" s="12"/>
      <c r="CB256" s="12"/>
      <c r="CC256" s="12"/>
      <c r="CD256" s="12"/>
      <c r="CE256" s="12"/>
      <c r="CF256" s="12"/>
      <c r="CG256" s="12"/>
      <c r="CH256" s="36"/>
      <c r="CI256" s="36"/>
      <c r="CJ256" s="47"/>
      <c r="CK256" s="25"/>
      <c r="CL256" s="25"/>
      <c r="CM256" s="25"/>
      <c r="CN256" s="25"/>
      <c r="CO256" s="25"/>
      <c r="CP256" s="36"/>
      <c r="CQ256" s="36"/>
      <c r="CR256" s="47"/>
      <c r="CS256" s="25"/>
      <c r="CT256" s="25"/>
      <c r="CU256" s="25"/>
      <c r="CV256" s="36"/>
      <c r="CW256" s="36"/>
      <c r="CX256" s="47"/>
      <c r="CY256" s="25"/>
      <c r="CZ256" s="25"/>
      <c r="DA256" s="36"/>
      <c r="DB256" s="36"/>
      <c r="DC256" s="25"/>
    </row>
    <row r="257" spans="69:107" s="1" customFormat="1">
      <c r="BQ257" s="47"/>
      <c r="BR257" s="47"/>
      <c r="BS257" s="12"/>
      <c r="BT257" s="12"/>
      <c r="BU257" s="47"/>
      <c r="BV257" s="47"/>
      <c r="BW257" s="25"/>
      <c r="BX257" s="25"/>
      <c r="BY257" s="25"/>
      <c r="BZ257" s="25"/>
      <c r="CA257" s="12"/>
      <c r="CB257" s="12"/>
      <c r="CC257" s="12"/>
      <c r="CD257" s="12"/>
      <c r="CE257" s="12"/>
      <c r="CF257" s="12"/>
      <c r="CG257" s="12"/>
      <c r="CH257" s="36"/>
      <c r="CI257" s="36"/>
      <c r="CJ257" s="47"/>
      <c r="CK257" s="25"/>
      <c r="CL257" s="25"/>
      <c r="CM257" s="25"/>
      <c r="CN257" s="25"/>
      <c r="CO257" s="25"/>
      <c r="CP257" s="36"/>
      <c r="CQ257" s="36"/>
      <c r="CR257" s="47"/>
      <c r="CS257" s="25"/>
      <c r="CT257" s="25"/>
      <c r="CU257" s="25"/>
      <c r="CV257" s="36"/>
      <c r="CW257" s="36"/>
      <c r="CX257" s="47"/>
      <c r="CY257" s="25"/>
      <c r="CZ257" s="25"/>
      <c r="DA257" s="36"/>
      <c r="DB257" s="36"/>
      <c r="DC257" s="25"/>
    </row>
    <row r="258" spans="69:107" s="1" customFormat="1">
      <c r="BQ258" s="47"/>
      <c r="BR258" s="47"/>
      <c r="BS258" s="12"/>
      <c r="BT258" s="12"/>
      <c r="BU258" s="47"/>
      <c r="BV258" s="47"/>
      <c r="BW258" s="25"/>
      <c r="BX258" s="25"/>
      <c r="BY258" s="25"/>
      <c r="BZ258" s="25"/>
      <c r="CA258" s="12"/>
      <c r="CB258" s="12"/>
      <c r="CC258" s="12"/>
      <c r="CD258" s="12"/>
      <c r="CE258" s="12"/>
      <c r="CF258" s="12"/>
      <c r="CG258" s="12"/>
      <c r="CH258" s="36"/>
      <c r="CI258" s="36"/>
      <c r="CJ258" s="47"/>
      <c r="CK258" s="25"/>
      <c r="CL258" s="25"/>
      <c r="CM258" s="25"/>
      <c r="CN258" s="25"/>
      <c r="CO258" s="25"/>
      <c r="CP258" s="36"/>
      <c r="CQ258" s="36"/>
      <c r="CR258" s="47"/>
      <c r="CS258" s="25"/>
      <c r="CT258" s="25"/>
      <c r="CU258" s="25"/>
      <c r="CV258" s="36"/>
      <c r="CW258" s="36"/>
      <c r="CX258" s="47"/>
      <c r="CY258" s="25"/>
      <c r="CZ258" s="25"/>
      <c r="DA258" s="36"/>
      <c r="DB258" s="36"/>
      <c r="DC258" s="25"/>
    </row>
    <row r="259" spans="69:107" s="1" customFormat="1">
      <c r="BQ259" s="47"/>
      <c r="BR259" s="47"/>
      <c r="BS259" s="12"/>
      <c r="BT259" s="12"/>
      <c r="BU259" s="47"/>
      <c r="BV259" s="47"/>
      <c r="BW259" s="25"/>
      <c r="BX259" s="25"/>
      <c r="BY259" s="25"/>
      <c r="BZ259" s="25"/>
      <c r="CA259" s="12"/>
      <c r="CB259" s="12"/>
      <c r="CC259" s="12"/>
      <c r="CD259" s="12"/>
      <c r="CE259" s="12"/>
      <c r="CF259" s="12"/>
      <c r="CG259" s="12"/>
      <c r="CH259" s="36"/>
      <c r="CI259" s="36"/>
      <c r="CJ259" s="47"/>
      <c r="CK259" s="25"/>
      <c r="CL259" s="25"/>
      <c r="CM259" s="25"/>
      <c r="CN259" s="25"/>
      <c r="CO259" s="25"/>
      <c r="CP259" s="36"/>
      <c r="CQ259" s="36"/>
      <c r="CR259" s="47"/>
      <c r="CS259" s="25"/>
      <c r="CT259" s="25"/>
      <c r="CU259" s="25"/>
      <c r="CV259" s="36"/>
      <c r="CW259" s="36"/>
      <c r="CX259" s="47"/>
      <c r="CY259" s="25"/>
      <c r="CZ259" s="25"/>
      <c r="DA259" s="36"/>
      <c r="DB259" s="36"/>
      <c r="DC259" s="25"/>
    </row>
    <row r="260" spans="69:107" s="1" customFormat="1">
      <c r="BQ260" s="47"/>
      <c r="BR260" s="47"/>
      <c r="BS260" s="12"/>
      <c r="BT260" s="12"/>
      <c r="BU260" s="47"/>
      <c r="BV260" s="47"/>
      <c r="BW260" s="25"/>
      <c r="BX260" s="25"/>
      <c r="BY260" s="25"/>
      <c r="BZ260" s="25"/>
      <c r="CA260" s="12"/>
      <c r="CB260" s="12"/>
      <c r="CC260" s="12"/>
      <c r="CD260" s="12"/>
      <c r="CE260" s="12"/>
      <c r="CF260" s="12"/>
      <c r="CG260" s="12"/>
      <c r="CH260" s="36"/>
      <c r="CI260" s="36"/>
      <c r="CJ260" s="47"/>
      <c r="CK260" s="25"/>
      <c r="CL260" s="25"/>
      <c r="CM260" s="25"/>
      <c r="CN260" s="25"/>
      <c r="CO260" s="25"/>
      <c r="CP260" s="36"/>
      <c r="CQ260" s="36"/>
      <c r="CR260" s="47"/>
      <c r="CS260" s="25"/>
      <c r="CT260" s="25"/>
      <c r="CU260" s="25"/>
      <c r="CV260" s="36"/>
      <c r="CW260" s="36"/>
      <c r="CX260" s="47"/>
      <c r="CY260" s="25"/>
      <c r="CZ260" s="25"/>
      <c r="DA260" s="36"/>
      <c r="DB260" s="36"/>
      <c r="DC260" s="25"/>
    </row>
    <row r="261" spans="69:107" s="1" customFormat="1">
      <c r="BQ261" s="47"/>
      <c r="BR261" s="47"/>
      <c r="BS261" s="12"/>
      <c r="BT261" s="12"/>
      <c r="BU261" s="47"/>
      <c r="BV261" s="47"/>
      <c r="BW261" s="25"/>
      <c r="BX261" s="25"/>
      <c r="BY261" s="25"/>
      <c r="BZ261" s="25"/>
      <c r="CA261" s="12"/>
      <c r="CB261" s="12"/>
      <c r="CC261" s="12"/>
      <c r="CD261" s="12"/>
      <c r="CE261" s="12"/>
      <c r="CF261" s="12"/>
      <c r="CG261" s="12"/>
      <c r="CH261" s="36"/>
      <c r="CI261" s="36"/>
      <c r="CJ261" s="47"/>
      <c r="CK261" s="25"/>
      <c r="CL261" s="25"/>
      <c r="CM261" s="25"/>
      <c r="CN261" s="25"/>
      <c r="CO261" s="25"/>
      <c r="CP261" s="36"/>
      <c r="CQ261" s="36"/>
      <c r="CR261" s="47"/>
      <c r="CS261" s="25"/>
      <c r="CT261" s="25"/>
      <c r="CU261" s="25"/>
      <c r="CV261" s="36"/>
      <c r="CW261" s="36"/>
      <c r="CX261" s="47"/>
      <c r="CY261" s="25"/>
      <c r="CZ261" s="25"/>
      <c r="DA261" s="36"/>
      <c r="DB261" s="36"/>
      <c r="DC261" s="25"/>
    </row>
    <row r="262" spans="69:107" s="1" customFormat="1">
      <c r="BQ262" s="47"/>
      <c r="BR262" s="47"/>
      <c r="BS262" s="12"/>
      <c r="BT262" s="12"/>
      <c r="BU262" s="47"/>
      <c r="BV262" s="47"/>
      <c r="BW262" s="25"/>
      <c r="BX262" s="25"/>
      <c r="BY262" s="25"/>
      <c r="BZ262" s="25"/>
      <c r="CA262" s="12"/>
      <c r="CB262" s="12"/>
      <c r="CC262" s="12"/>
      <c r="CD262" s="12"/>
      <c r="CE262" s="12"/>
      <c r="CF262" s="12"/>
      <c r="CG262" s="12"/>
      <c r="CH262" s="36"/>
      <c r="CI262" s="36"/>
      <c r="CJ262" s="47"/>
      <c r="CK262" s="25"/>
      <c r="CL262" s="25"/>
      <c r="CM262" s="25"/>
      <c r="CN262" s="25"/>
      <c r="CO262" s="25"/>
      <c r="CP262" s="36"/>
      <c r="CQ262" s="36"/>
      <c r="CR262" s="47"/>
      <c r="CS262" s="25"/>
      <c r="CT262" s="25"/>
      <c r="CU262" s="25"/>
      <c r="CV262" s="36"/>
      <c r="CW262" s="36"/>
      <c r="CX262" s="47"/>
      <c r="CY262" s="25"/>
      <c r="CZ262" s="25"/>
      <c r="DA262" s="36"/>
      <c r="DB262" s="36"/>
      <c r="DC262" s="25"/>
    </row>
    <row r="263" spans="69:107" s="1" customFormat="1">
      <c r="BQ263" s="47"/>
      <c r="BR263" s="47"/>
      <c r="BS263" s="12"/>
      <c r="BT263" s="12"/>
      <c r="BU263" s="47"/>
      <c r="BV263" s="47"/>
      <c r="BW263" s="25"/>
      <c r="BX263" s="25"/>
      <c r="BY263" s="25"/>
      <c r="BZ263" s="25"/>
      <c r="CA263" s="12"/>
      <c r="CB263" s="12"/>
      <c r="CC263" s="12"/>
      <c r="CD263" s="12"/>
      <c r="CE263" s="12"/>
      <c r="CF263" s="12"/>
      <c r="CG263" s="12"/>
      <c r="CH263" s="36"/>
      <c r="CI263" s="36"/>
      <c r="CJ263" s="47"/>
      <c r="CK263" s="25"/>
      <c r="CL263" s="25"/>
      <c r="CM263" s="25"/>
      <c r="CN263" s="25"/>
      <c r="CO263" s="25"/>
      <c r="CP263" s="36"/>
      <c r="CQ263" s="36"/>
      <c r="CR263" s="47"/>
      <c r="CS263" s="25"/>
      <c r="CT263" s="25"/>
      <c r="CU263" s="25"/>
      <c r="CV263" s="36"/>
      <c r="CW263" s="36"/>
      <c r="CX263" s="47"/>
      <c r="CY263" s="25"/>
      <c r="CZ263" s="25"/>
      <c r="DA263" s="36"/>
      <c r="DB263" s="36"/>
      <c r="DC263" s="25"/>
    </row>
  </sheetData>
  <mergeCells count="4780">
    <mergeCell ref="AR173:AR174"/>
    <mergeCell ref="AS173:AS174"/>
    <mergeCell ref="AT173:AT174"/>
    <mergeCell ref="AR181:AR183"/>
    <mergeCell ref="AS181:AS183"/>
    <mergeCell ref="AT181:AT183"/>
    <mergeCell ref="AR225:AR228"/>
    <mergeCell ref="AS225:AS228"/>
    <mergeCell ref="AT225:AT228"/>
    <mergeCell ref="AR187:AR189"/>
    <mergeCell ref="AS187:AS189"/>
    <mergeCell ref="AT187:AT189"/>
    <mergeCell ref="AR190:AR197"/>
    <mergeCell ref="AS190:AS197"/>
    <mergeCell ref="AT190:AT197"/>
    <mergeCell ref="AR207:AR210"/>
    <mergeCell ref="AS207:AS210"/>
    <mergeCell ref="AT207:AT210"/>
    <mergeCell ref="AS198:AS200"/>
    <mergeCell ref="AT198:AT200"/>
    <mergeCell ref="AR201:AR202"/>
    <mergeCell ref="AS201:AS202"/>
    <mergeCell ref="AT201:AT202"/>
    <mergeCell ref="AR203:AR206"/>
    <mergeCell ref="AS203:AS206"/>
    <mergeCell ref="AR198:AR200"/>
    <mergeCell ref="AS109:AS112"/>
    <mergeCell ref="AT109:AT112"/>
    <mergeCell ref="AR113:AR115"/>
    <mergeCell ref="AS113:AS115"/>
    <mergeCell ref="AT113:AT115"/>
    <mergeCell ref="AR121:AR124"/>
    <mergeCell ref="AS121:AS124"/>
    <mergeCell ref="AT121:AT124"/>
    <mergeCell ref="AT147:AT149"/>
    <mergeCell ref="AR141:AR143"/>
    <mergeCell ref="AS141:AS143"/>
    <mergeCell ref="AT150:AT152"/>
    <mergeCell ref="AR157:AR160"/>
    <mergeCell ref="AS157:AS160"/>
    <mergeCell ref="AT157:AT160"/>
    <mergeCell ref="AR162:AR168"/>
    <mergeCell ref="AS162:AS168"/>
    <mergeCell ref="AT162:AT168"/>
    <mergeCell ref="AR42:AR44"/>
    <mergeCell ref="AS42:AS44"/>
    <mergeCell ref="AT42:AT44"/>
    <mergeCell ref="AR69:AR72"/>
    <mergeCell ref="AS69:AS72"/>
    <mergeCell ref="AT69:AT72"/>
    <mergeCell ref="AR54:AR56"/>
    <mergeCell ref="AS54:AS56"/>
    <mergeCell ref="AT54:AT56"/>
    <mergeCell ref="AR73:AR74"/>
    <mergeCell ref="AS73:AS74"/>
    <mergeCell ref="AT73:AT74"/>
    <mergeCell ref="AR75:AR77"/>
    <mergeCell ref="AS75:AS77"/>
    <mergeCell ref="AT75:AT77"/>
    <mergeCell ref="AR80:AR83"/>
    <mergeCell ref="AS80:AS83"/>
    <mergeCell ref="AT80:AT83"/>
    <mergeCell ref="AR57:AR60"/>
    <mergeCell ref="AS57:AS60"/>
    <mergeCell ref="AT57:AT60"/>
    <mergeCell ref="AQ73:AQ74"/>
    <mergeCell ref="AQ75:AQ77"/>
    <mergeCell ref="AR150:AR152"/>
    <mergeCell ref="AS150:AS152"/>
    <mergeCell ref="AU173:AU174"/>
    <mergeCell ref="AU225:AU228"/>
    <mergeCell ref="AV225:AV228"/>
    <mergeCell ref="AW225:AW228"/>
    <mergeCell ref="AU6:AW7"/>
    <mergeCell ref="AU187:AU189"/>
    <mergeCell ref="AV187:AV189"/>
    <mergeCell ref="AW187:AW189"/>
    <mergeCell ref="AU190:AU197"/>
    <mergeCell ref="AV190:AV197"/>
    <mergeCell ref="AU198:AU200"/>
    <mergeCell ref="AV198:AV200"/>
    <mergeCell ref="AW198:AW200"/>
    <mergeCell ref="AU201:AU202"/>
    <mergeCell ref="AV201:AV202"/>
    <mergeCell ref="AW201:AW202"/>
    <mergeCell ref="AU207:AU210"/>
    <mergeCell ref="AV207:AV210"/>
    <mergeCell ref="AW207:AW210"/>
    <mergeCell ref="AU162:AU168"/>
    <mergeCell ref="AV162:AV168"/>
    <mergeCell ref="AW162:AW168"/>
    <mergeCell ref="AU169:AU172"/>
    <mergeCell ref="AV169:AV172"/>
    <mergeCell ref="AW169:AW172"/>
    <mergeCell ref="AW190:AW197"/>
    <mergeCell ref="AV75:AV77"/>
    <mergeCell ref="AW75:AW77"/>
    <mergeCell ref="AS84:AS86"/>
    <mergeCell ref="AT84:AT86"/>
    <mergeCell ref="AU103:AU108"/>
    <mergeCell ref="AV103:AV108"/>
    <mergeCell ref="AW69:AW72"/>
    <mergeCell ref="AU73:AU74"/>
    <mergeCell ref="AU87:AU89"/>
    <mergeCell ref="AV87:AV89"/>
    <mergeCell ref="AW87:AW89"/>
    <mergeCell ref="AU90:AU93"/>
    <mergeCell ref="AV90:AV93"/>
    <mergeCell ref="AW90:AW93"/>
    <mergeCell ref="AW73:AW74"/>
    <mergeCell ref="AU75:AU77"/>
    <mergeCell ref="AW184:AW186"/>
    <mergeCell ref="AW103:AW108"/>
    <mergeCell ref="AU109:AU112"/>
    <mergeCell ref="AV109:AV112"/>
    <mergeCell ref="AW109:AW112"/>
    <mergeCell ref="AU113:AU115"/>
    <mergeCell ref="AV113:AV115"/>
    <mergeCell ref="AW113:AW115"/>
    <mergeCell ref="AU116:AU117"/>
    <mergeCell ref="AV116:AV117"/>
    <mergeCell ref="AW126:AW129"/>
    <mergeCell ref="AU80:AU83"/>
    <mergeCell ref="AV80:AV83"/>
    <mergeCell ref="AW80:AW83"/>
    <mergeCell ref="AV173:AV174"/>
    <mergeCell ref="AS90:AS93"/>
    <mergeCell ref="AT90:AT93"/>
    <mergeCell ref="AS94:AS98"/>
    <mergeCell ref="AP190:AP197"/>
    <mergeCell ref="AP198:AP200"/>
    <mergeCell ref="AO184:AO186"/>
    <mergeCell ref="AO203:AO206"/>
    <mergeCell ref="AP218:AP221"/>
    <mergeCell ref="AP222:AP224"/>
    <mergeCell ref="AP225:AP228"/>
    <mergeCell ref="AP132:AP134"/>
    <mergeCell ref="AP141:AP143"/>
    <mergeCell ref="AP147:AP149"/>
    <mergeCell ref="AP150:AP152"/>
    <mergeCell ref="AO201:AO202"/>
    <mergeCell ref="AP203:AP206"/>
    <mergeCell ref="AP207:AP210"/>
    <mergeCell ref="AP211:AP214"/>
    <mergeCell ref="AP215:AP217"/>
    <mergeCell ref="AQ198:AQ200"/>
    <mergeCell ref="AQ173:AQ174"/>
    <mergeCell ref="AQ190:AQ197"/>
    <mergeCell ref="AO173:AO174"/>
    <mergeCell ref="AP173:AP174"/>
    <mergeCell ref="AQ132:AQ134"/>
    <mergeCell ref="A6:B7"/>
    <mergeCell ref="C6:C8"/>
    <mergeCell ref="D6:G7"/>
    <mergeCell ref="H6:K7"/>
    <mergeCell ref="L6:O7"/>
    <mergeCell ref="P6:S7"/>
    <mergeCell ref="T6:W7"/>
    <mergeCell ref="J9:J12"/>
    <mergeCell ref="K9:K12"/>
    <mergeCell ref="L9:L12"/>
    <mergeCell ref="M9:M12"/>
    <mergeCell ref="N9:N12"/>
    <mergeCell ref="O9:O12"/>
    <mergeCell ref="X9:X12"/>
    <mergeCell ref="Y9:Y12"/>
    <mergeCell ref="Z9:Z12"/>
    <mergeCell ref="AA9:AA12"/>
    <mergeCell ref="P9:P12"/>
    <mergeCell ref="T9:T12"/>
    <mergeCell ref="D9:D12"/>
    <mergeCell ref="C9:C12"/>
    <mergeCell ref="B9:B44"/>
    <mergeCell ref="Q9:Q12"/>
    <mergeCell ref="R9:R12"/>
    <mergeCell ref="S9:S12"/>
    <mergeCell ref="H9:H12"/>
    <mergeCell ref="I9:I12"/>
    <mergeCell ref="H22:H23"/>
    <mergeCell ref="I22:I23"/>
    <mergeCell ref="X6:AA7"/>
    <mergeCell ref="J19:J21"/>
    <mergeCell ref="K19:K21"/>
    <mergeCell ref="CX7:CZ7"/>
    <mergeCell ref="DB7:DB8"/>
    <mergeCell ref="CR7:CU7"/>
    <mergeCell ref="CW7:CW8"/>
    <mergeCell ref="BM6:BR6"/>
    <mergeCell ref="BS6:BT7"/>
    <mergeCell ref="DC7:DC8"/>
    <mergeCell ref="DD7:DD8"/>
    <mergeCell ref="CP6:CP8"/>
    <mergeCell ref="CV6:CV8"/>
    <mergeCell ref="DA6:DA8"/>
    <mergeCell ref="BM7:BN7"/>
    <mergeCell ref="BO7:BP7"/>
    <mergeCell ref="BQ7:BR7"/>
    <mergeCell ref="CI7:CI8"/>
    <mergeCell ref="CQ7:CQ8"/>
    <mergeCell ref="BU6:CG7"/>
    <mergeCell ref="CH6:CH8"/>
    <mergeCell ref="CJ6:CO7"/>
    <mergeCell ref="CM9:CM12"/>
    <mergeCell ref="CB9:CB12"/>
    <mergeCell ref="CC9:CC12"/>
    <mergeCell ref="U9:U12"/>
    <mergeCell ref="CD9:CD12"/>
    <mergeCell ref="CE9:CE12"/>
    <mergeCell ref="CF9:CF12"/>
    <mergeCell ref="CG9:CG12"/>
    <mergeCell ref="BV9:BV12"/>
    <mergeCell ref="BW9:BW12"/>
    <mergeCell ref="BQ9:BR12"/>
    <mergeCell ref="BS9:BT12"/>
    <mergeCell ref="BU9:BU12"/>
    <mergeCell ref="AH9:AH12"/>
    <mergeCell ref="AI9:AI12"/>
    <mergeCell ref="AJ9:AJ12"/>
    <mergeCell ref="AK9:AK12"/>
    <mergeCell ref="AR9:AR12"/>
    <mergeCell ref="AS9:AS12"/>
    <mergeCell ref="AV9:AV12"/>
    <mergeCell ref="AW9:AW12"/>
    <mergeCell ref="AF9:AF12"/>
    <mergeCell ref="AG9:AG12"/>
    <mergeCell ref="V9:V12"/>
    <mergeCell ref="W9:W12"/>
    <mergeCell ref="CH9:CH12"/>
    <mergeCell ref="CI9:CI12"/>
    <mergeCell ref="BX9:BX12"/>
    <mergeCell ref="BZ9:BZ12"/>
    <mergeCell ref="CA9:CA12"/>
    <mergeCell ref="BM9:BN12"/>
    <mergeCell ref="BO9:BP12"/>
    <mergeCell ref="CJ9:CJ12"/>
    <mergeCell ref="CK9:CK12"/>
    <mergeCell ref="CL9:CL12"/>
    <mergeCell ref="AE9:AE12"/>
    <mergeCell ref="AT9:AT12"/>
    <mergeCell ref="AB9:AB12"/>
    <mergeCell ref="AC9:AC12"/>
    <mergeCell ref="AD9:AD12"/>
    <mergeCell ref="AU9:AU12"/>
    <mergeCell ref="BY9:BY12"/>
    <mergeCell ref="BH6:BH7"/>
    <mergeCell ref="BI6:BI7"/>
    <mergeCell ref="BJ6:BJ7"/>
    <mergeCell ref="BK6:BK7"/>
    <mergeCell ref="AL6:AL8"/>
    <mergeCell ref="BG6:BG7"/>
    <mergeCell ref="AM6:AQ7"/>
    <mergeCell ref="AB6:AE7"/>
    <mergeCell ref="AF6:AI7"/>
    <mergeCell ref="AJ6:AJ8"/>
    <mergeCell ref="AK6:AK8"/>
    <mergeCell ref="DA9:DA12"/>
    <mergeCell ref="DB9:DB12"/>
    <mergeCell ref="CN9:CN12"/>
    <mergeCell ref="CO9:CO12"/>
    <mergeCell ref="CP9:CP12"/>
    <mergeCell ref="CQ9:CQ12"/>
    <mergeCell ref="CR9:CR12"/>
    <mergeCell ref="CS9:CS12"/>
    <mergeCell ref="DC9:DC12"/>
    <mergeCell ref="DD9:DD12"/>
    <mergeCell ref="DE9:DE12"/>
    <mergeCell ref="CT9:CT12"/>
    <mergeCell ref="CU9:CU12"/>
    <mergeCell ref="CV9:CV12"/>
    <mergeCell ref="CW9:CW12"/>
    <mergeCell ref="CX9:CX12"/>
    <mergeCell ref="CY9:CY12"/>
    <mergeCell ref="CZ9:CZ12"/>
    <mergeCell ref="BY13:BY18"/>
    <mergeCell ref="BZ13:BZ18"/>
    <mergeCell ref="AJ13:AJ18"/>
    <mergeCell ref="L19:L21"/>
    <mergeCell ref="M19:M21"/>
    <mergeCell ref="P19:P21"/>
    <mergeCell ref="Q19:Q21"/>
    <mergeCell ref="R19:R21"/>
    <mergeCell ref="S19:S21"/>
    <mergeCell ref="P22:P23"/>
    <mergeCell ref="Q22:Q23"/>
    <mergeCell ref="H13:H18"/>
    <mergeCell ref="I13:I18"/>
    <mergeCell ref="J13:J18"/>
    <mergeCell ref="K13:K18"/>
    <mergeCell ref="L13:L18"/>
    <mergeCell ref="J22:J23"/>
    <mergeCell ref="N19:N21"/>
    <mergeCell ref="O19:O21"/>
    <mergeCell ref="R13:R18"/>
    <mergeCell ref="S13:S18"/>
    <mergeCell ref="R22:R23"/>
    <mergeCell ref="S22:S23"/>
    <mergeCell ref="M13:M18"/>
    <mergeCell ref="N13:N18"/>
    <mergeCell ref="O13:O18"/>
    <mergeCell ref="P13:P18"/>
    <mergeCell ref="Q13:Q18"/>
    <mergeCell ref="H19:H21"/>
    <mergeCell ref="I19:I21"/>
    <mergeCell ref="L22:L23"/>
    <mergeCell ref="K22:K23"/>
    <mergeCell ref="AJ19:AJ21"/>
    <mergeCell ref="AK19:AK21"/>
    <mergeCell ref="Z22:Z23"/>
    <mergeCell ref="AA22:AA23"/>
    <mergeCell ref="AB22:AB23"/>
    <mergeCell ref="AC22:AC23"/>
    <mergeCell ref="AD22:AD23"/>
    <mergeCell ref="AE22:AE23"/>
    <mergeCell ref="T13:T18"/>
    <mergeCell ref="U13:U18"/>
    <mergeCell ref="V13:V18"/>
    <mergeCell ref="W13:W18"/>
    <mergeCell ref="X13:X18"/>
    <mergeCell ref="Y13:Y18"/>
    <mergeCell ref="Z13:Z18"/>
    <mergeCell ref="Y19:Y21"/>
    <mergeCell ref="BX13:BX18"/>
    <mergeCell ref="CW19:CW21"/>
    <mergeCell ref="CX19:CX21"/>
    <mergeCell ref="CI13:CI18"/>
    <mergeCell ref="CF22:CF23"/>
    <mergeCell ref="AD13:AD18"/>
    <mergeCell ref="AE13:AE18"/>
    <mergeCell ref="AF13:AF18"/>
    <mergeCell ref="AG13:AG18"/>
    <mergeCell ref="AH13:AH18"/>
    <mergeCell ref="AI13:AI18"/>
    <mergeCell ref="BU22:BU23"/>
    <mergeCell ref="BV22:BV23"/>
    <mergeCell ref="BW22:BW23"/>
    <mergeCell ref="BX22:BX23"/>
    <mergeCell ref="BY22:BY23"/>
    <mergeCell ref="BZ22:BZ23"/>
    <mergeCell ref="AI22:AI23"/>
    <mergeCell ref="CL19:CL21"/>
    <mergeCell ref="CM19:CM21"/>
    <mergeCell ref="CN19:CN21"/>
    <mergeCell ref="CC19:CC21"/>
    <mergeCell ref="BX19:BX21"/>
    <mergeCell ref="BY19:BY21"/>
    <mergeCell ref="CG13:CG18"/>
    <mergeCell ref="CH13:CH18"/>
    <mergeCell ref="BW19:BW21"/>
    <mergeCell ref="CS19:CS21"/>
    <mergeCell ref="CT19:CT21"/>
    <mergeCell ref="AF22:AF23"/>
    <mergeCell ref="AU13:AU25"/>
    <mergeCell ref="AV13:AV25"/>
    <mergeCell ref="AW13:AW25"/>
    <mergeCell ref="CN13:CN18"/>
    <mergeCell ref="CO13:CO18"/>
    <mergeCell ref="CP13:CP18"/>
    <mergeCell ref="CQ13:CQ18"/>
    <mergeCell ref="CR13:CR18"/>
    <mergeCell ref="DB19:DB21"/>
    <mergeCell ref="DC19:DC21"/>
    <mergeCell ref="DD19:DD21"/>
    <mergeCell ref="CU19:CU21"/>
    <mergeCell ref="CV19:CV21"/>
    <mergeCell ref="DA19:DA21"/>
    <mergeCell ref="AG22:AG23"/>
    <mergeCell ref="AH22:AH23"/>
    <mergeCell ref="CD19:CD21"/>
    <mergeCell ref="BU13:BU18"/>
    <mergeCell ref="CY13:CY18"/>
    <mergeCell ref="CZ13:CZ18"/>
    <mergeCell ref="DA13:DA18"/>
    <mergeCell ref="DB13:DB18"/>
    <mergeCell ref="DC13:DC18"/>
    <mergeCell ref="AI19:AI21"/>
    <mergeCell ref="BZ19:BZ21"/>
    <mergeCell ref="CA19:CA21"/>
    <mergeCell ref="CB19:CB21"/>
    <mergeCell ref="AH19:AH21"/>
    <mergeCell ref="BU19:BU21"/>
    <mergeCell ref="BV19:BV21"/>
    <mergeCell ref="CO22:CO23"/>
    <mergeCell ref="CP22:CP23"/>
    <mergeCell ref="CQ22:CQ23"/>
    <mergeCell ref="CR22:CR23"/>
    <mergeCell ref="AK13:AK18"/>
    <mergeCell ref="DE13:DE18"/>
    <mergeCell ref="DE19:DE21"/>
    <mergeCell ref="CL13:CL18"/>
    <mergeCell ref="CC13:CC18"/>
    <mergeCell ref="CD13:CD18"/>
    <mergeCell ref="CE13:CE18"/>
    <mergeCell ref="CF13:CF18"/>
    <mergeCell ref="CL22:CL23"/>
    <mergeCell ref="CA22:CA23"/>
    <mergeCell ref="CB22:CB23"/>
    <mergeCell ref="CC22:CC23"/>
    <mergeCell ref="CD22:CD23"/>
    <mergeCell ref="CG22:CG23"/>
    <mergeCell ref="CE22:CE23"/>
    <mergeCell ref="CH19:CH21"/>
    <mergeCell ref="CE19:CE21"/>
    <mergeCell ref="CF19:CF21"/>
    <mergeCell ref="CG19:CG21"/>
    <mergeCell ref="CJ13:CJ18"/>
    <mergeCell ref="CK13:CK18"/>
    <mergeCell ref="CK22:CK23"/>
    <mergeCell ref="CI19:CI21"/>
    <mergeCell ref="CJ19:CJ21"/>
    <mergeCell ref="CK19:CK21"/>
    <mergeCell ref="DD13:DD18"/>
    <mergeCell ref="CS13:CS18"/>
    <mergeCell ref="CT13:CT18"/>
    <mergeCell ref="CU13:CU18"/>
    <mergeCell ref="CV13:CV18"/>
    <mergeCell ref="CW13:CW18"/>
    <mergeCell ref="CX13:CX18"/>
    <mergeCell ref="CM13:CM18"/>
    <mergeCell ref="CJ22:CJ23"/>
    <mergeCell ref="X19:X21"/>
    <mergeCell ref="DE22:DE23"/>
    <mergeCell ref="H24:H25"/>
    <mergeCell ref="I24:I25"/>
    <mergeCell ref="CY22:CY23"/>
    <mergeCell ref="CZ22:CZ23"/>
    <mergeCell ref="DA22:DA23"/>
    <mergeCell ref="DB22:DB23"/>
    <mergeCell ref="DC22:DC23"/>
    <mergeCell ref="DD22:DD23"/>
    <mergeCell ref="CI24:CI25"/>
    <mergeCell ref="CS22:CS23"/>
    <mergeCell ref="CT22:CT23"/>
    <mergeCell ref="CU22:CU23"/>
    <mergeCell ref="CV22:CV23"/>
    <mergeCell ref="CW22:CW23"/>
    <mergeCell ref="CX22:CX23"/>
    <mergeCell ref="CM22:CM23"/>
    <mergeCell ref="CN22:CN23"/>
    <mergeCell ref="BM13:BN25"/>
    <mergeCell ref="BV13:BV18"/>
    <mergeCell ref="BW13:BW18"/>
    <mergeCell ref="CY19:CY21"/>
    <mergeCell ref="CZ19:CZ21"/>
    <mergeCell ref="CO19:CO21"/>
    <mergeCell ref="CP19:CP21"/>
    <mergeCell ref="CQ19:CQ21"/>
    <mergeCell ref="CR19:CR21"/>
    <mergeCell ref="CA13:CA18"/>
    <mergeCell ref="CB13:CB18"/>
    <mergeCell ref="Z19:Z21"/>
    <mergeCell ref="AB19:AB21"/>
    <mergeCell ref="AC19:AC21"/>
    <mergeCell ref="AD19:AD21"/>
    <mergeCell ref="T22:T23"/>
    <mergeCell ref="V22:V23"/>
    <mergeCell ref="W22:W23"/>
    <mergeCell ref="X22:X23"/>
    <mergeCell ref="Y22:Y23"/>
    <mergeCell ref="AE19:AE21"/>
    <mergeCell ref="AF19:AF21"/>
    <mergeCell ref="AG19:AG21"/>
    <mergeCell ref="BG9:BG44"/>
    <mergeCell ref="AO42:AO44"/>
    <mergeCell ref="V19:V21"/>
    <mergeCell ref="W19:W21"/>
    <mergeCell ref="CH22:CH23"/>
    <mergeCell ref="CI22:CI23"/>
    <mergeCell ref="AG24:AG25"/>
    <mergeCell ref="AA13:AA18"/>
    <mergeCell ref="AB13:AB18"/>
    <mergeCell ref="AC13:AC18"/>
    <mergeCell ref="AA19:AA21"/>
    <mergeCell ref="T19:T21"/>
    <mergeCell ref="U19:U21"/>
    <mergeCell ref="AR13:AR25"/>
    <mergeCell ref="AS13:AS25"/>
    <mergeCell ref="AT13:AT25"/>
    <mergeCell ref="BO13:BP25"/>
    <mergeCell ref="BQ13:BR25"/>
    <mergeCell ref="BS13:BT25"/>
    <mergeCell ref="AJ22:AJ23"/>
    <mergeCell ref="AK22:AK23"/>
    <mergeCell ref="L26:L27"/>
    <mergeCell ref="M26:M27"/>
    <mergeCell ref="N26:N27"/>
    <mergeCell ref="O26:O27"/>
    <mergeCell ref="P26:P27"/>
    <mergeCell ref="P24:P25"/>
    <mergeCell ref="Q24:Q25"/>
    <mergeCell ref="V24:V25"/>
    <mergeCell ref="W24:W25"/>
    <mergeCell ref="X24:X25"/>
    <mergeCell ref="Y24:Y25"/>
    <mergeCell ref="U22:U23"/>
    <mergeCell ref="M22:M23"/>
    <mergeCell ref="N22:N23"/>
    <mergeCell ref="O22:O23"/>
    <mergeCell ref="AC24:AC25"/>
    <mergeCell ref="AD24:AD25"/>
    <mergeCell ref="S26:S27"/>
    <mergeCell ref="AB24:AB25"/>
    <mergeCell ref="W26:W27"/>
    <mergeCell ref="X26:X27"/>
    <mergeCell ref="Y26:Y27"/>
    <mergeCell ref="Z26:Z27"/>
    <mergeCell ref="AA26:AA27"/>
    <mergeCell ref="AB26:AB27"/>
    <mergeCell ref="R24:R25"/>
    <mergeCell ref="S24:S25"/>
    <mergeCell ref="T24:T25"/>
    <mergeCell ref="U24:U25"/>
    <mergeCell ref="T26:T27"/>
    <mergeCell ref="U26:U27"/>
    <mergeCell ref="V26:V27"/>
    <mergeCell ref="DC24:DC25"/>
    <mergeCell ref="DD24:DD25"/>
    <mergeCell ref="DE24:DE25"/>
    <mergeCell ref="CU24:CU25"/>
    <mergeCell ref="CV24:CV25"/>
    <mergeCell ref="CW24:CW25"/>
    <mergeCell ref="CX24:CX25"/>
    <mergeCell ref="CY24:CY25"/>
    <mergeCell ref="CZ24:CZ25"/>
    <mergeCell ref="CO24:CO25"/>
    <mergeCell ref="CP24:CP25"/>
    <mergeCell ref="CQ24:CQ25"/>
    <mergeCell ref="CR24:CR25"/>
    <mergeCell ref="CS24:CS25"/>
    <mergeCell ref="CT24:CT25"/>
    <mergeCell ref="CJ24:CJ25"/>
    <mergeCell ref="CK24:CK25"/>
    <mergeCell ref="CL24:CL25"/>
    <mergeCell ref="AE24:AE25"/>
    <mergeCell ref="BV31:BV32"/>
    <mergeCell ref="BY36:BY39"/>
    <mergeCell ref="BV24:BV25"/>
    <mergeCell ref="H26:H27"/>
    <mergeCell ref="I26:I27"/>
    <mergeCell ref="J26:J27"/>
    <mergeCell ref="DA24:DA25"/>
    <mergeCell ref="DB24:DB25"/>
    <mergeCell ref="O24:O25"/>
    <mergeCell ref="CG24:CG25"/>
    <mergeCell ref="CH24:CH25"/>
    <mergeCell ref="BW24:BW25"/>
    <mergeCell ref="K26:K27"/>
    <mergeCell ref="BY24:BY25"/>
    <mergeCell ref="BZ24:BZ25"/>
    <mergeCell ref="CA24:CA25"/>
    <mergeCell ref="CB24:CB25"/>
    <mergeCell ref="AH24:AH25"/>
    <mergeCell ref="AI24:AI25"/>
    <mergeCell ref="AJ24:AJ25"/>
    <mergeCell ref="AK24:AK25"/>
    <mergeCell ref="BU24:BU25"/>
    <mergeCell ref="AF24:AF25"/>
    <mergeCell ref="BM26:BN30"/>
    <mergeCell ref="J24:J25"/>
    <mergeCell ref="K24:K25"/>
    <mergeCell ref="L24:L25"/>
    <mergeCell ref="M24:M25"/>
    <mergeCell ref="N24:N25"/>
    <mergeCell ref="Q26:Q27"/>
    <mergeCell ref="R26:R27"/>
    <mergeCell ref="X29:X30"/>
    <mergeCell ref="Y29:Y30"/>
    <mergeCell ref="CP26:CP29"/>
    <mergeCell ref="AA29:AA30"/>
    <mergeCell ref="AB29:AB30"/>
    <mergeCell ref="AC29:AC30"/>
    <mergeCell ref="AD29:AD30"/>
    <mergeCell ref="AE29:AE30"/>
    <mergeCell ref="CN24:CN25"/>
    <mergeCell ref="CD24:CD25"/>
    <mergeCell ref="CE24:CE25"/>
    <mergeCell ref="CF24:CF25"/>
    <mergeCell ref="Z24:Z25"/>
    <mergeCell ref="AA24:AA25"/>
    <mergeCell ref="BH9:BH44"/>
    <mergeCell ref="BI9:BI44"/>
    <mergeCell ref="BJ9:BJ44"/>
    <mergeCell ref="BK9:BK44"/>
    <mergeCell ref="BX24:BX25"/>
    <mergeCell ref="CC24:CC25"/>
    <mergeCell ref="CM24:CM25"/>
    <mergeCell ref="Z29:Z30"/>
    <mergeCell ref="AF33:AF35"/>
    <mergeCell ref="CE33:CE35"/>
    <mergeCell ref="CJ33:CJ35"/>
    <mergeCell ref="CK33:CK35"/>
    <mergeCell ref="CH33:CH35"/>
    <mergeCell ref="CB33:CB35"/>
    <mergeCell ref="CC33:CC35"/>
    <mergeCell ref="CD33:CD35"/>
    <mergeCell ref="BS31:BT41"/>
    <mergeCell ref="BU31:BU32"/>
    <mergeCell ref="CB26:CB29"/>
    <mergeCell ref="CC26:CC29"/>
    <mergeCell ref="AF29:AF30"/>
    <mergeCell ref="AI26:AI27"/>
    <mergeCell ref="AJ26:AJ27"/>
    <mergeCell ref="AK26:AK27"/>
    <mergeCell ref="AW26:AW30"/>
    <mergeCell ref="BS26:BT30"/>
    <mergeCell ref="BU26:BU29"/>
    <mergeCell ref="BV26:BV29"/>
    <mergeCell ref="BW26:BW29"/>
    <mergeCell ref="AU26:AU30"/>
    <mergeCell ref="AV26:AV30"/>
    <mergeCell ref="AR26:AR30"/>
    <mergeCell ref="AS26:AS30"/>
    <mergeCell ref="AT26:AT30"/>
    <mergeCell ref="AG29:AG30"/>
    <mergeCell ref="AO26:AO30"/>
    <mergeCell ref="AP26:AP30"/>
    <mergeCell ref="DD26:DD29"/>
    <mergeCell ref="DE26:DE29"/>
    <mergeCell ref="H29:H30"/>
    <mergeCell ref="CX26:CX29"/>
    <mergeCell ref="CY26:CY29"/>
    <mergeCell ref="CZ26:CZ29"/>
    <mergeCell ref="DA26:DA29"/>
    <mergeCell ref="DB26:DB29"/>
    <mergeCell ref="DC26:DC29"/>
    <mergeCell ref="CR26:CR29"/>
    <mergeCell ref="CW26:CW29"/>
    <mergeCell ref="CL26:CL29"/>
    <mergeCell ref="CM26:CM29"/>
    <mergeCell ref="CN26:CN29"/>
    <mergeCell ref="CO26:CO29"/>
    <mergeCell ref="CQ26:CQ29"/>
    <mergeCell ref="CJ26:CJ29"/>
    <mergeCell ref="CK26:CK29"/>
    <mergeCell ref="CS26:CS29"/>
    <mergeCell ref="CT26:CT29"/>
    <mergeCell ref="V29:V30"/>
    <mergeCell ref="CU26:CU29"/>
    <mergeCell ref="CV26:CV29"/>
    <mergeCell ref="CD26:CD29"/>
    <mergeCell ref="CE26:CE29"/>
    <mergeCell ref="CF26:CF29"/>
    <mergeCell ref="CG26:CG29"/>
    <mergeCell ref="CH26:CH29"/>
    <mergeCell ref="CI26:CI29"/>
    <mergeCell ref="BY26:BY29"/>
    <mergeCell ref="BZ26:BZ29"/>
    <mergeCell ref="CA26:CA29"/>
    <mergeCell ref="U29:U30"/>
    <mergeCell ref="W31:W32"/>
    <mergeCell ref="X31:X32"/>
    <mergeCell ref="Y31:Y32"/>
    <mergeCell ref="O29:O30"/>
    <mergeCell ref="P29:P30"/>
    <mergeCell ref="Q29:Q30"/>
    <mergeCell ref="R29:R30"/>
    <mergeCell ref="S29:S30"/>
    <mergeCell ref="T29:T30"/>
    <mergeCell ref="K31:K32"/>
    <mergeCell ref="L31:L32"/>
    <mergeCell ref="M31:M32"/>
    <mergeCell ref="N31:N32"/>
    <mergeCell ref="O31:O32"/>
    <mergeCell ref="P31:P32"/>
    <mergeCell ref="H31:H32"/>
    <mergeCell ref="I31:I32"/>
    <mergeCell ref="J31:J32"/>
    <mergeCell ref="I29:I30"/>
    <mergeCell ref="J29:J30"/>
    <mergeCell ref="K29:K30"/>
    <mergeCell ref="L29:L30"/>
    <mergeCell ref="M29:M30"/>
    <mergeCell ref="N29:N30"/>
    <mergeCell ref="Q31:Q32"/>
    <mergeCell ref="R31:R32"/>
    <mergeCell ref="S31:S32"/>
    <mergeCell ref="T31:T32"/>
    <mergeCell ref="U31:U32"/>
    <mergeCell ref="V31:V32"/>
    <mergeCell ref="W29:W30"/>
    <mergeCell ref="AE31:AE32"/>
    <mergeCell ref="I33:I35"/>
    <mergeCell ref="O33:O35"/>
    <mergeCell ref="P33:P35"/>
    <mergeCell ref="Q33:Q35"/>
    <mergeCell ref="R33:R35"/>
    <mergeCell ref="S33:S35"/>
    <mergeCell ref="J33:J35"/>
    <mergeCell ref="K33:K35"/>
    <mergeCell ref="L33:L35"/>
    <mergeCell ref="M33:M35"/>
    <mergeCell ref="T33:T35"/>
    <mergeCell ref="N33:N35"/>
    <mergeCell ref="U33:U35"/>
    <mergeCell ref="V33:V35"/>
    <mergeCell ref="W33:W35"/>
    <mergeCell ref="Z33:Z35"/>
    <mergeCell ref="AA33:AA35"/>
    <mergeCell ref="DE33:DE35"/>
    <mergeCell ref="CQ31:CQ32"/>
    <mergeCell ref="CF31:CF32"/>
    <mergeCell ref="CG31:CG32"/>
    <mergeCell ref="CD36:CD39"/>
    <mergeCell ref="CE36:CE39"/>
    <mergeCell ref="CF36:CF39"/>
    <mergeCell ref="BW31:BW32"/>
    <mergeCell ref="BX31:BX32"/>
    <mergeCell ref="BY31:BY32"/>
    <mergeCell ref="BW33:BW35"/>
    <mergeCell ref="BX33:BX35"/>
    <mergeCell ref="CA31:CA32"/>
    <mergeCell ref="AH29:AH30"/>
    <mergeCell ref="AI31:AI32"/>
    <mergeCell ref="AJ31:AJ32"/>
    <mergeCell ref="AK31:AK32"/>
    <mergeCell ref="BZ33:BZ35"/>
    <mergeCell ref="BV33:BV35"/>
    <mergeCell ref="BY33:BY35"/>
    <mergeCell ref="BZ31:BZ32"/>
    <mergeCell ref="AK33:AK35"/>
    <mergeCell ref="BX26:BX29"/>
    <mergeCell ref="AJ29:AJ30"/>
    <mergeCell ref="AI29:AI30"/>
    <mergeCell ref="AI33:AI35"/>
    <mergeCell ref="AJ33:AJ35"/>
    <mergeCell ref="AU31:AU41"/>
    <mergeCell ref="AV31:AV41"/>
    <mergeCell ref="AW31:AW41"/>
    <mergeCell ref="AH31:AH32"/>
    <mergeCell ref="BU36:BU39"/>
    <mergeCell ref="H33:H35"/>
    <mergeCell ref="CX31:CX32"/>
    <mergeCell ref="CY31:CY32"/>
    <mergeCell ref="CZ31:CZ32"/>
    <mergeCell ref="DA31:DA32"/>
    <mergeCell ref="DB31:DB32"/>
    <mergeCell ref="DC31:DC32"/>
    <mergeCell ref="CR31:CR32"/>
    <mergeCell ref="CT31:CT32"/>
    <mergeCell ref="CU31:CU32"/>
    <mergeCell ref="CV31:CV32"/>
    <mergeCell ref="CW31:CW32"/>
    <mergeCell ref="CL31:CL32"/>
    <mergeCell ref="CM31:CM32"/>
    <mergeCell ref="CN31:CN32"/>
    <mergeCell ref="CO31:CO32"/>
    <mergeCell ref="CP31:CP32"/>
    <mergeCell ref="CJ31:CJ32"/>
    <mergeCell ref="CK31:CK32"/>
    <mergeCell ref="CF33:CF35"/>
    <mergeCell ref="CG33:CG35"/>
    <mergeCell ref="CS31:CS32"/>
    <mergeCell ref="CQ33:CQ35"/>
    <mergeCell ref="CB31:CB32"/>
    <mergeCell ref="CC31:CC32"/>
    <mergeCell ref="X33:X35"/>
    <mergeCell ref="Y33:Y35"/>
    <mergeCell ref="Z31:Z32"/>
    <mergeCell ref="AA31:AA32"/>
    <mergeCell ref="AB31:AB32"/>
    <mergeCell ref="AC31:AC32"/>
    <mergeCell ref="AD31:AD32"/>
    <mergeCell ref="CD31:CD32"/>
    <mergeCell ref="CE31:CE32"/>
    <mergeCell ref="AF31:AF32"/>
    <mergeCell ref="AG31:AG32"/>
    <mergeCell ref="BX36:BX39"/>
    <mergeCell ref="AT31:AT41"/>
    <mergeCell ref="S42:S44"/>
    <mergeCell ref="DE36:DE39"/>
    <mergeCell ref="H40:H41"/>
    <mergeCell ref="I40:I41"/>
    <mergeCell ref="CY36:CY39"/>
    <mergeCell ref="CZ36:CZ39"/>
    <mergeCell ref="DA36:DA39"/>
    <mergeCell ref="DB36:DB39"/>
    <mergeCell ref="CQ36:CQ39"/>
    <mergeCell ref="CR36:CR39"/>
    <mergeCell ref="CS36:CS39"/>
    <mergeCell ref="CT36:CT39"/>
    <mergeCell ref="CU36:CU39"/>
    <mergeCell ref="CV36:CV39"/>
    <mergeCell ref="H36:H39"/>
    <mergeCell ref="CX33:CX35"/>
    <mergeCell ref="CW33:CW35"/>
    <mergeCell ref="CL33:CL35"/>
    <mergeCell ref="CM33:CM35"/>
    <mergeCell ref="DD31:DD32"/>
    <mergeCell ref="CH31:CH32"/>
    <mergeCell ref="CI31:CI32"/>
    <mergeCell ref="CC36:CC39"/>
    <mergeCell ref="AE40:AE41"/>
    <mergeCell ref="AF40:AF41"/>
    <mergeCell ref="DE31:DE32"/>
    <mergeCell ref="BU33:BU35"/>
    <mergeCell ref="CI33:CI35"/>
    <mergeCell ref="R40:R41"/>
    <mergeCell ref="S40:S41"/>
    <mergeCell ref="T40:T41"/>
    <mergeCell ref="U40:U41"/>
    <mergeCell ref="V40:V41"/>
    <mergeCell ref="W40:W41"/>
    <mergeCell ref="DC36:DC39"/>
    <mergeCell ref="AG33:AG35"/>
    <mergeCell ref="AH33:AH35"/>
    <mergeCell ref="AB33:AB35"/>
    <mergeCell ref="AC33:AC35"/>
    <mergeCell ref="AD33:AD35"/>
    <mergeCell ref="AE33:AE35"/>
    <mergeCell ref="BZ36:BZ39"/>
    <mergeCell ref="CK36:CK39"/>
    <mergeCell ref="CL36:CL39"/>
    <mergeCell ref="CJ40:CJ41"/>
    <mergeCell ref="AB40:AB41"/>
    <mergeCell ref="AC40:AC41"/>
    <mergeCell ref="AD40:AD41"/>
    <mergeCell ref="DD36:DD39"/>
    <mergeCell ref="CW36:CW39"/>
    <mergeCell ref="CX36:CX39"/>
    <mergeCell ref="CY33:CY35"/>
    <mergeCell ref="CZ33:CZ35"/>
    <mergeCell ref="DA33:DA35"/>
    <mergeCell ref="DB33:DB35"/>
    <mergeCell ref="CA33:CA35"/>
    <mergeCell ref="CA36:CA39"/>
    <mergeCell ref="CB36:CB39"/>
    <mergeCell ref="BV36:BV39"/>
    <mergeCell ref="BW36:BW39"/>
    <mergeCell ref="CG36:CG39"/>
    <mergeCell ref="CH36:CH39"/>
    <mergeCell ref="CI36:CI39"/>
    <mergeCell ref="CJ36:CJ39"/>
    <mergeCell ref="CO33:CO35"/>
    <mergeCell ref="CP33:CP35"/>
    <mergeCell ref="DD33:DD35"/>
    <mergeCell ref="CN33:CN35"/>
    <mergeCell ref="CM36:CM39"/>
    <mergeCell ref="CN36:CN39"/>
    <mergeCell ref="CO36:CO39"/>
    <mergeCell ref="CP36:CP39"/>
    <mergeCell ref="DC33:DC35"/>
    <mergeCell ref="CR33:CR35"/>
    <mergeCell ref="CS33:CS35"/>
    <mergeCell ref="CT33:CT35"/>
    <mergeCell ref="CU33:CU35"/>
    <mergeCell ref="CV33:CV35"/>
    <mergeCell ref="T42:T44"/>
    <mergeCell ref="U42:U44"/>
    <mergeCell ref="V42:V44"/>
    <mergeCell ref="W42:W44"/>
    <mergeCell ref="X42:X44"/>
    <mergeCell ref="M42:M44"/>
    <mergeCell ref="N42:N44"/>
    <mergeCell ref="O42:O44"/>
    <mergeCell ref="P42:P44"/>
    <mergeCell ref="Q42:Q44"/>
    <mergeCell ref="BQ31:BR41"/>
    <mergeCell ref="R42:R44"/>
    <mergeCell ref="H42:H44"/>
    <mergeCell ref="I42:I44"/>
    <mergeCell ref="J42:J44"/>
    <mergeCell ref="K42:K44"/>
    <mergeCell ref="L42:L44"/>
    <mergeCell ref="X40:X41"/>
    <mergeCell ref="Y40:Y41"/>
    <mergeCell ref="Z40:Z41"/>
    <mergeCell ref="AA40:AA41"/>
    <mergeCell ref="J40:J41"/>
    <mergeCell ref="K40:K41"/>
    <mergeCell ref="L40:L41"/>
    <mergeCell ref="M40:M41"/>
    <mergeCell ref="N40:N41"/>
    <mergeCell ref="O40:O41"/>
    <mergeCell ref="P40:P41"/>
    <mergeCell ref="Q40:Q41"/>
    <mergeCell ref="BO42:BP44"/>
    <mergeCell ref="BQ42:BR44"/>
    <mergeCell ref="AZ9:AZ44"/>
    <mergeCell ref="BS42:BT44"/>
    <mergeCell ref="BU42:BU44"/>
    <mergeCell ref="AE42:AE44"/>
    <mergeCell ref="AF42:AF44"/>
    <mergeCell ref="AG42:AG44"/>
    <mergeCell ref="AH42:AH44"/>
    <mergeCell ref="AI42:AI44"/>
    <mergeCell ref="Y42:Y44"/>
    <mergeCell ref="Z42:Z44"/>
    <mergeCell ref="AA42:AA44"/>
    <mergeCell ref="AB42:AB44"/>
    <mergeCell ref="AC42:AC44"/>
    <mergeCell ref="AD42:AD44"/>
    <mergeCell ref="AK29:AK30"/>
    <mergeCell ref="AJ42:AJ44"/>
    <mergeCell ref="BO26:BP30"/>
    <mergeCell ref="BM31:BN41"/>
    <mergeCell ref="BO31:BP41"/>
    <mergeCell ref="AU42:AU44"/>
    <mergeCell ref="AV42:AV44"/>
    <mergeCell ref="AW42:AW44"/>
    <mergeCell ref="AR31:AR41"/>
    <mergeCell ref="AS31:AS41"/>
    <mergeCell ref="BQ26:BR30"/>
    <mergeCell ref="AC26:AC27"/>
    <mergeCell ref="AD26:AD27"/>
    <mergeCell ref="AE26:AE27"/>
    <mergeCell ref="AF26:AF27"/>
    <mergeCell ref="AG26:AG27"/>
    <mergeCell ref="AH26:AH27"/>
    <mergeCell ref="BF9:BF44"/>
    <mergeCell ref="AX9:AX44"/>
    <mergeCell ref="DA42:DA44"/>
    <mergeCell ref="DB42:DB44"/>
    <mergeCell ref="DC42:DC44"/>
    <mergeCell ref="DD42:DD44"/>
    <mergeCell ref="DE42:DE44"/>
    <mergeCell ref="CT42:CT44"/>
    <mergeCell ref="CU42:CU44"/>
    <mergeCell ref="CV42:CV44"/>
    <mergeCell ref="CW42:CW44"/>
    <mergeCell ref="CX42:CX44"/>
    <mergeCell ref="CQ42:CQ44"/>
    <mergeCell ref="CR42:CR44"/>
    <mergeCell ref="CS42:CS44"/>
    <mergeCell ref="CH42:CH44"/>
    <mergeCell ref="CI42:CI44"/>
    <mergeCell ref="CJ42:CJ44"/>
    <mergeCell ref="CK42:CK44"/>
    <mergeCell ref="CL42:CL44"/>
    <mergeCell ref="CM42:CM44"/>
    <mergeCell ref="BS45:BT45"/>
    <mergeCell ref="AC46:AC49"/>
    <mergeCell ref="AD46:AD49"/>
    <mergeCell ref="AE46:AE49"/>
    <mergeCell ref="AF46:AF49"/>
    <mergeCell ref="AG46:AG49"/>
    <mergeCell ref="AU46:AU49"/>
    <mergeCell ref="AV46:AV49"/>
    <mergeCell ref="AW46:AW49"/>
    <mergeCell ref="X46:X49"/>
    <mergeCell ref="Y46:Y49"/>
    <mergeCell ref="Z46:Z49"/>
    <mergeCell ref="AA46:AA49"/>
    <mergeCell ref="P46:P49"/>
    <mergeCell ref="CZ42:CZ44"/>
    <mergeCell ref="CY42:CY44"/>
    <mergeCell ref="CN42:CN44"/>
    <mergeCell ref="CO42:CO44"/>
    <mergeCell ref="CP42:CP44"/>
    <mergeCell ref="CB42:CB44"/>
    <mergeCell ref="CC42:CC44"/>
    <mergeCell ref="CD42:CD44"/>
    <mergeCell ref="CE42:CE44"/>
    <mergeCell ref="CF42:CF44"/>
    <mergeCell ref="CG42:CG44"/>
    <mergeCell ref="BV42:BV44"/>
    <mergeCell ref="BW42:BW44"/>
    <mergeCell ref="BX42:BX44"/>
    <mergeCell ref="BY42:BY44"/>
    <mergeCell ref="BZ42:BZ44"/>
    <mergeCell ref="CA42:CA44"/>
    <mergeCell ref="BM42:BN44"/>
    <mergeCell ref="J46:J49"/>
    <mergeCell ref="K46:K49"/>
    <mergeCell ref="L46:L49"/>
    <mergeCell ref="M46:M49"/>
    <mergeCell ref="N46:N49"/>
    <mergeCell ref="O46:O49"/>
    <mergeCell ref="H46:H49"/>
    <mergeCell ref="I46:I49"/>
    <mergeCell ref="BM45:BN45"/>
    <mergeCell ref="BO45:BP45"/>
    <mergeCell ref="BM46:BM49"/>
    <mergeCell ref="BN46:BN49"/>
    <mergeCell ref="BO46:BO49"/>
    <mergeCell ref="BP46:BP49"/>
    <mergeCell ref="V46:V49"/>
    <mergeCell ref="W46:W49"/>
    <mergeCell ref="BQ45:BR45"/>
    <mergeCell ref="R46:R49"/>
    <mergeCell ref="S46:S49"/>
    <mergeCell ref="T46:T49"/>
    <mergeCell ref="DD46:DD47"/>
    <mergeCell ref="CP46:CP47"/>
    <mergeCell ref="CQ46:CQ47"/>
    <mergeCell ref="CR46:CR47"/>
    <mergeCell ref="CS46:CS47"/>
    <mergeCell ref="DE46:DE47"/>
    <mergeCell ref="CV46:CV47"/>
    <mergeCell ref="CW46:CW47"/>
    <mergeCell ref="CX46:CX47"/>
    <mergeCell ref="CY46:CY47"/>
    <mergeCell ref="CZ46:CZ47"/>
    <mergeCell ref="DA46:DA47"/>
    <mergeCell ref="DB46:DB47"/>
    <mergeCell ref="CT46:CT47"/>
    <mergeCell ref="CU46:CU47"/>
    <mergeCell ref="CJ46:CJ47"/>
    <mergeCell ref="CK46:CK47"/>
    <mergeCell ref="CL46:CL47"/>
    <mergeCell ref="CM46:CM47"/>
    <mergeCell ref="CN46:CN47"/>
    <mergeCell ref="CO46:CO47"/>
    <mergeCell ref="L50:L53"/>
    <mergeCell ref="M50:M53"/>
    <mergeCell ref="N50:N53"/>
    <mergeCell ref="O50:O53"/>
    <mergeCell ref="P50:P53"/>
    <mergeCell ref="Q50:Q53"/>
    <mergeCell ref="X50:X53"/>
    <mergeCell ref="Y50:Y53"/>
    <mergeCell ref="Z50:Z53"/>
    <mergeCell ref="AA50:AA53"/>
    <mergeCell ref="AB50:AB53"/>
    <mergeCell ref="AC50:AC53"/>
    <mergeCell ref="AD50:AD53"/>
    <mergeCell ref="AE50:AE53"/>
    <mergeCell ref="U46:U49"/>
    <mergeCell ref="AF50:AF53"/>
    <mergeCell ref="DC46:DC47"/>
    <mergeCell ref="AT50:AT53"/>
    <mergeCell ref="R50:R53"/>
    <mergeCell ref="S50:S53"/>
    <mergeCell ref="T50:T53"/>
    <mergeCell ref="U50:U53"/>
    <mergeCell ref="V50:V53"/>
    <mergeCell ref="W50:W53"/>
    <mergeCell ref="BR50:BR51"/>
    <mergeCell ref="AG50:AG53"/>
    <mergeCell ref="AH50:AH53"/>
    <mergeCell ref="AI50:AI53"/>
    <mergeCell ref="CC50:CC51"/>
    <mergeCell ref="CD50:CD51"/>
    <mergeCell ref="CE50:CE51"/>
    <mergeCell ref="BT50:BT51"/>
    <mergeCell ref="BU50:BU51"/>
    <mergeCell ref="BV50:BV51"/>
    <mergeCell ref="BW50:BW51"/>
    <mergeCell ref="AK50:AK53"/>
    <mergeCell ref="BM50:BM51"/>
    <mergeCell ref="AU50:AU53"/>
    <mergeCell ref="AV50:AV53"/>
    <mergeCell ref="AW50:AW53"/>
    <mergeCell ref="AR50:AR53"/>
    <mergeCell ref="AS50:AS53"/>
    <mergeCell ref="CH46:CH47"/>
    <mergeCell ref="CI46:CI47"/>
    <mergeCell ref="BX46:BX47"/>
    <mergeCell ref="BY46:BY47"/>
    <mergeCell ref="BZ46:BZ47"/>
    <mergeCell ref="CD46:CD47"/>
    <mergeCell ref="CE46:CE47"/>
    <mergeCell ref="CF46:CF47"/>
    <mergeCell ref="CG46:CG47"/>
    <mergeCell ref="CA46:CA47"/>
    <mergeCell ref="BX50:BX51"/>
    <mergeCell ref="BY50:BY51"/>
    <mergeCell ref="BZ50:BZ51"/>
    <mergeCell ref="CJ50:CJ51"/>
    <mergeCell ref="CK50:CK51"/>
    <mergeCell ref="CA50:CA51"/>
    <mergeCell ref="CB50:CB51"/>
    <mergeCell ref="H50:H53"/>
    <mergeCell ref="I50:I53"/>
    <mergeCell ref="J50:J53"/>
    <mergeCell ref="K50:K53"/>
    <mergeCell ref="BN50:BN51"/>
    <mergeCell ref="BO50:BO51"/>
    <mergeCell ref="BP50:BP51"/>
    <mergeCell ref="BQ50:BQ51"/>
    <mergeCell ref="CB46:CB47"/>
    <mergeCell ref="CC46:CC47"/>
    <mergeCell ref="BR46:BR47"/>
    <mergeCell ref="BS46:BS47"/>
    <mergeCell ref="BT46:BT47"/>
    <mergeCell ref="BU46:BU47"/>
    <mergeCell ref="BV46:BV47"/>
    <mergeCell ref="BW46:BW47"/>
    <mergeCell ref="BQ46:BQ47"/>
    <mergeCell ref="AH46:AH49"/>
    <mergeCell ref="AI46:AI49"/>
    <mergeCell ref="AJ46:AJ49"/>
    <mergeCell ref="AK46:AK49"/>
    <mergeCell ref="AB46:AB49"/>
    <mergeCell ref="AR46:AR49"/>
    <mergeCell ref="AS46:AS49"/>
    <mergeCell ref="AT46:AT49"/>
    <mergeCell ref="AO46:AO49"/>
    <mergeCell ref="BS50:BS51"/>
    <mergeCell ref="AJ50:AJ53"/>
    <mergeCell ref="AD54:AD56"/>
    <mergeCell ref="AE54:AE56"/>
    <mergeCell ref="R54:R56"/>
    <mergeCell ref="S54:S56"/>
    <mergeCell ref="AC54:AC56"/>
    <mergeCell ref="AB54:AB56"/>
    <mergeCell ref="T54:T56"/>
    <mergeCell ref="V54:V56"/>
    <mergeCell ref="DD50:DD51"/>
    <mergeCell ref="DE50:DE51"/>
    <mergeCell ref="CX50:CX51"/>
    <mergeCell ref="CY50:CY51"/>
    <mergeCell ref="CZ50:CZ51"/>
    <mergeCell ref="DA50:DA51"/>
    <mergeCell ref="DB50:DB51"/>
    <mergeCell ref="DC50:DC51"/>
    <mergeCell ref="CR50:CR51"/>
    <mergeCell ref="CS50:CS51"/>
    <mergeCell ref="CT50:CT51"/>
    <mergeCell ref="CU50:CU51"/>
    <mergeCell ref="CV50:CV51"/>
    <mergeCell ref="CW50:CW51"/>
    <mergeCell ref="CL50:CL51"/>
    <mergeCell ref="CM50:CM51"/>
    <mergeCell ref="CN50:CN51"/>
    <mergeCell ref="CO50:CO51"/>
    <mergeCell ref="CP50:CP51"/>
    <mergeCell ref="CQ50:CQ51"/>
    <mergeCell ref="CF50:CF51"/>
    <mergeCell ref="CG50:CG51"/>
    <mergeCell ref="CH50:CH51"/>
    <mergeCell ref="CI50:CI51"/>
    <mergeCell ref="CG54:CG55"/>
    <mergeCell ref="BV54:BV55"/>
    <mergeCell ref="BW54:BW55"/>
    <mergeCell ref="BX54:BX55"/>
    <mergeCell ref="BY54:BY55"/>
    <mergeCell ref="BZ54:BZ55"/>
    <mergeCell ref="CA54:CA55"/>
    <mergeCell ref="CD54:CD55"/>
    <mergeCell ref="CE54:CE55"/>
    <mergeCell ref="CF54:CF55"/>
    <mergeCell ref="BT54:BT55"/>
    <mergeCell ref="BU54:BU55"/>
    <mergeCell ref="BM54:BM55"/>
    <mergeCell ref="BN54:BN55"/>
    <mergeCell ref="AU54:AU56"/>
    <mergeCell ref="AV54:AV56"/>
    <mergeCell ref="AW54:AW56"/>
    <mergeCell ref="BP54:BP55"/>
    <mergeCell ref="BO54:BO55"/>
    <mergeCell ref="CC54:CC55"/>
    <mergeCell ref="H57:H60"/>
    <mergeCell ref="I57:I60"/>
    <mergeCell ref="J57:J60"/>
    <mergeCell ref="K57:K60"/>
    <mergeCell ref="X57:X60"/>
    <mergeCell ref="K54:K56"/>
    <mergeCell ref="H54:H56"/>
    <mergeCell ref="DB54:DB55"/>
    <mergeCell ref="DC54:DC55"/>
    <mergeCell ref="DD54:DD55"/>
    <mergeCell ref="DE54:DE55"/>
    <mergeCell ref="CT54:CT55"/>
    <mergeCell ref="CU54:CU55"/>
    <mergeCell ref="CV54:CV55"/>
    <mergeCell ref="CW54:CW55"/>
    <mergeCell ref="CX54:CX55"/>
    <mergeCell ref="CY54:CY55"/>
    <mergeCell ref="CN54:CN55"/>
    <mergeCell ref="CO54:CO55"/>
    <mergeCell ref="CP54:CP55"/>
    <mergeCell ref="CQ54:CQ55"/>
    <mergeCell ref="CR54:CR55"/>
    <mergeCell ref="CS54:CS55"/>
    <mergeCell ref="CH54:CH55"/>
    <mergeCell ref="CI54:CI55"/>
    <mergeCell ref="CJ54:CJ55"/>
    <mergeCell ref="CK54:CK55"/>
    <mergeCell ref="CL54:CL55"/>
    <mergeCell ref="CM54:CM55"/>
    <mergeCell ref="CZ54:CZ55"/>
    <mergeCell ref="DA54:DA55"/>
    <mergeCell ref="AG54:AG56"/>
    <mergeCell ref="N54:N56"/>
    <mergeCell ref="O54:O56"/>
    <mergeCell ref="P54:P56"/>
    <mergeCell ref="Q54:Q56"/>
    <mergeCell ref="AO54:AO56"/>
    <mergeCell ref="AF54:AF56"/>
    <mergeCell ref="Z54:Z56"/>
    <mergeCell ref="AA54:AA56"/>
    <mergeCell ref="U54:U56"/>
    <mergeCell ref="I54:I56"/>
    <mergeCell ref="J54:J56"/>
    <mergeCell ref="L57:L60"/>
    <mergeCell ref="M57:M60"/>
    <mergeCell ref="CB54:CB55"/>
    <mergeCell ref="N57:N60"/>
    <mergeCell ref="O57:O60"/>
    <mergeCell ref="P57:P60"/>
    <mergeCell ref="Q57:Q60"/>
    <mergeCell ref="Y57:Y60"/>
    <mergeCell ref="W54:W56"/>
    <mergeCell ref="X54:X56"/>
    <mergeCell ref="Y54:Y56"/>
    <mergeCell ref="AH54:AH56"/>
    <mergeCell ref="AI54:AI56"/>
    <mergeCell ref="AJ54:AJ56"/>
    <mergeCell ref="AK54:AK56"/>
    <mergeCell ref="BQ54:BQ55"/>
    <mergeCell ref="BR54:BR55"/>
    <mergeCell ref="BS54:BS55"/>
    <mergeCell ref="L54:L56"/>
    <mergeCell ref="M54:M56"/>
    <mergeCell ref="BO57:BO58"/>
    <mergeCell ref="AC57:AC60"/>
    <mergeCell ref="AD57:AD60"/>
    <mergeCell ref="AE57:AE60"/>
    <mergeCell ref="AF57:AF60"/>
    <mergeCell ref="Z57:Z60"/>
    <mergeCell ref="V57:V60"/>
    <mergeCell ref="W57:W60"/>
    <mergeCell ref="R57:R60"/>
    <mergeCell ref="S57:S60"/>
    <mergeCell ref="T57:T60"/>
    <mergeCell ref="U57:U60"/>
    <mergeCell ref="CH57:CH58"/>
    <mergeCell ref="CI57:CI58"/>
    <mergeCell ref="CJ57:CJ58"/>
    <mergeCell ref="CK57:CK58"/>
    <mergeCell ref="BZ57:BZ58"/>
    <mergeCell ref="CA57:CA58"/>
    <mergeCell ref="CB57:CB58"/>
    <mergeCell ref="CC57:CC58"/>
    <mergeCell ref="CD57:CD58"/>
    <mergeCell ref="CE57:CE58"/>
    <mergeCell ref="BT57:BT58"/>
    <mergeCell ref="BU57:BU58"/>
    <mergeCell ref="BV57:BV58"/>
    <mergeCell ref="BW57:BW58"/>
    <mergeCell ref="BX57:BX58"/>
    <mergeCell ref="BY57:BY58"/>
    <mergeCell ref="BP57:BP58"/>
    <mergeCell ref="BQ57:BQ58"/>
    <mergeCell ref="BR57:BR58"/>
    <mergeCell ref="AW57:AW60"/>
    <mergeCell ref="BS57:BS58"/>
    <mergeCell ref="DD57:DD58"/>
    <mergeCell ref="DE57:DE58"/>
    <mergeCell ref="CX57:CX58"/>
    <mergeCell ref="CY57:CY58"/>
    <mergeCell ref="CZ57:CZ58"/>
    <mergeCell ref="DA57:DA58"/>
    <mergeCell ref="DB57:DB58"/>
    <mergeCell ref="DC57:DC58"/>
    <mergeCell ref="CR57:CR58"/>
    <mergeCell ref="CS57:CS58"/>
    <mergeCell ref="CT57:CT58"/>
    <mergeCell ref="CU57:CU58"/>
    <mergeCell ref="CV57:CV58"/>
    <mergeCell ref="CW57:CW58"/>
    <mergeCell ref="CL57:CL58"/>
    <mergeCell ref="CM57:CM58"/>
    <mergeCell ref="CN57:CN58"/>
    <mergeCell ref="CO57:CO58"/>
    <mergeCell ref="CP57:CP58"/>
    <mergeCell ref="CQ57:CQ58"/>
    <mergeCell ref="DE61:DE62"/>
    <mergeCell ref="CT61:CT62"/>
    <mergeCell ref="CU61:CU62"/>
    <mergeCell ref="CV61:CV62"/>
    <mergeCell ref="CW61:CW62"/>
    <mergeCell ref="CX61:CX62"/>
    <mergeCell ref="CY61:CY62"/>
    <mergeCell ref="CZ61:CZ62"/>
    <mergeCell ref="DA61:DA62"/>
    <mergeCell ref="DB61:DB62"/>
    <mergeCell ref="CN61:CN62"/>
    <mergeCell ref="CO61:CO62"/>
    <mergeCell ref="CP61:CP62"/>
    <mergeCell ref="CQ61:CQ62"/>
    <mergeCell ref="CR61:CR62"/>
    <mergeCell ref="CS61:CS62"/>
    <mergeCell ref="CH61:CH62"/>
    <mergeCell ref="CI61:CI62"/>
    <mergeCell ref="CJ61:CJ62"/>
    <mergeCell ref="CK61:CK62"/>
    <mergeCell ref="CL61:CL62"/>
    <mergeCell ref="CM61:CM62"/>
    <mergeCell ref="DC61:DC62"/>
    <mergeCell ref="DD61:DD62"/>
    <mergeCell ref="CG61:CG62"/>
    <mergeCell ref="BV61:BV62"/>
    <mergeCell ref="BW61:BW62"/>
    <mergeCell ref="BX61:BX62"/>
    <mergeCell ref="BY61:BY62"/>
    <mergeCell ref="BZ61:BZ62"/>
    <mergeCell ref="CA61:CA62"/>
    <mergeCell ref="CB61:CB62"/>
    <mergeCell ref="CC61:CC62"/>
    <mergeCell ref="CF61:CF62"/>
    <mergeCell ref="X61:X64"/>
    <mergeCell ref="Y61:Y64"/>
    <mergeCell ref="BN57:BN58"/>
    <mergeCell ref="BP61:BP62"/>
    <mergeCell ref="BQ61:BQ62"/>
    <mergeCell ref="BR61:BR62"/>
    <mergeCell ref="BO61:BO62"/>
    <mergeCell ref="AF61:AF64"/>
    <mergeCell ref="AG61:AG64"/>
    <mergeCell ref="AH61:AH64"/>
    <mergeCell ref="AI61:AI64"/>
    <mergeCell ref="AJ61:AJ64"/>
    <mergeCell ref="AK61:AK64"/>
    <mergeCell ref="Z61:Z64"/>
    <mergeCell ref="AA61:AA64"/>
    <mergeCell ref="AB61:AB64"/>
    <mergeCell ref="AC61:AC64"/>
    <mergeCell ref="AD61:AD64"/>
    <mergeCell ref="AE61:AE64"/>
    <mergeCell ref="CF57:CF58"/>
    <mergeCell ref="CG57:CG58"/>
    <mergeCell ref="AJ57:AJ60"/>
    <mergeCell ref="H65:H68"/>
    <mergeCell ref="I65:I68"/>
    <mergeCell ref="J65:J68"/>
    <mergeCell ref="K65:K68"/>
    <mergeCell ref="L65:L68"/>
    <mergeCell ref="N61:N64"/>
    <mergeCell ref="O61:O64"/>
    <mergeCell ref="P61:P64"/>
    <mergeCell ref="Q61:Q64"/>
    <mergeCell ref="H61:H64"/>
    <mergeCell ref="I61:I64"/>
    <mergeCell ref="J61:J64"/>
    <mergeCell ref="K61:K64"/>
    <mergeCell ref="L61:L64"/>
    <mergeCell ref="M61:M64"/>
    <mergeCell ref="S61:S64"/>
    <mergeCell ref="AU61:AU68"/>
    <mergeCell ref="AR61:AR68"/>
    <mergeCell ref="T61:T64"/>
    <mergeCell ref="U61:U64"/>
    <mergeCell ref="V61:V64"/>
    <mergeCell ref="S65:S68"/>
    <mergeCell ref="T65:T68"/>
    <mergeCell ref="U65:U68"/>
    <mergeCell ref="W61:W64"/>
    <mergeCell ref="AO57:AO60"/>
    <mergeCell ref="AG65:AG68"/>
    <mergeCell ref="AH65:AH68"/>
    <mergeCell ref="AI65:AI68"/>
    <mergeCell ref="AW61:AW68"/>
    <mergeCell ref="AS61:AS68"/>
    <mergeCell ref="AT61:AT68"/>
    <mergeCell ref="BM61:BM62"/>
    <mergeCell ref="Y65:Y68"/>
    <mergeCell ref="Z65:Z68"/>
    <mergeCell ref="AA65:AA68"/>
    <mergeCell ref="AB65:AB68"/>
    <mergeCell ref="AC65:AC68"/>
    <mergeCell ref="AD65:AD68"/>
    <mergeCell ref="M65:M68"/>
    <mergeCell ref="N65:N68"/>
    <mergeCell ref="O65:O68"/>
    <mergeCell ref="P65:P68"/>
    <mergeCell ref="Q65:Q68"/>
    <mergeCell ref="R65:R68"/>
    <mergeCell ref="V65:V68"/>
    <mergeCell ref="W65:W68"/>
    <mergeCell ref="R61:R64"/>
    <mergeCell ref="AK57:AK60"/>
    <mergeCell ref="BM57:BM58"/>
    <mergeCell ref="AU57:AU60"/>
    <mergeCell ref="AV57:AV60"/>
    <mergeCell ref="AG57:AG60"/>
    <mergeCell ref="AH57:AH60"/>
    <mergeCell ref="AI57:AI60"/>
    <mergeCell ref="AA57:AA60"/>
    <mergeCell ref="AB57:AB60"/>
    <mergeCell ref="CD61:CD62"/>
    <mergeCell ref="CE61:CE62"/>
    <mergeCell ref="BS61:BS62"/>
    <mergeCell ref="BT61:BT62"/>
    <mergeCell ref="BU61:BU62"/>
    <mergeCell ref="CD65:CD66"/>
    <mergeCell ref="CE65:CE66"/>
    <mergeCell ref="CC65:CC66"/>
    <mergeCell ref="BY65:BY66"/>
    <mergeCell ref="X65:X68"/>
    <mergeCell ref="AJ65:AJ68"/>
    <mergeCell ref="BQ65:BQ66"/>
    <mergeCell ref="BR65:BR66"/>
    <mergeCell ref="BS65:BS66"/>
    <mergeCell ref="AO61:AO68"/>
    <mergeCell ref="AP61:AP68"/>
    <mergeCell ref="AQ61:AQ68"/>
    <mergeCell ref="BN61:BN62"/>
    <mergeCell ref="AV61:AV68"/>
    <mergeCell ref="AK65:AK68"/>
    <mergeCell ref="BM65:BM66"/>
    <mergeCell ref="AD69:AD72"/>
    <mergeCell ref="BZ65:BZ66"/>
    <mergeCell ref="BO65:BO66"/>
    <mergeCell ref="BP65:BP66"/>
    <mergeCell ref="BT65:BT66"/>
    <mergeCell ref="BN65:BN66"/>
    <mergeCell ref="AE65:AE68"/>
    <mergeCell ref="AF65:AF68"/>
    <mergeCell ref="N69:N72"/>
    <mergeCell ref="V69:V72"/>
    <mergeCell ref="W69:W72"/>
    <mergeCell ref="X69:X72"/>
    <mergeCell ref="Y69:Y72"/>
    <mergeCell ref="Z69:Z72"/>
    <mergeCell ref="O69:O72"/>
    <mergeCell ref="CF65:CF66"/>
    <mergeCell ref="BU65:BU66"/>
    <mergeCell ref="BV65:BV66"/>
    <mergeCell ref="BW65:BW66"/>
    <mergeCell ref="BX65:BX66"/>
    <mergeCell ref="S69:S72"/>
    <mergeCell ref="T69:T72"/>
    <mergeCell ref="U69:U72"/>
    <mergeCell ref="CA65:CA66"/>
    <mergeCell ref="CB65:CB66"/>
    <mergeCell ref="AQ69:AQ72"/>
    <mergeCell ref="DE65:DE66"/>
    <mergeCell ref="H69:H72"/>
    <mergeCell ref="CY65:CY66"/>
    <mergeCell ref="CZ65:CZ66"/>
    <mergeCell ref="DA65:DA66"/>
    <mergeCell ref="DB65:DB66"/>
    <mergeCell ref="DC65:DC66"/>
    <mergeCell ref="DD65:DD66"/>
    <mergeCell ref="CS65:CS66"/>
    <mergeCell ref="CT65:CT66"/>
    <mergeCell ref="CU65:CU66"/>
    <mergeCell ref="CV65:CV66"/>
    <mergeCell ref="CW65:CW66"/>
    <mergeCell ref="CX65:CX66"/>
    <mergeCell ref="CM65:CM66"/>
    <mergeCell ref="CN65:CN66"/>
    <mergeCell ref="CO65:CO66"/>
    <mergeCell ref="CP65:CP66"/>
    <mergeCell ref="CQ65:CQ66"/>
    <mergeCell ref="CR65:CR66"/>
    <mergeCell ref="CG65:CG66"/>
    <mergeCell ref="CH65:CH66"/>
    <mergeCell ref="CI65:CI66"/>
    <mergeCell ref="CJ65:CJ66"/>
    <mergeCell ref="CK65:CK66"/>
    <mergeCell ref="CL65:CL66"/>
    <mergeCell ref="AE69:AE72"/>
    <mergeCell ref="AF69:AF72"/>
    <mergeCell ref="I69:I72"/>
    <mergeCell ref="J69:J72"/>
    <mergeCell ref="K69:K72"/>
    <mergeCell ref="L69:L72"/>
    <mergeCell ref="DB69:DB71"/>
    <mergeCell ref="DC69:DC71"/>
    <mergeCell ref="DD69:DD71"/>
    <mergeCell ref="CO69:CO71"/>
    <mergeCell ref="CP69:CP71"/>
    <mergeCell ref="CQ69:CQ71"/>
    <mergeCell ref="CR69:CR71"/>
    <mergeCell ref="BQ69:BQ71"/>
    <mergeCell ref="BR69:BR71"/>
    <mergeCell ref="DE69:DE71"/>
    <mergeCell ref="CU69:CU71"/>
    <mergeCell ref="CV69:CV71"/>
    <mergeCell ref="CW69:CW71"/>
    <mergeCell ref="CX69:CX71"/>
    <mergeCell ref="CY69:CY71"/>
    <mergeCell ref="CZ69:CZ71"/>
    <mergeCell ref="DA69:DA71"/>
    <mergeCell ref="CS69:CS71"/>
    <mergeCell ref="CT69:CT71"/>
    <mergeCell ref="CI69:CI71"/>
    <mergeCell ref="CJ69:CJ71"/>
    <mergeCell ref="CK69:CK71"/>
    <mergeCell ref="CL69:CL71"/>
    <mergeCell ref="CM69:CM71"/>
    <mergeCell ref="CN69:CN71"/>
    <mergeCell ref="U73:U74"/>
    <mergeCell ref="V73:V74"/>
    <mergeCell ref="W73:W74"/>
    <mergeCell ref="L73:L74"/>
    <mergeCell ref="M73:M74"/>
    <mergeCell ref="CC69:CC71"/>
    <mergeCell ref="CD69:CD71"/>
    <mergeCell ref="CE69:CE71"/>
    <mergeCell ref="AO69:AO72"/>
    <mergeCell ref="AO73:AO74"/>
    <mergeCell ref="AA69:AA72"/>
    <mergeCell ref="AU69:AU72"/>
    <mergeCell ref="CH69:CH71"/>
    <mergeCell ref="BW69:BW71"/>
    <mergeCell ref="BX69:BX71"/>
    <mergeCell ref="BY69:BY71"/>
    <mergeCell ref="BZ69:BZ71"/>
    <mergeCell ref="CA69:CA71"/>
    <mergeCell ref="CB69:CB71"/>
    <mergeCell ref="BS69:BS71"/>
    <mergeCell ref="BT69:BT71"/>
    <mergeCell ref="BU69:BU71"/>
    <mergeCell ref="BV69:BV71"/>
    <mergeCell ref="CF69:CF71"/>
    <mergeCell ref="CG69:CG71"/>
    <mergeCell ref="AV73:AV74"/>
    <mergeCell ref="M69:M72"/>
    <mergeCell ref="P69:P72"/>
    <mergeCell ref="Q69:Q72"/>
    <mergeCell ref="R69:R72"/>
    <mergeCell ref="AB69:AB72"/>
    <mergeCell ref="AC69:AC72"/>
    <mergeCell ref="J75:J77"/>
    <mergeCell ref="K75:K77"/>
    <mergeCell ref="L75:L77"/>
    <mergeCell ref="M75:M77"/>
    <mergeCell ref="N75:N77"/>
    <mergeCell ref="BM69:BM71"/>
    <mergeCell ref="BN69:BN71"/>
    <mergeCell ref="BO69:BO71"/>
    <mergeCell ref="BP69:BP71"/>
    <mergeCell ref="AG69:AG72"/>
    <mergeCell ref="AH69:AH72"/>
    <mergeCell ref="AI69:AI72"/>
    <mergeCell ref="AJ69:AJ72"/>
    <mergeCell ref="AK69:AK72"/>
    <mergeCell ref="AV69:AV72"/>
    <mergeCell ref="H75:H77"/>
    <mergeCell ref="AJ73:AJ74"/>
    <mergeCell ref="AK73:AK74"/>
    <mergeCell ref="AD73:AD74"/>
    <mergeCell ref="AE73:AE74"/>
    <mergeCell ref="AF73:AF74"/>
    <mergeCell ref="AG73:AG74"/>
    <mergeCell ref="AH73:AH74"/>
    <mergeCell ref="AI73:AI74"/>
    <mergeCell ref="X73:X74"/>
    <mergeCell ref="Y73:Y74"/>
    <mergeCell ref="Z73:Z74"/>
    <mergeCell ref="AA73:AA74"/>
    <mergeCell ref="AB73:AB74"/>
    <mergeCell ref="AC73:AC74"/>
    <mergeCell ref="R73:R74"/>
    <mergeCell ref="S73:S74"/>
    <mergeCell ref="AG75:AG77"/>
    <mergeCell ref="AH75:AH77"/>
    <mergeCell ref="AI75:AI77"/>
    <mergeCell ref="AJ75:AJ77"/>
    <mergeCell ref="AK75:AK77"/>
    <mergeCell ref="AA75:AA77"/>
    <mergeCell ref="AB75:AB77"/>
    <mergeCell ref="AC75:AC77"/>
    <mergeCell ref="AD75:AD77"/>
    <mergeCell ref="AE75:AE77"/>
    <mergeCell ref="AF75:AF77"/>
    <mergeCell ref="N73:N74"/>
    <mergeCell ref="O73:O74"/>
    <mergeCell ref="P73:P74"/>
    <mergeCell ref="Q73:Q74"/>
    <mergeCell ref="H73:H74"/>
    <mergeCell ref="I73:I74"/>
    <mergeCell ref="J73:J74"/>
    <mergeCell ref="K73:K74"/>
    <mergeCell ref="U75:U77"/>
    <mergeCell ref="V75:V77"/>
    <mergeCell ref="W75:W77"/>
    <mergeCell ref="X75:X77"/>
    <mergeCell ref="Y75:Y77"/>
    <mergeCell ref="Z75:Z77"/>
    <mergeCell ref="O75:O77"/>
    <mergeCell ref="P75:P77"/>
    <mergeCell ref="Q75:Q77"/>
    <mergeCell ref="R75:R77"/>
    <mergeCell ref="S75:S77"/>
    <mergeCell ref="T75:T77"/>
    <mergeCell ref="I75:I77"/>
    <mergeCell ref="BP75:BP76"/>
    <mergeCell ref="DD75:DD76"/>
    <mergeCell ref="DE75:DE76"/>
    <mergeCell ref="CU75:CU76"/>
    <mergeCell ref="CV75:CV76"/>
    <mergeCell ref="CW75:CW76"/>
    <mergeCell ref="CX75:CX76"/>
    <mergeCell ref="CZ75:CZ76"/>
    <mergeCell ref="CO75:CO76"/>
    <mergeCell ref="CP75:CP76"/>
    <mergeCell ref="CQ75:CQ76"/>
    <mergeCell ref="CR75:CR76"/>
    <mergeCell ref="CS75:CS76"/>
    <mergeCell ref="CT75:CT76"/>
    <mergeCell ref="CI75:CI76"/>
    <mergeCell ref="CJ75:CJ76"/>
    <mergeCell ref="CK75:CK76"/>
    <mergeCell ref="CL75:CL76"/>
    <mergeCell ref="CM75:CM76"/>
    <mergeCell ref="CN75:CN76"/>
    <mergeCell ref="T84:T86"/>
    <mergeCell ref="U84:U86"/>
    <mergeCell ref="V84:V86"/>
    <mergeCell ref="W84:W86"/>
    <mergeCell ref="X84:X86"/>
    <mergeCell ref="AG84:AG86"/>
    <mergeCell ref="AH84:AH86"/>
    <mergeCell ref="DA75:DA76"/>
    <mergeCell ref="DB75:DB76"/>
    <mergeCell ref="DC75:DC76"/>
    <mergeCell ref="CC75:CC76"/>
    <mergeCell ref="CD75:CD76"/>
    <mergeCell ref="CE75:CE76"/>
    <mergeCell ref="CF75:CF76"/>
    <mergeCell ref="CG75:CG76"/>
    <mergeCell ref="CH75:CH76"/>
    <mergeCell ref="CY75:CY76"/>
    <mergeCell ref="BW75:BW76"/>
    <mergeCell ref="BX75:BX76"/>
    <mergeCell ref="BY75:BY76"/>
    <mergeCell ref="BZ75:BZ76"/>
    <mergeCell ref="CA75:CA76"/>
    <mergeCell ref="CB75:CB76"/>
    <mergeCell ref="BQ75:BQ76"/>
    <mergeCell ref="BR75:BR76"/>
    <mergeCell ref="BS75:BS76"/>
    <mergeCell ref="BT75:BT76"/>
    <mergeCell ref="BU75:BU76"/>
    <mergeCell ref="BV75:BV76"/>
    <mergeCell ref="BM75:BM76"/>
    <mergeCell ref="BN75:BN76"/>
    <mergeCell ref="BO75:BO76"/>
    <mergeCell ref="AA84:AA86"/>
    <mergeCell ref="AB84:AB86"/>
    <mergeCell ref="AC84:AC86"/>
    <mergeCell ref="BT80:BT83"/>
    <mergeCell ref="AE84:AE86"/>
    <mergeCell ref="AF84:AF86"/>
    <mergeCell ref="CH80:CH83"/>
    <mergeCell ref="CI80:CI83"/>
    <mergeCell ref="BX80:BX83"/>
    <mergeCell ref="BY80:BY83"/>
    <mergeCell ref="BZ80:BZ83"/>
    <mergeCell ref="CA80:CA83"/>
    <mergeCell ref="CB80:CB83"/>
    <mergeCell ref="CC80:CC83"/>
    <mergeCell ref="CD80:CD83"/>
    <mergeCell ref="CE80:CE83"/>
    <mergeCell ref="BU80:BU83"/>
    <mergeCell ref="BV80:BV83"/>
    <mergeCell ref="BW80:BW83"/>
    <mergeCell ref="AJ80:AJ83"/>
    <mergeCell ref="AK80:AK83"/>
    <mergeCell ref="CD84:CD85"/>
    <mergeCell ref="AU84:AU86"/>
    <mergeCell ref="AV84:AV86"/>
    <mergeCell ref="AW84:AW86"/>
    <mergeCell ref="AR84:AR86"/>
    <mergeCell ref="BX84:BX85"/>
    <mergeCell ref="BY84:BY85"/>
    <mergeCell ref="AD84:AD86"/>
    <mergeCell ref="CH84:CH85"/>
    <mergeCell ref="AI84:AI86"/>
    <mergeCell ref="AJ84:AJ86"/>
    <mergeCell ref="J84:J86"/>
    <mergeCell ref="K84:K86"/>
    <mergeCell ref="L84:L86"/>
    <mergeCell ref="S84:S86"/>
    <mergeCell ref="M84:M86"/>
    <mergeCell ref="N84:N86"/>
    <mergeCell ref="DB80:DB83"/>
    <mergeCell ref="DC80:DC83"/>
    <mergeCell ref="DD80:DD83"/>
    <mergeCell ref="DE80:DE83"/>
    <mergeCell ref="CV80:CV83"/>
    <mergeCell ref="CW80:CW83"/>
    <mergeCell ref="CX80:CX83"/>
    <mergeCell ref="CY80:CY83"/>
    <mergeCell ref="CZ80:CZ83"/>
    <mergeCell ref="DA80:DA83"/>
    <mergeCell ref="CP80:CP83"/>
    <mergeCell ref="CQ80:CQ83"/>
    <mergeCell ref="CR80:CR83"/>
    <mergeCell ref="CS80:CS83"/>
    <mergeCell ref="CT80:CT83"/>
    <mergeCell ref="CU80:CU83"/>
    <mergeCell ref="CJ80:CJ83"/>
    <mergeCell ref="CK80:CK83"/>
    <mergeCell ref="CL80:CL83"/>
    <mergeCell ref="CM80:CM83"/>
    <mergeCell ref="CN80:CN83"/>
    <mergeCell ref="CO80:CO83"/>
    <mergeCell ref="CF80:CF83"/>
    <mergeCell ref="CG80:CG83"/>
    <mergeCell ref="Y84:Y86"/>
    <mergeCell ref="Z84:Z86"/>
    <mergeCell ref="CC84:CC85"/>
    <mergeCell ref="AO84:AO86"/>
    <mergeCell ref="BZ84:BZ85"/>
    <mergeCell ref="CA84:CA85"/>
    <mergeCell ref="CB84:CB85"/>
    <mergeCell ref="BT84:BT85"/>
    <mergeCell ref="BU84:BU85"/>
    <mergeCell ref="BV84:BV85"/>
    <mergeCell ref="H87:H89"/>
    <mergeCell ref="I87:I89"/>
    <mergeCell ref="J87:J89"/>
    <mergeCell ref="DA84:DA85"/>
    <mergeCell ref="DB84:DB85"/>
    <mergeCell ref="O84:O86"/>
    <mergeCell ref="P84:P86"/>
    <mergeCell ref="Q84:Q86"/>
    <mergeCell ref="R84:R86"/>
    <mergeCell ref="W87:W89"/>
    <mergeCell ref="Y87:Y89"/>
    <mergeCell ref="Z87:Z89"/>
    <mergeCell ref="AA87:AA89"/>
    <mergeCell ref="AB87:AB89"/>
    <mergeCell ref="Q87:Q89"/>
    <mergeCell ref="R87:R89"/>
    <mergeCell ref="S87:S89"/>
    <mergeCell ref="T87:T89"/>
    <mergeCell ref="U87:U89"/>
    <mergeCell ref="H84:H86"/>
    <mergeCell ref="I84:I86"/>
    <mergeCell ref="AK85:AK86"/>
    <mergeCell ref="CU84:CU85"/>
    <mergeCell ref="CV84:CV85"/>
    <mergeCell ref="CW84:CW85"/>
    <mergeCell ref="CX84:CX85"/>
    <mergeCell ref="CY84:CY85"/>
    <mergeCell ref="AP84:AP86"/>
    <mergeCell ref="CS84:CS85"/>
    <mergeCell ref="CT84:CT85"/>
    <mergeCell ref="CL84:CL85"/>
    <mergeCell ref="AO87:AO89"/>
    <mergeCell ref="DC84:DC85"/>
    <mergeCell ref="DD84:DD85"/>
    <mergeCell ref="DE84:DE85"/>
    <mergeCell ref="CC87:CC89"/>
    <mergeCell ref="CD87:CD89"/>
    <mergeCell ref="CE87:CE89"/>
    <mergeCell ref="BT87:BT89"/>
    <mergeCell ref="BW84:BW85"/>
    <mergeCell ref="CK84:CK85"/>
    <mergeCell ref="CM84:CM85"/>
    <mergeCell ref="CN84:CN85"/>
    <mergeCell ref="CZ84:CZ85"/>
    <mergeCell ref="CO84:CO85"/>
    <mergeCell ref="CP84:CP85"/>
    <mergeCell ref="CQ84:CQ85"/>
    <mergeCell ref="CR84:CR85"/>
    <mergeCell ref="CI84:CI85"/>
    <mergeCell ref="CJ84:CJ85"/>
    <mergeCell ref="CE84:CE85"/>
    <mergeCell ref="CF84:CF85"/>
    <mergeCell ref="CG84:CG85"/>
    <mergeCell ref="DD87:DD89"/>
    <mergeCell ref="DE87:DE89"/>
    <mergeCell ref="CX87:CX89"/>
    <mergeCell ref="K87:K89"/>
    <mergeCell ref="L87:L89"/>
    <mergeCell ref="M87:M89"/>
    <mergeCell ref="N87:N89"/>
    <mergeCell ref="O87:O89"/>
    <mergeCell ref="P87:P89"/>
    <mergeCell ref="X87:X89"/>
    <mergeCell ref="BU87:BU89"/>
    <mergeCell ref="BV87:BV89"/>
    <mergeCell ref="BW87:BW89"/>
    <mergeCell ref="BX87:BX89"/>
    <mergeCell ref="BY87:BY89"/>
    <mergeCell ref="BZ87:BZ89"/>
    <mergeCell ref="AI87:AI89"/>
    <mergeCell ref="AJ87:AJ89"/>
    <mergeCell ref="AK87:AK88"/>
    <mergeCell ref="AC87:AC89"/>
    <mergeCell ref="AD87:AD89"/>
    <mergeCell ref="AE87:AE89"/>
    <mergeCell ref="AF87:AF89"/>
    <mergeCell ref="AG87:AG89"/>
    <mergeCell ref="AH87:AH89"/>
    <mergeCell ref="AS87:AS89"/>
    <mergeCell ref="AT87:AT89"/>
    <mergeCell ref="BN88:BN89"/>
    <mergeCell ref="BP88:BP89"/>
    <mergeCell ref="BR88:BR89"/>
    <mergeCell ref="AR87:AR89"/>
    <mergeCell ref="CY87:CY89"/>
    <mergeCell ref="CZ87:CZ89"/>
    <mergeCell ref="DA87:DA89"/>
    <mergeCell ref="DB87:DB89"/>
    <mergeCell ref="DC87:DC89"/>
    <mergeCell ref="CR87:CR89"/>
    <mergeCell ref="CS87:CS89"/>
    <mergeCell ref="CT87:CT89"/>
    <mergeCell ref="CU87:CU89"/>
    <mergeCell ref="CV87:CV89"/>
    <mergeCell ref="CW87:CW89"/>
    <mergeCell ref="CL87:CL89"/>
    <mergeCell ref="CM87:CM89"/>
    <mergeCell ref="CN87:CN89"/>
    <mergeCell ref="CO87:CO89"/>
    <mergeCell ref="CP87:CP89"/>
    <mergeCell ref="CQ87:CQ89"/>
    <mergeCell ref="CF87:CF89"/>
    <mergeCell ref="CG87:CG89"/>
    <mergeCell ref="CH87:CH89"/>
    <mergeCell ref="CI87:CI89"/>
    <mergeCell ref="CJ87:CJ89"/>
    <mergeCell ref="CK87:CK89"/>
    <mergeCell ref="CA87:CA89"/>
    <mergeCell ref="CB87:CB89"/>
    <mergeCell ref="AB90:AB93"/>
    <mergeCell ref="AC90:AC93"/>
    <mergeCell ref="R90:R93"/>
    <mergeCell ref="S90:S93"/>
    <mergeCell ref="T90:T93"/>
    <mergeCell ref="U90:U93"/>
    <mergeCell ref="V90:V93"/>
    <mergeCell ref="W90:W93"/>
    <mergeCell ref="L90:L93"/>
    <mergeCell ref="M90:M93"/>
    <mergeCell ref="N90:N93"/>
    <mergeCell ref="O90:O93"/>
    <mergeCell ref="P90:P93"/>
    <mergeCell ref="Q90:Q93"/>
    <mergeCell ref="CE90:CE93"/>
    <mergeCell ref="CF90:CF93"/>
    <mergeCell ref="CG90:CG93"/>
    <mergeCell ref="CH90:CH93"/>
    <mergeCell ref="AP87:AP89"/>
    <mergeCell ref="AQ90:AQ93"/>
    <mergeCell ref="V87:V89"/>
    <mergeCell ref="AR90:AR93"/>
    <mergeCell ref="H90:H93"/>
    <mergeCell ref="I90:I93"/>
    <mergeCell ref="J90:J93"/>
    <mergeCell ref="K90:K93"/>
    <mergeCell ref="Y90:Y93"/>
    <mergeCell ref="Z90:Z93"/>
    <mergeCell ref="AA90:AA93"/>
    <mergeCell ref="DC90:DC93"/>
    <mergeCell ref="CX90:CX93"/>
    <mergeCell ref="CY90:CY93"/>
    <mergeCell ref="CZ90:CZ93"/>
    <mergeCell ref="CO90:CO93"/>
    <mergeCell ref="DD90:DD93"/>
    <mergeCell ref="DE90:DE93"/>
    <mergeCell ref="AK92:AK93"/>
    <mergeCell ref="BM92:BM93"/>
    <mergeCell ref="BO92:BO93"/>
    <mergeCell ref="BQ92:BQ93"/>
    <mergeCell ref="BS92:BS93"/>
    <mergeCell ref="CU90:CU93"/>
    <mergeCell ref="CV90:CV93"/>
    <mergeCell ref="CW90:CW93"/>
    <mergeCell ref="CS90:CS93"/>
    <mergeCell ref="CT90:CT93"/>
    <mergeCell ref="CI90:CI93"/>
    <mergeCell ref="CJ90:CJ93"/>
    <mergeCell ref="CK90:CK93"/>
    <mergeCell ref="CL90:CL93"/>
    <mergeCell ref="CM90:CM93"/>
    <mergeCell ref="CN90:CN93"/>
    <mergeCell ref="CC90:CC93"/>
    <mergeCell ref="CD90:CD93"/>
    <mergeCell ref="H94:H98"/>
    <mergeCell ref="I94:I98"/>
    <mergeCell ref="J94:J98"/>
    <mergeCell ref="K94:K98"/>
    <mergeCell ref="L94:L98"/>
    <mergeCell ref="DA90:DA93"/>
    <mergeCell ref="BO90:BO91"/>
    <mergeCell ref="BQ90:BQ91"/>
    <mergeCell ref="BS90:BS91"/>
    <mergeCell ref="BT90:BT93"/>
    <mergeCell ref="DB90:DB93"/>
    <mergeCell ref="BW90:BW93"/>
    <mergeCell ref="BX90:BX93"/>
    <mergeCell ref="BY90:BY93"/>
    <mergeCell ref="BZ90:BZ93"/>
    <mergeCell ref="CA90:CA93"/>
    <mergeCell ref="CB90:CB93"/>
    <mergeCell ref="CP90:CP93"/>
    <mergeCell ref="CQ90:CQ93"/>
    <mergeCell ref="CR90:CR93"/>
    <mergeCell ref="BU90:BU93"/>
    <mergeCell ref="BV90:BV93"/>
    <mergeCell ref="AJ90:AJ93"/>
    <mergeCell ref="AK90:AK91"/>
    <mergeCell ref="BM90:BM91"/>
    <mergeCell ref="AD90:AD93"/>
    <mergeCell ref="AE90:AE93"/>
    <mergeCell ref="AF90:AF93"/>
    <mergeCell ref="AG90:AG93"/>
    <mergeCell ref="AH90:AH93"/>
    <mergeCell ref="AI90:AI93"/>
    <mergeCell ref="X90:X93"/>
    <mergeCell ref="Y94:Y98"/>
    <mergeCell ref="Z94:Z98"/>
    <mergeCell ref="AA94:AA98"/>
    <mergeCell ref="AB94:AB98"/>
    <mergeCell ref="AC94:AC98"/>
    <mergeCell ref="AD94:AD98"/>
    <mergeCell ref="S94:S98"/>
    <mergeCell ref="T94:T98"/>
    <mergeCell ref="U94:U98"/>
    <mergeCell ref="V94:V98"/>
    <mergeCell ref="W94:W98"/>
    <mergeCell ref="X94:X98"/>
    <mergeCell ref="M94:M98"/>
    <mergeCell ref="N94:N98"/>
    <mergeCell ref="O94:O98"/>
    <mergeCell ref="P94:P98"/>
    <mergeCell ref="Q94:Q98"/>
    <mergeCell ref="R94:R98"/>
    <mergeCell ref="DE94:DE96"/>
    <mergeCell ref="AK96:AK98"/>
    <mergeCell ref="CW94:CW96"/>
    <mergeCell ref="CX94:CX96"/>
    <mergeCell ref="CY94:CY96"/>
    <mergeCell ref="CZ94:CZ96"/>
    <mergeCell ref="DA94:DA96"/>
    <mergeCell ref="DB94:DB96"/>
    <mergeCell ref="CQ94:CQ95"/>
    <mergeCell ref="CR94:CR95"/>
    <mergeCell ref="CS94:CS95"/>
    <mergeCell ref="CT94:CT95"/>
    <mergeCell ref="CU94:CU95"/>
    <mergeCell ref="CV94:CV96"/>
    <mergeCell ref="CK94:CK95"/>
    <mergeCell ref="CL94:CL95"/>
    <mergeCell ref="CM94:CM95"/>
    <mergeCell ref="CN94:CN95"/>
    <mergeCell ref="CO94:CO95"/>
    <mergeCell ref="CP94:CP95"/>
    <mergeCell ref="CE94:CE96"/>
    <mergeCell ref="CF94:CF96"/>
    <mergeCell ref="CG94:CG96"/>
    <mergeCell ref="CH94:CH95"/>
    <mergeCell ref="CI94:CI95"/>
    <mergeCell ref="CJ94:CJ95"/>
    <mergeCell ref="BY94:BY96"/>
    <mergeCell ref="BZ94:BZ96"/>
    <mergeCell ref="CA94:CA96"/>
    <mergeCell ref="AU94:AU98"/>
    <mergeCell ref="AV94:AV98"/>
    <mergeCell ref="AW94:AW98"/>
    <mergeCell ref="DC94:DC96"/>
    <mergeCell ref="CB94:CB96"/>
    <mergeCell ref="CC94:CC96"/>
    <mergeCell ref="CD94:CD96"/>
    <mergeCell ref="BS94:BS95"/>
    <mergeCell ref="BT94:BT96"/>
    <mergeCell ref="BU94:BU96"/>
    <mergeCell ref="BV94:BV96"/>
    <mergeCell ref="BW94:BW96"/>
    <mergeCell ref="BX94:BX96"/>
    <mergeCell ref="BM94:BM95"/>
    <mergeCell ref="BO94:BO95"/>
    <mergeCell ref="BQ94:BQ95"/>
    <mergeCell ref="AE94:AE98"/>
    <mergeCell ref="AF94:AF98"/>
    <mergeCell ref="AG94:AG98"/>
    <mergeCell ref="DD94:DD96"/>
    <mergeCell ref="AH94:AH98"/>
    <mergeCell ref="AI94:AI98"/>
    <mergeCell ref="AJ94:AJ98"/>
    <mergeCell ref="AR94:AR98"/>
    <mergeCell ref="AT94:AT98"/>
    <mergeCell ref="X99:X102"/>
    <mergeCell ref="Y99:Y102"/>
    <mergeCell ref="AB99:AB102"/>
    <mergeCell ref="AC99:AC102"/>
    <mergeCell ref="P99:P102"/>
    <mergeCell ref="Q99:Q102"/>
    <mergeCell ref="T99:T102"/>
    <mergeCell ref="U99:U102"/>
    <mergeCell ref="V99:V102"/>
    <mergeCell ref="W99:W102"/>
    <mergeCell ref="R99:R102"/>
    <mergeCell ref="S99:S102"/>
    <mergeCell ref="H99:H102"/>
    <mergeCell ref="I99:I102"/>
    <mergeCell ref="J99:J102"/>
    <mergeCell ref="K99:K102"/>
    <mergeCell ref="L99:L102"/>
    <mergeCell ref="M99:M102"/>
    <mergeCell ref="N99:N102"/>
    <mergeCell ref="O99:O102"/>
    <mergeCell ref="BR99:BR100"/>
    <mergeCell ref="BS99:BS100"/>
    <mergeCell ref="BT99:BT101"/>
    <mergeCell ref="BU99:BU101"/>
    <mergeCell ref="BV99:BV101"/>
    <mergeCell ref="BW99:BW101"/>
    <mergeCell ref="BO99:BO100"/>
    <mergeCell ref="BP99:BP100"/>
    <mergeCell ref="BQ99:BQ100"/>
    <mergeCell ref="AJ99:AJ102"/>
    <mergeCell ref="BM99:BM100"/>
    <mergeCell ref="AV99:AV102"/>
    <mergeCell ref="AW99:AW102"/>
    <mergeCell ref="BN99:BN100"/>
    <mergeCell ref="AU99:AU102"/>
    <mergeCell ref="AO99:AO102"/>
    <mergeCell ref="AD99:AD102"/>
    <mergeCell ref="AE99:AE102"/>
    <mergeCell ref="AF99:AF102"/>
    <mergeCell ref="AG99:AG102"/>
    <mergeCell ref="AH99:AH102"/>
    <mergeCell ref="AI99:AI102"/>
    <mergeCell ref="AR99:AR102"/>
    <mergeCell ref="AS99:AS102"/>
    <mergeCell ref="AT99:AT102"/>
    <mergeCell ref="CQ99:CQ101"/>
    <mergeCell ref="CD99:CD101"/>
    <mergeCell ref="CE99:CE101"/>
    <mergeCell ref="CF99:CF101"/>
    <mergeCell ref="CR99:CR101"/>
    <mergeCell ref="CG99:CG101"/>
    <mergeCell ref="CH99:CH101"/>
    <mergeCell ref="CI99:CI101"/>
    <mergeCell ref="CJ99:CJ101"/>
    <mergeCell ref="CK99:CK101"/>
    <mergeCell ref="CL99:CL101"/>
    <mergeCell ref="BX99:BX101"/>
    <mergeCell ref="BY99:BY101"/>
    <mergeCell ref="BZ99:BZ101"/>
    <mergeCell ref="CA99:CA101"/>
    <mergeCell ref="CB99:CB101"/>
    <mergeCell ref="CC99:CC101"/>
    <mergeCell ref="R103:R108"/>
    <mergeCell ref="S103:S108"/>
    <mergeCell ref="T103:T108"/>
    <mergeCell ref="BM106:BM108"/>
    <mergeCell ref="BN106:BN108"/>
    <mergeCell ref="BO106:BO108"/>
    <mergeCell ref="BP106:BP108"/>
    <mergeCell ref="I103:I108"/>
    <mergeCell ref="J103:J108"/>
    <mergeCell ref="K103:K108"/>
    <mergeCell ref="L103:L108"/>
    <mergeCell ref="M103:M108"/>
    <mergeCell ref="N103:N108"/>
    <mergeCell ref="DE99:DE101"/>
    <mergeCell ref="AK101:AK102"/>
    <mergeCell ref="H103:H108"/>
    <mergeCell ref="CY99:CY101"/>
    <mergeCell ref="CZ99:CZ101"/>
    <mergeCell ref="DA99:DA101"/>
    <mergeCell ref="DB99:DB101"/>
    <mergeCell ref="DC99:DC101"/>
    <mergeCell ref="DD99:DD101"/>
    <mergeCell ref="CS99:CS101"/>
    <mergeCell ref="CT99:CT101"/>
    <mergeCell ref="CU99:CU101"/>
    <mergeCell ref="CV99:CV101"/>
    <mergeCell ref="CW99:CW101"/>
    <mergeCell ref="CX99:CX101"/>
    <mergeCell ref="CM99:CM101"/>
    <mergeCell ref="CN99:CN101"/>
    <mergeCell ref="CO99:CO101"/>
    <mergeCell ref="CP99:CP101"/>
    <mergeCell ref="DC103:DC105"/>
    <mergeCell ref="DD103:DD105"/>
    <mergeCell ref="DE103:DE105"/>
    <mergeCell ref="AK104:AK105"/>
    <mergeCell ref="CW103:CW105"/>
    <mergeCell ref="CX103:CX105"/>
    <mergeCell ref="CY103:CY105"/>
    <mergeCell ref="CZ103:CZ105"/>
    <mergeCell ref="DA103:DA105"/>
    <mergeCell ref="DB103:DB105"/>
    <mergeCell ref="CQ103:CQ105"/>
    <mergeCell ref="CR103:CR105"/>
    <mergeCell ref="CS103:CS105"/>
    <mergeCell ref="CT103:CT105"/>
    <mergeCell ref="CU103:CU105"/>
    <mergeCell ref="CV103:CV105"/>
    <mergeCell ref="CK103:CK105"/>
    <mergeCell ref="CL103:CL105"/>
    <mergeCell ref="CM103:CM105"/>
    <mergeCell ref="CN103:CN105"/>
    <mergeCell ref="CO103:CO105"/>
    <mergeCell ref="CP103:CP105"/>
    <mergeCell ref="CE103:CE105"/>
    <mergeCell ref="CF103:CF105"/>
    <mergeCell ref="CG103:CG105"/>
    <mergeCell ref="CH103:CH105"/>
    <mergeCell ref="CI103:CI105"/>
    <mergeCell ref="CJ103:CJ105"/>
    <mergeCell ref="CB103:CB105"/>
    <mergeCell ref="AR103:AR108"/>
    <mergeCell ref="AS103:AS108"/>
    <mergeCell ref="AT103:AT108"/>
    <mergeCell ref="CD106:CD108"/>
    <mergeCell ref="AG103:AG108"/>
    <mergeCell ref="AH103:AH108"/>
    <mergeCell ref="AI103:AI108"/>
    <mergeCell ref="AJ103:AJ105"/>
    <mergeCell ref="U103:U108"/>
    <mergeCell ref="V103:V108"/>
    <mergeCell ref="W103:W108"/>
    <mergeCell ref="X103:X108"/>
    <mergeCell ref="Y103:Y108"/>
    <mergeCell ref="Z103:Z108"/>
    <mergeCell ref="O103:O108"/>
    <mergeCell ref="CE106:CE108"/>
    <mergeCell ref="CF106:CF108"/>
    <mergeCell ref="CG106:CG108"/>
    <mergeCell ref="BW106:BW108"/>
    <mergeCell ref="BX106:BX108"/>
    <mergeCell ref="BY106:BY108"/>
    <mergeCell ref="BZ106:BZ108"/>
    <mergeCell ref="CA106:CA108"/>
    <mergeCell ref="CB106:CB108"/>
    <mergeCell ref="CA103:CA105"/>
    <mergeCell ref="BQ106:BQ108"/>
    <mergeCell ref="BR106:BR108"/>
    <mergeCell ref="BS106:BS108"/>
    <mergeCell ref="BT106:BT108"/>
    <mergeCell ref="BU106:BU108"/>
    <mergeCell ref="BV106:BV108"/>
    <mergeCell ref="AO103:AO108"/>
    <mergeCell ref="CC103:CC105"/>
    <mergeCell ref="CD103:CD105"/>
    <mergeCell ref="BT103:BT105"/>
    <mergeCell ref="Q109:Q112"/>
    <mergeCell ref="R109:R112"/>
    <mergeCell ref="S109:S112"/>
    <mergeCell ref="T109:T112"/>
    <mergeCell ref="U109:U112"/>
    <mergeCell ref="V109:V112"/>
    <mergeCell ref="K109:K112"/>
    <mergeCell ref="L109:L112"/>
    <mergeCell ref="M109:M112"/>
    <mergeCell ref="N109:N112"/>
    <mergeCell ref="O109:O112"/>
    <mergeCell ref="P109:P112"/>
    <mergeCell ref="AA103:AA108"/>
    <mergeCell ref="H109:H112"/>
    <mergeCell ref="I109:I112"/>
    <mergeCell ref="J109:J112"/>
    <mergeCell ref="CC106:CC108"/>
    <mergeCell ref="BU103:BU105"/>
    <mergeCell ref="BV103:BV105"/>
    <mergeCell ref="BW103:BW105"/>
    <mergeCell ref="BX103:BX105"/>
    <mergeCell ref="BY103:BY105"/>
    <mergeCell ref="BZ103:BZ105"/>
    <mergeCell ref="AB103:AB108"/>
    <mergeCell ref="AC103:AC108"/>
    <mergeCell ref="AD103:AD108"/>
    <mergeCell ref="AK106:AK108"/>
    <mergeCell ref="AE103:AE108"/>
    <mergeCell ref="AF103:AF108"/>
    <mergeCell ref="AJ106:AJ108"/>
    <mergeCell ref="P103:P108"/>
    <mergeCell ref="Q103:Q108"/>
    <mergeCell ref="DE109:DE112"/>
    <mergeCell ref="AK111:AK112"/>
    <mergeCell ref="CW109:CW112"/>
    <mergeCell ref="CX109:CX112"/>
    <mergeCell ref="CY109:CY112"/>
    <mergeCell ref="CZ109:CZ112"/>
    <mergeCell ref="DA109:DA112"/>
    <mergeCell ref="DB109:DB112"/>
    <mergeCell ref="CQ109:CQ112"/>
    <mergeCell ref="CV109:CV112"/>
    <mergeCell ref="CK109:CK112"/>
    <mergeCell ref="CL109:CL112"/>
    <mergeCell ref="CM109:CM112"/>
    <mergeCell ref="CN109:CN112"/>
    <mergeCell ref="CO109:CO112"/>
    <mergeCell ref="CP109:CP112"/>
    <mergeCell ref="CE109:CE112"/>
    <mergeCell ref="CF109:CF112"/>
    <mergeCell ref="CG109:CG112"/>
    <mergeCell ref="CH109:CH112"/>
    <mergeCell ref="CI109:CI112"/>
    <mergeCell ref="CJ109:CJ112"/>
    <mergeCell ref="BY109:BY112"/>
    <mergeCell ref="BZ109:BZ112"/>
    <mergeCell ref="CA109:CA112"/>
    <mergeCell ref="CB109:CB112"/>
    <mergeCell ref="CC109:CC112"/>
    <mergeCell ref="CD109:CD112"/>
    <mergeCell ref="BS109:BS110"/>
    <mergeCell ref="BT109:BT112"/>
    <mergeCell ref="BU109:BU112"/>
    <mergeCell ref="BV109:BV112"/>
    <mergeCell ref="M113:M115"/>
    <mergeCell ref="N113:N115"/>
    <mergeCell ref="O113:O115"/>
    <mergeCell ref="P113:P115"/>
    <mergeCell ref="Q113:Q115"/>
    <mergeCell ref="R113:R115"/>
    <mergeCell ref="H113:H115"/>
    <mergeCell ref="I113:I115"/>
    <mergeCell ref="J113:J115"/>
    <mergeCell ref="K113:K115"/>
    <mergeCell ref="L113:L115"/>
    <mergeCell ref="DC109:DC112"/>
    <mergeCell ref="CR109:CR112"/>
    <mergeCell ref="CS109:CS112"/>
    <mergeCell ref="CT109:CT112"/>
    <mergeCell ref="CU109:CU112"/>
    <mergeCell ref="DD109:DD112"/>
    <mergeCell ref="BW109:BW112"/>
    <mergeCell ref="BX109:BX112"/>
    <mergeCell ref="BP109:BP110"/>
    <mergeCell ref="BQ109:BQ110"/>
    <mergeCell ref="BR109:BR110"/>
    <mergeCell ref="AI109:AI112"/>
    <mergeCell ref="AJ109:AJ112"/>
    <mergeCell ref="AK109:AK110"/>
    <mergeCell ref="BN109:BN110"/>
    <mergeCell ref="BO109:BO110"/>
    <mergeCell ref="BM109:BM110"/>
    <mergeCell ref="AR109:AR112"/>
    <mergeCell ref="AC109:AC112"/>
    <mergeCell ref="AD109:AD112"/>
    <mergeCell ref="AE109:AE112"/>
    <mergeCell ref="DA113:DA115"/>
    <mergeCell ref="DB113:DB115"/>
    <mergeCell ref="DC113:DC115"/>
    <mergeCell ref="DD113:DD115"/>
    <mergeCell ref="DE113:DE115"/>
    <mergeCell ref="AK114:AK115"/>
    <mergeCell ref="CU113:CU115"/>
    <mergeCell ref="CV113:CV115"/>
    <mergeCell ref="CW113:CW115"/>
    <mergeCell ref="CX113:CX115"/>
    <mergeCell ref="CY113:CY115"/>
    <mergeCell ref="CZ113:CZ115"/>
    <mergeCell ref="CO113:CO115"/>
    <mergeCell ref="CP113:CP115"/>
    <mergeCell ref="CQ113:CQ115"/>
    <mergeCell ref="CR113:CR115"/>
    <mergeCell ref="CS113:CS115"/>
    <mergeCell ref="CT113:CT115"/>
    <mergeCell ref="CI113:CI115"/>
    <mergeCell ref="CJ113:CJ115"/>
    <mergeCell ref="CK113:CK115"/>
    <mergeCell ref="CL113:CL115"/>
    <mergeCell ref="CM113:CM115"/>
    <mergeCell ref="CN113:CN115"/>
    <mergeCell ref="CC113:CC115"/>
    <mergeCell ref="CD113:CD115"/>
    <mergeCell ref="CE113:CE115"/>
    <mergeCell ref="CF113:CF115"/>
    <mergeCell ref="CG113:CG115"/>
    <mergeCell ref="CH113:CH115"/>
    <mergeCell ref="AE113:AE115"/>
    <mergeCell ref="AF113:AF115"/>
    <mergeCell ref="AG113:AG115"/>
    <mergeCell ref="AH113:AH115"/>
    <mergeCell ref="AI113:AI115"/>
    <mergeCell ref="AJ113:AJ115"/>
    <mergeCell ref="Y113:Y115"/>
    <mergeCell ref="Z113:Z115"/>
    <mergeCell ref="AA113:AA115"/>
    <mergeCell ref="AB113:AB115"/>
    <mergeCell ref="AC113:AC115"/>
    <mergeCell ref="AD113:AD115"/>
    <mergeCell ref="S113:S115"/>
    <mergeCell ref="T113:T115"/>
    <mergeCell ref="U113:U115"/>
    <mergeCell ref="V113:V115"/>
    <mergeCell ref="W113:W115"/>
    <mergeCell ref="X113:X115"/>
    <mergeCell ref="AF109:AF112"/>
    <mergeCell ref="AG109:AG112"/>
    <mergeCell ref="AH109:AH112"/>
    <mergeCell ref="W109:W112"/>
    <mergeCell ref="X109:X112"/>
    <mergeCell ref="Y109:Y112"/>
    <mergeCell ref="Z109:Z112"/>
    <mergeCell ref="AA109:AA112"/>
    <mergeCell ref="AB109:AB112"/>
    <mergeCell ref="Z99:Z102"/>
    <mergeCell ref="AA99:AA102"/>
    <mergeCell ref="DC116:DC117"/>
    <mergeCell ref="DD116:DD117"/>
    <mergeCell ref="DE116:DE117"/>
    <mergeCell ref="CU116:CU117"/>
    <mergeCell ref="CV116:CV117"/>
    <mergeCell ref="CW116:CW117"/>
    <mergeCell ref="CX116:CX117"/>
    <mergeCell ref="DB116:DB117"/>
    <mergeCell ref="DA116:DA117"/>
    <mergeCell ref="CY116:CY117"/>
    <mergeCell ref="BY113:BY115"/>
    <mergeCell ref="BZ113:BZ115"/>
    <mergeCell ref="CA113:CA115"/>
    <mergeCell ref="CB113:CB115"/>
    <mergeCell ref="BT113:BT115"/>
    <mergeCell ref="BU113:BU115"/>
    <mergeCell ref="BV113:BV115"/>
    <mergeCell ref="BW113:BW115"/>
    <mergeCell ref="BX113:BX115"/>
    <mergeCell ref="AP109:AP112"/>
    <mergeCell ref="AQ109:AQ112"/>
    <mergeCell ref="BX116:BX117"/>
    <mergeCell ref="Y116:Y117"/>
    <mergeCell ref="AE116:AE117"/>
    <mergeCell ref="CC116:CC117"/>
    <mergeCell ref="CP116:CP117"/>
    <mergeCell ref="CQ116:CQ117"/>
    <mergeCell ref="CR116:CR117"/>
    <mergeCell ref="AB116:AB117"/>
    <mergeCell ref="AC116:AC117"/>
    <mergeCell ref="AD116:AD117"/>
    <mergeCell ref="BV116:BV117"/>
    <mergeCell ref="CG116:CG117"/>
    <mergeCell ref="CI116:CI117"/>
    <mergeCell ref="CJ116:CJ117"/>
    <mergeCell ref="V116:V117"/>
    <mergeCell ref="W116:W117"/>
    <mergeCell ref="X116:X117"/>
    <mergeCell ref="AW116:AW117"/>
    <mergeCell ref="BW116:BW117"/>
    <mergeCell ref="AS116:AS117"/>
    <mergeCell ref="AT116:AT117"/>
    <mergeCell ref="P118:P120"/>
    <mergeCell ref="Q118:Q120"/>
    <mergeCell ref="R118:R120"/>
    <mergeCell ref="W118:W120"/>
    <mergeCell ref="X118:X120"/>
    <mergeCell ref="Y118:Y120"/>
    <mergeCell ref="Z118:Z120"/>
    <mergeCell ref="AQ118:AQ120"/>
    <mergeCell ref="AP113:AP115"/>
    <mergeCell ref="AQ113:AQ115"/>
    <mergeCell ref="AP116:AP117"/>
    <mergeCell ref="AQ116:AQ117"/>
    <mergeCell ref="AP118:AP120"/>
    <mergeCell ref="AR116:AR117"/>
    <mergeCell ref="M116:M117"/>
    <mergeCell ref="N116:N117"/>
    <mergeCell ref="AF116:AF117"/>
    <mergeCell ref="AG116:AG117"/>
    <mergeCell ref="AH116:AH117"/>
    <mergeCell ref="AI116:AI117"/>
    <mergeCell ref="AJ116:AJ117"/>
    <mergeCell ref="O116:O117"/>
    <mergeCell ref="P116:P117"/>
    <mergeCell ref="Q116:Q117"/>
    <mergeCell ref="R116:R117"/>
    <mergeCell ref="AO113:AO115"/>
    <mergeCell ref="AO116:AO117"/>
    <mergeCell ref="S116:S117"/>
    <mergeCell ref="T116:T117"/>
    <mergeCell ref="U116:U117"/>
    <mergeCell ref="Z116:Z117"/>
    <mergeCell ref="AA116:AA117"/>
    <mergeCell ref="H118:H120"/>
    <mergeCell ref="I118:I120"/>
    <mergeCell ref="J118:J120"/>
    <mergeCell ref="S118:S120"/>
    <mergeCell ref="T118:T120"/>
    <mergeCell ref="AF118:AF120"/>
    <mergeCell ref="U118:U120"/>
    <mergeCell ref="V118:V120"/>
    <mergeCell ref="K118:K120"/>
    <mergeCell ref="L118:L120"/>
    <mergeCell ref="BS118:BS119"/>
    <mergeCell ref="BT118:BT120"/>
    <mergeCell ref="AJ118:AJ120"/>
    <mergeCell ref="AK118:AK120"/>
    <mergeCell ref="AU118:AU120"/>
    <mergeCell ref="BQ118:BQ119"/>
    <mergeCell ref="AT118:AT120"/>
    <mergeCell ref="BO118:BO119"/>
    <mergeCell ref="AA118:AA120"/>
    <mergeCell ref="AB118:AB120"/>
    <mergeCell ref="AV118:AV120"/>
    <mergeCell ref="AW118:AW120"/>
    <mergeCell ref="AR118:AR120"/>
    <mergeCell ref="AS118:AS120"/>
    <mergeCell ref="AC118:AC120"/>
    <mergeCell ref="AG118:AG120"/>
    <mergeCell ref="AD118:AD120"/>
    <mergeCell ref="AH118:AH120"/>
    <mergeCell ref="AO118:AO120"/>
    <mergeCell ref="M118:M120"/>
    <mergeCell ref="N118:N120"/>
    <mergeCell ref="O118:O120"/>
    <mergeCell ref="H116:H117"/>
    <mergeCell ref="I116:I117"/>
    <mergeCell ref="J116:J117"/>
    <mergeCell ref="K116:K117"/>
    <mergeCell ref="L116:L117"/>
    <mergeCell ref="BT116:BT117"/>
    <mergeCell ref="BU116:BU117"/>
    <mergeCell ref="BY116:BY117"/>
    <mergeCell ref="CH118:CH120"/>
    <mergeCell ref="CI118:CI120"/>
    <mergeCell ref="CZ116:CZ117"/>
    <mergeCell ref="CO116:CO117"/>
    <mergeCell ref="CS116:CS117"/>
    <mergeCell ref="CT116:CT117"/>
    <mergeCell ref="CL116:CL117"/>
    <mergeCell ref="CM116:CM117"/>
    <mergeCell ref="CN116:CN117"/>
    <mergeCell ref="CJ118:CJ120"/>
    <mergeCell ref="CK118:CK120"/>
    <mergeCell ref="BZ116:BZ117"/>
    <mergeCell ref="CA116:CA117"/>
    <mergeCell ref="CB116:CB117"/>
    <mergeCell ref="BU118:BU120"/>
    <mergeCell ref="CH116:CH117"/>
    <mergeCell ref="CK116:CK117"/>
    <mergeCell ref="CD116:CD117"/>
    <mergeCell ref="CE116:CE117"/>
    <mergeCell ref="CF116:CF117"/>
    <mergeCell ref="BZ118:BZ120"/>
    <mergeCell ref="CA118:CA120"/>
    <mergeCell ref="BM118:BM119"/>
    <mergeCell ref="AI118:AI120"/>
    <mergeCell ref="DE118:DE120"/>
    <mergeCell ref="CT118:CT120"/>
    <mergeCell ref="CU118:CU120"/>
    <mergeCell ref="CV118:CV120"/>
    <mergeCell ref="CW118:CW120"/>
    <mergeCell ref="CX118:CX120"/>
    <mergeCell ref="CZ118:CZ120"/>
    <mergeCell ref="DA118:DA120"/>
    <mergeCell ref="DB118:DB120"/>
    <mergeCell ref="DC118:DC120"/>
    <mergeCell ref="CO118:CO120"/>
    <mergeCell ref="CP118:CP120"/>
    <mergeCell ref="CQ118:CQ120"/>
    <mergeCell ref="CR118:CR120"/>
    <mergeCell ref="CS118:CS120"/>
    <mergeCell ref="Q121:Q124"/>
    <mergeCell ref="R121:R124"/>
    <mergeCell ref="S121:S124"/>
    <mergeCell ref="T121:T124"/>
    <mergeCell ref="U121:U124"/>
    <mergeCell ref="V121:V124"/>
    <mergeCell ref="AE121:AE124"/>
    <mergeCell ref="AP121:AP124"/>
    <mergeCell ref="AQ121:AQ124"/>
    <mergeCell ref="AU121:AU124"/>
    <mergeCell ref="W121:W124"/>
    <mergeCell ref="X121:X124"/>
    <mergeCell ref="AG121:AG124"/>
    <mergeCell ref="AH121:AH124"/>
    <mergeCell ref="AI121:AI124"/>
    <mergeCell ref="AJ121:AJ124"/>
    <mergeCell ref="Y121:Y124"/>
    <mergeCell ref="H121:H124"/>
    <mergeCell ref="I121:I124"/>
    <mergeCell ref="J121:J124"/>
    <mergeCell ref="K121:K124"/>
    <mergeCell ref="L121:L124"/>
    <mergeCell ref="M121:M124"/>
    <mergeCell ref="N121:N124"/>
    <mergeCell ref="O121:O124"/>
    <mergeCell ref="P121:P124"/>
    <mergeCell ref="DD118:DD120"/>
    <mergeCell ref="CB118:CB120"/>
    <mergeCell ref="CC118:CC120"/>
    <mergeCell ref="CD118:CD120"/>
    <mergeCell ref="CE118:CE120"/>
    <mergeCell ref="CF118:CF120"/>
    <mergeCell ref="CL118:CL120"/>
    <mergeCell ref="CM118:CM120"/>
    <mergeCell ref="CY118:CY120"/>
    <mergeCell ref="CN118:CN120"/>
    <mergeCell ref="AE118:AE120"/>
    <mergeCell ref="CG118:CG120"/>
    <mergeCell ref="BV118:BV120"/>
    <mergeCell ref="BW118:BW120"/>
    <mergeCell ref="BX118:BX120"/>
    <mergeCell ref="BY118:BY120"/>
    <mergeCell ref="AC121:AC124"/>
    <mergeCell ref="AD121:AD124"/>
    <mergeCell ref="BW121:BW124"/>
    <mergeCell ref="BX121:BX124"/>
    <mergeCell ref="AK121:AK122"/>
    <mergeCell ref="BN121:BN124"/>
    <mergeCell ref="BP121:BP124"/>
    <mergeCell ref="Z121:Z124"/>
    <mergeCell ref="AA121:AA124"/>
    <mergeCell ref="AB121:AB124"/>
    <mergeCell ref="CH121:CH124"/>
    <mergeCell ref="CI121:CI124"/>
    <mergeCell ref="BR121:BR124"/>
    <mergeCell ref="BT121:BT124"/>
    <mergeCell ref="BU121:BU124"/>
    <mergeCell ref="BV121:BV124"/>
    <mergeCell ref="AV121:AV124"/>
    <mergeCell ref="AW121:AW124"/>
    <mergeCell ref="CJ121:CJ124"/>
    <mergeCell ref="BY121:BY124"/>
    <mergeCell ref="BZ121:BZ124"/>
    <mergeCell ref="CA121:CA124"/>
    <mergeCell ref="CB121:CB124"/>
    <mergeCell ref="CC121:CC124"/>
    <mergeCell ref="CD121:CD124"/>
    <mergeCell ref="CE121:CE124"/>
    <mergeCell ref="CF121:CF124"/>
    <mergeCell ref="AO121:AO124"/>
    <mergeCell ref="H126:H129"/>
    <mergeCell ref="I126:I129"/>
    <mergeCell ref="O130:O131"/>
    <mergeCell ref="P130:P131"/>
    <mergeCell ref="H130:H131"/>
    <mergeCell ref="I130:I131"/>
    <mergeCell ref="J130:J131"/>
    <mergeCell ref="AU126:AU129"/>
    <mergeCell ref="DC121:DC124"/>
    <mergeCell ref="DD121:DD124"/>
    <mergeCell ref="DE121:DE124"/>
    <mergeCell ref="AK123:AK124"/>
    <mergeCell ref="CW121:CW124"/>
    <mergeCell ref="CX121:CX124"/>
    <mergeCell ref="CY121:CY124"/>
    <mergeCell ref="CZ121:CZ124"/>
    <mergeCell ref="DA121:DA124"/>
    <mergeCell ref="DB121:DB124"/>
    <mergeCell ref="CQ121:CQ124"/>
    <mergeCell ref="CR121:CR124"/>
    <mergeCell ref="CS121:CS124"/>
    <mergeCell ref="CT121:CT124"/>
    <mergeCell ref="CU121:CU124"/>
    <mergeCell ref="CV121:CV124"/>
    <mergeCell ref="CK121:CK124"/>
    <mergeCell ref="CL121:CL124"/>
    <mergeCell ref="CM121:CM124"/>
    <mergeCell ref="CN121:CN124"/>
    <mergeCell ref="CO121:CO124"/>
    <mergeCell ref="CP121:CP124"/>
    <mergeCell ref="AF121:AF124"/>
    <mergeCell ref="CG121:CG124"/>
    <mergeCell ref="Q130:Q131"/>
    <mergeCell ref="R130:R131"/>
    <mergeCell ref="S130:S131"/>
    <mergeCell ref="T130:T131"/>
    <mergeCell ref="U130:U131"/>
    <mergeCell ref="V130:V131"/>
    <mergeCell ref="AR130:AR131"/>
    <mergeCell ref="AS130:AS131"/>
    <mergeCell ref="AT130:AT131"/>
    <mergeCell ref="BO130:BO131"/>
    <mergeCell ref="AC130:AC131"/>
    <mergeCell ref="AD130:AD131"/>
    <mergeCell ref="AE130:AE131"/>
    <mergeCell ref="J126:J129"/>
    <mergeCell ref="K126:K129"/>
    <mergeCell ref="L126:L129"/>
    <mergeCell ref="M126:M129"/>
    <mergeCell ref="N126:N129"/>
    <mergeCell ref="O126:O129"/>
    <mergeCell ref="AW130:AW131"/>
    <mergeCell ref="AP126:AP129"/>
    <mergeCell ref="AR126:AR129"/>
    <mergeCell ref="AS126:AS129"/>
    <mergeCell ref="AT126:AT129"/>
    <mergeCell ref="V126:V129"/>
    <mergeCell ref="W126:W129"/>
    <mergeCell ref="X126:X129"/>
    <mergeCell ref="Y126:Y129"/>
    <mergeCell ref="Z126:Z129"/>
    <mergeCell ref="AA126:AA129"/>
    <mergeCell ref="AK126:AK129"/>
    <mergeCell ref="BM126:BM129"/>
    <mergeCell ref="P126:P129"/>
    <mergeCell ref="Q126:Q129"/>
    <mergeCell ref="R126:R129"/>
    <mergeCell ref="S126:S129"/>
    <mergeCell ref="T126:T129"/>
    <mergeCell ref="U126:U129"/>
    <mergeCell ref="AB126:AB129"/>
    <mergeCell ref="AC126:AC129"/>
    <mergeCell ref="AD126:AD129"/>
    <mergeCell ref="AE126:AE129"/>
    <mergeCell ref="AF126:AF129"/>
    <mergeCell ref="AG126:AG129"/>
    <mergeCell ref="AV126:AV129"/>
    <mergeCell ref="DE126:DE129"/>
    <mergeCell ref="CU126:CU129"/>
    <mergeCell ref="CV126:CV129"/>
    <mergeCell ref="CW126:CW129"/>
    <mergeCell ref="CX126:CX129"/>
    <mergeCell ref="CY126:CY129"/>
    <mergeCell ref="CZ126:CZ129"/>
    <mergeCell ref="DA126:DA129"/>
    <mergeCell ref="CP126:CP129"/>
    <mergeCell ref="CQ126:CQ129"/>
    <mergeCell ref="CR126:CR129"/>
    <mergeCell ref="CS126:CS129"/>
    <mergeCell ref="CT126:CT129"/>
    <mergeCell ref="DC126:DC129"/>
    <mergeCell ref="DB126:DB129"/>
    <mergeCell ref="CB126:CB129"/>
    <mergeCell ref="CC126:CC129"/>
    <mergeCell ref="CD126:CD129"/>
    <mergeCell ref="CE126:CE129"/>
    <mergeCell ref="CF126:CF129"/>
    <mergeCell ref="CG126:CG129"/>
    <mergeCell ref="BW126:BW129"/>
    <mergeCell ref="BX126:BX129"/>
    <mergeCell ref="AF130:AF131"/>
    <mergeCell ref="AG130:AG131"/>
    <mergeCell ref="AH130:AH131"/>
    <mergeCell ref="AH126:AH129"/>
    <mergeCell ref="AI126:AI129"/>
    <mergeCell ref="AJ126:AJ129"/>
    <mergeCell ref="AI130:AI131"/>
    <mergeCell ref="AJ130:AJ131"/>
    <mergeCell ref="W130:W131"/>
    <mergeCell ref="X130:X131"/>
    <mergeCell ref="Y130:Y131"/>
    <mergeCell ref="Z130:Z131"/>
    <mergeCell ref="AA130:AA131"/>
    <mergeCell ref="AB130:AB131"/>
    <mergeCell ref="BN126:BN129"/>
    <mergeCell ref="AP130:AP131"/>
    <mergeCell ref="AQ126:AQ129"/>
    <mergeCell ref="AQ130:AQ131"/>
    <mergeCell ref="DD126:DD129"/>
    <mergeCell ref="BY126:BY129"/>
    <mergeCell ref="BZ126:BZ129"/>
    <mergeCell ref="BO126:BO129"/>
    <mergeCell ref="BP126:BP129"/>
    <mergeCell ref="BQ126:BQ129"/>
    <mergeCell ref="BR126:BR129"/>
    <mergeCell ref="BS126:BS129"/>
    <mergeCell ref="BT126:BT129"/>
    <mergeCell ref="BU126:BU129"/>
    <mergeCell ref="BV126:BV129"/>
    <mergeCell ref="CA126:CA129"/>
    <mergeCell ref="H132:H134"/>
    <mergeCell ref="I132:I134"/>
    <mergeCell ref="J132:J134"/>
    <mergeCell ref="K132:K134"/>
    <mergeCell ref="L132:L134"/>
    <mergeCell ref="M132:M134"/>
    <mergeCell ref="BP130:BP131"/>
    <mergeCell ref="BQ130:BQ131"/>
    <mergeCell ref="BR130:BR131"/>
    <mergeCell ref="BS130:BS131"/>
    <mergeCell ref="BT130:BT131"/>
    <mergeCell ref="CI132:CI133"/>
    <mergeCell ref="BV130:BV131"/>
    <mergeCell ref="BW130:BW131"/>
    <mergeCell ref="BX130:BX131"/>
    <mergeCell ref="BY130:BY131"/>
    <mergeCell ref="CJ132:CJ133"/>
    <mergeCell ref="BY132:BY134"/>
    <mergeCell ref="BZ132:BZ134"/>
    <mergeCell ref="CA132:CA134"/>
    <mergeCell ref="K130:K131"/>
    <mergeCell ref="L130:L131"/>
    <mergeCell ref="M130:M131"/>
    <mergeCell ref="N130:N131"/>
    <mergeCell ref="BU130:BU131"/>
    <mergeCell ref="AK130:AK131"/>
    <mergeCell ref="BM130:BM131"/>
    <mergeCell ref="BN130:BN131"/>
    <mergeCell ref="AU132:AU134"/>
    <mergeCell ref="AV132:AV134"/>
    <mergeCell ref="AW132:AW134"/>
    <mergeCell ref="AU130:AU131"/>
    <mergeCell ref="DD130:DD131"/>
    <mergeCell ref="AB135:AB139"/>
    <mergeCell ref="AC135:AC139"/>
    <mergeCell ref="R135:R139"/>
    <mergeCell ref="S135:S139"/>
    <mergeCell ref="T135:T139"/>
    <mergeCell ref="U135:U139"/>
    <mergeCell ref="V135:V139"/>
    <mergeCell ref="W135:W139"/>
    <mergeCell ref="R132:R134"/>
    <mergeCell ref="CF130:CF131"/>
    <mergeCell ref="CG130:CG131"/>
    <mergeCell ref="AR132:AR134"/>
    <mergeCell ref="AS132:AS134"/>
    <mergeCell ref="Z132:Z134"/>
    <mergeCell ref="AA132:AA134"/>
    <mergeCell ref="AB132:AB134"/>
    <mergeCell ref="AC132:AC134"/>
    <mergeCell ref="N132:N134"/>
    <mergeCell ref="O132:O134"/>
    <mergeCell ref="DE130:DE131"/>
    <mergeCell ref="CW130:CW131"/>
    <mergeCell ref="CX130:CX131"/>
    <mergeCell ref="CY130:CY131"/>
    <mergeCell ref="CZ130:CZ131"/>
    <mergeCell ref="DA130:DA131"/>
    <mergeCell ref="DB130:DB131"/>
    <mergeCell ref="DC130:DC131"/>
    <mergeCell ref="BZ130:BZ131"/>
    <mergeCell ref="CA130:CA131"/>
    <mergeCell ref="CB130:CB131"/>
    <mergeCell ref="CC130:CC131"/>
    <mergeCell ref="CD130:CD131"/>
    <mergeCell ref="CE130:CE131"/>
    <mergeCell ref="DD132:DD134"/>
    <mergeCell ref="AV130:AV131"/>
    <mergeCell ref="BM132:BM134"/>
    <mergeCell ref="BN132:BN134"/>
    <mergeCell ref="CE132:CE134"/>
    <mergeCell ref="CF132:CF134"/>
    <mergeCell ref="CG132:CG134"/>
    <mergeCell ref="CH132:CH133"/>
    <mergeCell ref="DE132:DE134"/>
    <mergeCell ref="CW132:CW134"/>
    <mergeCell ref="CX132:CX134"/>
    <mergeCell ref="CY132:CY134"/>
    <mergeCell ref="CZ132:CZ134"/>
    <mergeCell ref="DA132:DA134"/>
    <mergeCell ref="DB132:DB134"/>
    <mergeCell ref="CQ132:CQ133"/>
    <mergeCell ref="CR132:CR133"/>
    <mergeCell ref="CS132:CS133"/>
    <mergeCell ref="BU132:BU134"/>
    <mergeCell ref="BV132:BV134"/>
    <mergeCell ref="BW132:BW134"/>
    <mergeCell ref="BX132:BX134"/>
    <mergeCell ref="AW135:AW140"/>
    <mergeCell ref="AR135:AR140"/>
    <mergeCell ref="AS135:AS140"/>
    <mergeCell ref="AT135:AT140"/>
    <mergeCell ref="BM135:BM139"/>
    <mergeCell ref="BN135:BN139"/>
    <mergeCell ref="BO132:BO134"/>
    <mergeCell ref="BP132:BP134"/>
    <mergeCell ref="BQ132:BQ134"/>
    <mergeCell ref="BR132:BR134"/>
    <mergeCell ref="P132:P134"/>
    <mergeCell ref="Q132:Q134"/>
    <mergeCell ref="S132:S134"/>
    <mergeCell ref="AE132:AE134"/>
    <mergeCell ref="T132:T134"/>
    <mergeCell ref="U132:U134"/>
    <mergeCell ref="V132:V134"/>
    <mergeCell ref="W132:W134"/>
    <mergeCell ref="X132:X134"/>
    <mergeCell ref="Y132:Y134"/>
    <mergeCell ref="AD132:AD134"/>
    <mergeCell ref="AF132:AF134"/>
    <mergeCell ref="AG132:AG134"/>
    <mergeCell ref="AH132:AH134"/>
    <mergeCell ref="AI132:AI134"/>
    <mergeCell ref="AJ132:AJ134"/>
    <mergeCell ref="AK132:AK134"/>
    <mergeCell ref="AP135:AP140"/>
    <mergeCell ref="DC132:DC134"/>
    <mergeCell ref="CB132:CB134"/>
    <mergeCell ref="CC132:CC134"/>
    <mergeCell ref="CD132:CD134"/>
    <mergeCell ref="BS132:BS134"/>
    <mergeCell ref="BT132:BT134"/>
    <mergeCell ref="BQ135:BQ139"/>
    <mergeCell ref="BR135:BR139"/>
    <mergeCell ref="BS135:BS139"/>
    <mergeCell ref="BT135:BT139"/>
    <mergeCell ref="BU135:BU139"/>
    <mergeCell ref="BV135:BV139"/>
    <mergeCell ref="BO135:BO139"/>
    <mergeCell ref="BP135:BP139"/>
    <mergeCell ref="AF135:AF139"/>
    <mergeCell ref="AG135:AG139"/>
    <mergeCell ref="AH135:AH139"/>
    <mergeCell ref="AI135:AI139"/>
    <mergeCell ref="AU135:AU140"/>
    <mergeCell ref="AV135:AV140"/>
    <mergeCell ref="AK135:AK140"/>
    <mergeCell ref="AJ135:AJ140"/>
    <mergeCell ref="CT132:CT133"/>
    <mergeCell ref="CU132:CU133"/>
    <mergeCell ref="CV132:CV133"/>
    <mergeCell ref="CK132:CK133"/>
    <mergeCell ref="CL132:CL133"/>
    <mergeCell ref="CM132:CM133"/>
    <mergeCell ref="CN132:CN133"/>
    <mergeCell ref="CO132:CO133"/>
    <mergeCell ref="CP132:CP133"/>
    <mergeCell ref="AT132:AT134"/>
    <mergeCell ref="H135:H139"/>
    <mergeCell ref="I135:I139"/>
    <mergeCell ref="J135:J139"/>
    <mergeCell ref="K135:K139"/>
    <mergeCell ref="AD135:AD139"/>
    <mergeCell ref="AE135:AE139"/>
    <mergeCell ref="N135:N139"/>
    <mergeCell ref="O135:O139"/>
    <mergeCell ref="P135:P139"/>
    <mergeCell ref="Q135:Q139"/>
    <mergeCell ref="M135:M139"/>
    <mergeCell ref="BY135:BY139"/>
    <mergeCell ref="DB135:DB139"/>
    <mergeCell ref="DC135:DC139"/>
    <mergeCell ref="DD135:DD139"/>
    <mergeCell ref="CO135:CO138"/>
    <mergeCell ref="CP135:CP138"/>
    <mergeCell ref="CQ135:CQ138"/>
    <mergeCell ref="CR135:CR138"/>
    <mergeCell ref="AQ135:AQ140"/>
    <mergeCell ref="DE135:DE139"/>
    <mergeCell ref="CU135:CU138"/>
    <mergeCell ref="CV135:CV138"/>
    <mergeCell ref="CW135:CW139"/>
    <mergeCell ref="CX135:CX139"/>
    <mergeCell ref="CY135:CY139"/>
    <mergeCell ref="CZ135:CZ139"/>
    <mergeCell ref="CJ135:CJ138"/>
    <mergeCell ref="CK135:CK138"/>
    <mergeCell ref="CL135:CL138"/>
    <mergeCell ref="CM135:CM138"/>
    <mergeCell ref="CN135:CN138"/>
    <mergeCell ref="BZ135:BZ139"/>
    <mergeCell ref="CA135:CA139"/>
    <mergeCell ref="CB135:CB139"/>
    <mergeCell ref="CG135:CG139"/>
    <mergeCell ref="H141:H143"/>
    <mergeCell ref="I141:I143"/>
    <mergeCell ref="J141:J143"/>
    <mergeCell ref="K141:K143"/>
    <mergeCell ref="DD141:DD149"/>
    <mergeCell ref="DC147:DC149"/>
    <mergeCell ref="R141:R143"/>
    <mergeCell ref="S141:S143"/>
    <mergeCell ref="T141:T143"/>
    <mergeCell ref="U141:U143"/>
    <mergeCell ref="CS135:CS138"/>
    <mergeCell ref="CT135:CT138"/>
    <mergeCell ref="CI135:CI138"/>
    <mergeCell ref="M141:M143"/>
    <mergeCell ref="N141:N143"/>
    <mergeCell ref="O141:O143"/>
    <mergeCell ref="P141:P143"/>
    <mergeCell ref="Q141:Q143"/>
    <mergeCell ref="V141:V143"/>
    <mergeCell ref="W141:W143"/>
    <mergeCell ref="X135:X139"/>
    <mergeCell ref="Y135:Y139"/>
    <mergeCell ref="Z135:Z139"/>
    <mergeCell ref="AA135:AA139"/>
    <mergeCell ref="DA135:DA139"/>
    <mergeCell ref="CC135:CC139"/>
    <mergeCell ref="CD135:CD139"/>
    <mergeCell ref="CE135:CE139"/>
    <mergeCell ref="CF135:CF139"/>
    <mergeCell ref="CH135:CH138"/>
    <mergeCell ref="BW135:BW139"/>
    <mergeCell ref="BX135:BX139"/>
    <mergeCell ref="DE141:DE149"/>
    <mergeCell ref="CU141:CU148"/>
    <mergeCell ref="CV141:CV148"/>
    <mergeCell ref="CW141:CW149"/>
    <mergeCell ref="CX141:CX149"/>
    <mergeCell ref="CY141:CY149"/>
    <mergeCell ref="CZ141:CZ149"/>
    <mergeCell ref="DA141:DA149"/>
    <mergeCell ref="DB141:DB149"/>
    <mergeCell ref="DC141:DC143"/>
    <mergeCell ref="CO141:CO148"/>
    <mergeCell ref="CP141:CP148"/>
    <mergeCell ref="CQ141:CQ148"/>
    <mergeCell ref="CR141:CR148"/>
    <mergeCell ref="CS141:CS148"/>
    <mergeCell ref="CT141:CT148"/>
    <mergeCell ref="CI141:CI148"/>
    <mergeCell ref="CJ141:CJ148"/>
    <mergeCell ref="CK141:CK148"/>
    <mergeCell ref="CL141:CL148"/>
    <mergeCell ref="CM141:CM148"/>
    <mergeCell ref="CN141:CN148"/>
    <mergeCell ref="CB141:CB149"/>
    <mergeCell ref="BQ141:BQ143"/>
    <mergeCell ref="BR141:BR143"/>
    <mergeCell ref="BS141:BS143"/>
    <mergeCell ref="BT141:BT143"/>
    <mergeCell ref="BU141:BU149"/>
    <mergeCell ref="BV141:BV149"/>
    <mergeCell ref="BQ147:BQ149"/>
    <mergeCell ref="BR147:BR149"/>
    <mergeCell ref="BS147:BS149"/>
    <mergeCell ref="BT147:BT149"/>
    <mergeCell ref="CC141:CC149"/>
    <mergeCell ref="CD141:CD149"/>
    <mergeCell ref="CE141:CE149"/>
    <mergeCell ref="CF141:CF149"/>
    <mergeCell ref="CG141:CG149"/>
    <mergeCell ref="CH141:CH148"/>
    <mergeCell ref="CA141:CA149"/>
    <mergeCell ref="AU141:AU143"/>
    <mergeCell ref="AV141:AV143"/>
    <mergeCell ref="AW141:AW143"/>
    <mergeCell ref="AU144:AU146"/>
    <mergeCell ref="AV144:AV146"/>
    <mergeCell ref="AW144:AW146"/>
    <mergeCell ref="AT144:AT146"/>
    <mergeCell ref="AR147:AR149"/>
    <mergeCell ref="AS147:AS149"/>
    <mergeCell ref="BW141:BW149"/>
    <mergeCell ref="BQ144:BQ146"/>
    <mergeCell ref="BR144:BR146"/>
    <mergeCell ref="BS144:BS146"/>
    <mergeCell ref="BT144:BT146"/>
    <mergeCell ref="AP144:AP146"/>
    <mergeCell ref="AQ141:AQ143"/>
    <mergeCell ref="AB150:AB152"/>
    <mergeCell ref="AC150:AC152"/>
    <mergeCell ref="AD150:AD152"/>
    <mergeCell ref="AE150:AE152"/>
    <mergeCell ref="AF150:AF152"/>
    <mergeCell ref="AG150:AG152"/>
    <mergeCell ref="AJ141:AJ143"/>
    <mergeCell ref="AK141:AK143"/>
    <mergeCell ref="BM141:BM143"/>
    <mergeCell ref="BN141:BN143"/>
    <mergeCell ref="BO141:BO143"/>
    <mergeCell ref="BP141:BP143"/>
    <mergeCell ref="AT141:AT143"/>
    <mergeCell ref="AR144:AR146"/>
    <mergeCell ref="BX141:BX149"/>
    <mergeCell ref="BY141:BY149"/>
    <mergeCell ref="BZ141:BZ149"/>
    <mergeCell ref="BN144:BN146"/>
    <mergeCell ref="BO144:BO146"/>
    <mergeCell ref="AC144:AC146"/>
    <mergeCell ref="AD144:AD146"/>
    <mergeCell ref="AE144:AE146"/>
    <mergeCell ref="AF144:AF146"/>
    <mergeCell ref="AG144:AG146"/>
    <mergeCell ref="AH144:AH146"/>
    <mergeCell ref="AS144:AS146"/>
    <mergeCell ref="W144:W146"/>
    <mergeCell ref="X144:X146"/>
    <mergeCell ref="Y144:Y146"/>
    <mergeCell ref="Z144:Z146"/>
    <mergeCell ref="AA144:AA146"/>
    <mergeCell ref="AB144:AB146"/>
    <mergeCell ref="AQ144:AQ146"/>
    <mergeCell ref="AV147:AV149"/>
    <mergeCell ref="AW147:AW149"/>
    <mergeCell ref="H147:H149"/>
    <mergeCell ref="I147:I149"/>
    <mergeCell ref="J147:J149"/>
    <mergeCell ref="K147:K149"/>
    <mergeCell ref="BP144:BP146"/>
    <mergeCell ref="M144:M146"/>
    <mergeCell ref="N144:N146"/>
    <mergeCell ref="O144:O146"/>
    <mergeCell ref="P144:P146"/>
    <mergeCell ref="H144:H146"/>
    <mergeCell ref="S150:S152"/>
    <mergeCell ref="T150:T152"/>
    <mergeCell ref="U150:U152"/>
    <mergeCell ref="J150:J152"/>
    <mergeCell ref="K150:K152"/>
    <mergeCell ref="L150:L152"/>
    <mergeCell ref="M150:M152"/>
    <mergeCell ref="N150:N152"/>
    <mergeCell ref="O150:O152"/>
    <mergeCell ref="H150:H152"/>
    <mergeCell ref="I150:I152"/>
    <mergeCell ref="AJ147:AJ149"/>
    <mergeCell ref="M147:M149"/>
    <mergeCell ref="N147:N149"/>
    <mergeCell ref="J144:J146"/>
    <mergeCell ref="W147:W149"/>
    <mergeCell ref="V150:V152"/>
    <mergeCell ref="W150:W152"/>
    <mergeCell ref="AI144:AI146"/>
    <mergeCell ref="AJ144:AJ146"/>
    <mergeCell ref="AK144:AK146"/>
    <mergeCell ref="BM144:BM146"/>
    <mergeCell ref="BW150:BW152"/>
    <mergeCell ref="BX150:BX152"/>
    <mergeCell ref="BY150:BY152"/>
    <mergeCell ref="BZ150:BZ152"/>
    <mergeCell ref="CA150:CA152"/>
    <mergeCell ref="CB150:CB152"/>
    <mergeCell ref="AF147:AF149"/>
    <mergeCell ref="AG147:AG149"/>
    <mergeCell ref="AH147:AH149"/>
    <mergeCell ref="AI147:AI149"/>
    <mergeCell ref="BU150:BU152"/>
    <mergeCell ref="BV150:BV152"/>
    <mergeCell ref="BP147:BP149"/>
    <mergeCell ref="BM150:BM152"/>
    <mergeCell ref="BT150:BT152"/>
    <mergeCell ref="BN150:BN152"/>
    <mergeCell ref="AB147:AB149"/>
    <mergeCell ref="BO150:BO152"/>
    <mergeCell ref="BP150:BP152"/>
    <mergeCell ref="BQ150:BQ152"/>
    <mergeCell ref="BR150:BR152"/>
    <mergeCell ref="BS150:BS152"/>
    <mergeCell ref="AK147:AK149"/>
    <mergeCell ref="BM147:BM149"/>
    <mergeCell ref="BN147:BN149"/>
    <mergeCell ref="BO147:BO149"/>
    <mergeCell ref="AD147:AD149"/>
    <mergeCell ref="AE147:AE149"/>
    <mergeCell ref="AU150:AU152"/>
    <mergeCell ref="AV150:AV152"/>
    <mergeCell ref="AW150:AW152"/>
    <mergeCell ref="AU147:AU149"/>
    <mergeCell ref="DE150:DE152"/>
    <mergeCell ref="H153:H155"/>
    <mergeCell ref="CY150:CY152"/>
    <mergeCell ref="CZ150:CZ152"/>
    <mergeCell ref="DA150:DA152"/>
    <mergeCell ref="DB150:DB152"/>
    <mergeCell ref="DC150:DC152"/>
    <mergeCell ref="DD150:DD152"/>
    <mergeCell ref="CS150:CS152"/>
    <mergeCell ref="CT150:CT152"/>
    <mergeCell ref="CW150:CW152"/>
    <mergeCell ref="CX150:CX152"/>
    <mergeCell ref="CM150:CM152"/>
    <mergeCell ref="CN150:CN152"/>
    <mergeCell ref="CO150:CO152"/>
    <mergeCell ref="CP150:CP152"/>
    <mergeCell ref="CQ150:CQ152"/>
    <mergeCell ref="CR150:CR152"/>
    <mergeCell ref="CI150:CI152"/>
    <mergeCell ref="CJ150:CJ152"/>
    <mergeCell ref="CK150:CK152"/>
    <mergeCell ref="CL150:CL152"/>
    <mergeCell ref="CU150:CU152"/>
    <mergeCell ref="CV150:CV152"/>
    <mergeCell ref="CC150:CC152"/>
    <mergeCell ref="CD150:CD152"/>
    <mergeCell ref="CE150:CE152"/>
    <mergeCell ref="CF150:CF152"/>
    <mergeCell ref="CG150:CG152"/>
    <mergeCell ref="CH150:CH152"/>
    <mergeCell ref="O153:O155"/>
    <mergeCell ref="P153:P155"/>
    <mergeCell ref="Q153:Q155"/>
    <mergeCell ref="R153:R155"/>
    <mergeCell ref="S153:S155"/>
    <mergeCell ref="T153:T155"/>
    <mergeCell ref="P150:P152"/>
    <mergeCell ref="I153:I155"/>
    <mergeCell ref="J153:J155"/>
    <mergeCell ref="K153:K155"/>
    <mergeCell ref="L153:L155"/>
    <mergeCell ref="M153:M155"/>
    <mergeCell ref="N153:N155"/>
    <mergeCell ref="O147:O149"/>
    <mergeCell ref="P147:P149"/>
    <mergeCell ref="Q147:Q149"/>
    <mergeCell ref="Q150:Q152"/>
    <mergeCell ref="R150:R152"/>
    <mergeCell ref="L147:L149"/>
    <mergeCell ref="AJ153:AJ155"/>
    <mergeCell ref="AK153:AK155"/>
    <mergeCell ref="BM153:BM155"/>
    <mergeCell ref="AU153:AU155"/>
    <mergeCell ref="AV153:AV155"/>
    <mergeCell ref="AW153:AW155"/>
    <mergeCell ref="AQ153:AQ155"/>
    <mergeCell ref="AR153:AR155"/>
    <mergeCell ref="AS153:AS155"/>
    <mergeCell ref="AT153:AT155"/>
    <mergeCell ref="AA153:AA155"/>
    <mergeCell ref="AB153:AB155"/>
    <mergeCell ref="AC153:AC155"/>
    <mergeCell ref="AD153:AD155"/>
    <mergeCell ref="AE153:AE155"/>
    <mergeCell ref="AF153:AF155"/>
    <mergeCell ref="W153:W155"/>
    <mergeCell ref="X153:X155"/>
    <mergeCell ref="Y153:Y155"/>
    <mergeCell ref="Z153:Z155"/>
    <mergeCell ref="AP153:AP155"/>
    <mergeCell ref="CH153:CH154"/>
    <mergeCell ref="CI153:CI154"/>
    <mergeCell ref="CJ153:CJ154"/>
    <mergeCell ref="CK153:CK154"/>
    <mergeCell ref="BZ153:BZ155"/>
    <mergeCell ref="CA153:CA155"/>
    <mergeCell ref="CB153:CB155"/>
    <mergeCell ref="CC153:CC155"/>
    <mergeCell ref="CD153:CD155"/>
    <mergeCell ref="CE153:CE155"/>
    <mergeCell ref="BT153:BT155"/>
    <mergeCell ref="BU153:BU155"/>
    <mergeCell ref="BV153:BV155"/>
    <mergeCell ref="BW153:BW155"/>
    <mergeCell ref="BX153:BX155"/>
    <mergeCell ref="BY153:BY155"/>
    <mergeCell ref="BN153:BN155"/>
    <mergeCell ref="BO153:BO155"/>
    <mergeCell ref="BP153:BP155"/>
    <mergeCell ref="BQ153:BQ155"/>
    <mergeCell ref="BR153:BR155"/>
    <mergeCell ref="BS153:BS155"/>
    <mergeCell ref="AH162:AH168"/>
    <mergeCell ref="AI162:AI168"/>
    <mergeCell ref="AK164:AK168"/>
    <mergeCell ref="AJ157:AJ168"/>
    <mergeCell ref="AK157:AK158"/>
    <mergeCell ref="AK161:AK163"/>
    <mergeCell ref="AU157:AU160"/>
    <mergeCell ref="AV157:AV160"/>
    <mergeCell ref="AW157:AW160"/>
    <mergeCell ref="AB162:AB168"/>
    <mergeCell ref="DD153:DD155"/>
    <mergeCell ref="DE153:DE155"/>
    <mergeCell ref="CX153:CX155"/>
    <mergeCell ref="CY153:CY155"/>
    <mergeCell ref="CZ153:CZ155"/>
    <mergeCell ref="DA153:DA155"/>
    <mergeCell ref="DB153:DB155"/>
    <mergeCell ref="DC153:DC155"/>
    <mergeCell ref="CR153:CR155"/>
    <mergeCell ref="CS153:CS155"/>
    <mergeCell ref="CT153:CT155"/>
    <mergeCell ref="CU153:CU155"/>
    <mergeCell ref="CV153:CV155"/>
    <mergeCell ref="CW153:CW155"/>
    <mergeCell ref="CL153:CL154"/>
    <mergeCell ref="CM153:CM154"/>
    <mergeCell ref="CN153:CN154"/>
    <mergeCell ref="CO153:CO155"/>
    <mergeCell ref="CP153:CP155"/>
    <mergeCell ref="CQ153:CQ155"/>
    <mergeCell ref="CF153:CF155"/>
    <mergeCell ref="CG153:CG155"/>
    <mergeCell ref="DE157:DE168"/>
    <mergeCell ref="AK159:AK160"/>
    <mergeCell ref="CU157:CU168"/>
    <mergeCell ref="CV157:CV168"/>
    <mergeCell ref="CW157:CW168"/>
    <mergeCell ref="CX157:CX168"/>
    <mergeCell ref="CY157:CY168"/>
    <mergeCell ref="CZ157:CZ168"/>
    <mergeCell ref="CO157:CO168"/>
    <mergeCell ref="CP157:CP168"/>
    <mergeCell ref="CI157:CI168"/>
    <mergeCell ref="CJ157:CJ168"/>
    <mergeCell ref="CK157:CK168"/>
    <mergeCell ref="CL157:CL168"/>
    <mergeCell ref="CM157:CM168"/>
    <mergeCell ref="CN157:CN168"/>
    <mergeCell ref="CC157:CC168"/>
    <mergeCell ref="CD157:CD168"/>
    <mergeCell ref="CE157:CE168"/>
    <mergeCell ref="CF157:CF168"/>
    <mergeCell ref="CG157:CG168"/>
    <mergeCell ref="CH157:CH168"/>
    <mergeCell ref="BW157:BW168"/>
    <mergeCell ref="BX157:BX168"/>
    <mergeCell ref="BY157:BY168"/>
    <mergeCell ref="BZ157:BZ168"/>
    <mergeCell ref="CA157:CA168"/>
    <mergeCell ref="CB157:CB168"/>
    <mergeCell ref="BQ157:BQ168"/>
    <mergeCell ref="BR157:BR168"/>
    <mergeCell ref="BS157:BS168"/>
    <mergeCell ref="BT157:BT168"/>
    <mergeCell ref="M162:M168"/>
    <mergeCell ref="N162:N168"/>
    <mergeCell ref="AA162:AA168"/>
    <mergeCell ref="X157:X160"/>
    <mergeCell ref="Y157:Y160"/>
    <mergeCell ref="Z157:Z160"/>
    <mergeCell ref="AA157:AA160"/>
    <mergeCell ref="L157:L160"/>
    <mergeCell ref="M157:M160"/>
    <mergeCell ref="AB157:AB160"/>
    <mergeCell ref="AC157:AC160"/>
    <mergeCell ref="DA157:DA168"/>
    <mergeCell ref="DB157:DB168"/>
    <mergeCell ref="DC157:DC168"/>
    <mergeCell ref="DD157:DD168"/>
    <mergeCell ref="CQ157:CQ168"/>
    <mergeCell ref="CR157:CR168"/>
    <mergeCell ref="CS157:CS168"/>
    <mergeCell ref="CT157:CT168"/>
    <mergeCell ref="BU157:BU168"/>
    <mergeCell ref="BV157:BV168"/>
    <mergeCell ref="BM157:BM168"/>
    <mergeCell ref="BN157:BN168"/>
    <mergeCell ref="BO157:BO168"/>
    <mergeCell ref="BP157:BP168"/>
    <mergeCell ref="AD157:AD160"/>
    <mergeCell ref="AE157:AE160"/>
    <mergeCell ref="AF157:AF160"/>
    <mergeCell ref="AG157:AG160"/>
    <mergeCell ref="AH157:AH160"/>
    <mergeCell ref="AI157:AI160"/>
    <mergeCell ref="AG162:AG168"/>
    <mergeCell ref="AF162:AF168"/>
    <mergeCell ref="U162:U168"/>
    <mergeCell ref="V162:V168"/>
    <mergeCell ref="W162:W168"/>
    <mergeCell ref="X162:X168"/>
    <mergeCell ref="Y162:Y168"/>
    <mergeCell ref="Z162:Z168"/>
    <mergeCell ref="R162:R168"/>
    <mergeCell ref="S162:S168"/>
    <mergeCell ref="T162:T168"/>
    <mergeCell ref="AC162:AC168"/>
    <mergeCell ref="AD162:AD168"/>
    <mergeCell ref="AE162:AE168"/>
    <mergeCell ref="N157:N160"/>
    <mergeCell ref="O157:O160"/>
    <mergeCell ref="P157:P160"/>
    <mergeCell ref="Q157:Q160"/>
    <mergeCell ref="O162:O168"/>
    <mergeCell ref="P162:P168"/>
    <mergeCell ref="Q162:Q168"/>
    <mergeCell ref="H157:H160"/>
    <mergeCell ref="S169:S172"/>
    <mergeCell ref="T169:T172"/>
    <mergeCell ref="U169:U172"/>
    <mergeCell ref="V169:V172"/>
    <mergeCell ref="W169:W172"/>
    <mergeCell ref="X169:X172"/>
    <mergeCell ref="M169:M172"/>
    <mergeCell ref="N169:N172"/>
    <mergeCell ref="O169:O172"/>
    <mergeCell ref="P169:P172"/>
    <mergeCell ref="Q169:Q172"/>
    <mergeCell ref="R169:R172"/>
    <mergeCell ref="H169:H172"/>
    <mergeCell ref="I169:I172"/>
    <mergeCell ref="J169:J172"/>
    <mergeCell ref="K169:K172"/>
    <mergeCell ref="L169:L172"/>
    <mergeCell ref="I157:I160"/>
    <mergeCell ref="J157:J160"/>
    <mergeCell ref="K157:K160"/>
    <mergeCell ref="H162:H168"/>
    <mergeCell ref="I162:I168"/>
    <mergeCell ref="J162:J168"/>
    <mergeCell ref="K162:K168"/>
    <mergeCell ref="R157:R160"/>
    <mergeCell ref="S157:S160"/>
    <mergeCell ref="T157:T160"/>
    <mergeCell ref="U157:U160"/>
    <mergeCell ref="V157:V160"/>
    <mergeCell ref="W157:W160"/>
    <mergeCell ref="L162:L168"/>
    <mergeCell ref="AK169:AK172"/>
    <mergeCell ref="AL169:AL172"/>
    <mergeCell ref="BM169:BM172"/>
    <mergeCell ref="BN169:BN172"/>
    <mergeCell ref="BO169:BO172"/>
    <mergeCell ref="BP169:BP172"/>
    <mergeCell ref="AM169:AM172"/>
    <mergeCell ref="AF169:AF172"/>
    <mergeCell ref="AG169:AG172"/>
    <mergeCell ref="AH169:AH172"/>
    <mergeCell ref="AI169:AI172"/>
    <mergeCell ref="AJ169:AJ172"/>
    <mergeCell ref="Y169:Y172"/>
    <mergeCell ref="Z169:Z172"/>
    <mergeCell ref="AA169:AA172"/>
    <mergeCell ref="AB169:AB172"/>
    <mergeCell ref="AC169:AC172"/>
    <mergeCell ref="AD169:AD172"/>
    <mergeCell ref="AN169:AN172"/>
    <mergeCell ref="AR169:AR172"/>
    <mergeCell ref="AS169:AS172"/>
    <mergeCell ref="AT169:AT172"/>
    <mergeCell ref="DC169:DC172"/>
    <mergeCell ref="DD169:DD172"/>
    <mergeCell ref="DE169:DE172"/>
    <mergeCell ref="CU169:CU172"/>
    <mergeCell ref="CV169:CV172"/>
    <mergeCell ref="CW169:CW172"/>
    <mergeCell ref="CX169:CX172"/>
    <mergeCell ref="CY169:CY172"/>
    <mergeCell ref="CZ169:CZ172"/>
    <mergeCell ref="CO169:CO172"/>
    <mergeCell ref="CP169:CP172"/>
    <mergeCell ref="CQ169:CQ172"/>
    <mergeCell ref="CR169:CR172"/>
    <mergeCell ref="CS169:CS172"/>
    <mergeCell ref="CT169:CT172"/>
    <mergeCell ref="CI169:CI172"/>
    <mergeCell ref="CJ169:CJ172"/>
    <mergeCell ref="CK169:CK172"/>
    <mergeCell ref="CL169:CL172"/>
    <mergeCell ref="CM169:CM172"/>
    <mergeCell ref="CN169:CN172"/>
    <mergeCell ref="T173:T174"/>
    <mergeCell ref="U173:U174"/>
    <mergeCell ref="V173:V174"/>
    <mergeCell ref="K173:K174"/>
    <mergeCell ref="L173:L174"/>
    <mergeCell ref="M173:M174"/>
    <mergeCell ref="N173:N174"/>
    <mergeCell ref="O173:O174"/>
    <mergeCell ref="P173:P174"/>
    <mergeCell ref="H173:H174"/>
    <mergeCell ref="I173:I174"/>
    <mergeCell ref="J173:J174"/>
    <mergeCell ref="DA169:DA172"/>
    <mergeCell ref="DB169:DB172"/>
    <mergeCell ref="CC169:CC172"/>
    <mergeCell ref="CD169:CD172"/>
    <mergeCell ref="CE169:CE172"/>
    <mergeCell ref="CF169:CF172"/>
    <mergeCell ref="CG169:CG172"/>
    <mergeCell ref="CH169:CH172"/>
    <mergeCell ref="BW169:BW172"/>
    <mergeCell ref="BX169:BX172"/>
    <mergeCell ref="BY169:BY172"/>
    <mergeCell ref="BZ169:BZ172"/>
    <mergeCell ref="CA169:CA172"/>
    <mergeCell ref="CB169:CB172"/>
    <mergeCell ref="BQ169:BQ172"/>
    <mergeCell ref="BR169:BR172"/>
    <mergeCell ref="BS169:BS172"/>
    <mergeCell ref="BT169:BT172"/>
    <mergeCell ref="BU169:BU172"/>
    <mergeCell ref="BV169:BV172"/>
    <mergeCell ref="H176:H179"/>
    <mergeCell ref="I176:I179"/>
    <mergeCell ref="J176:J179"/>
    <mergeCell ref="K176:K179"/>
    <mergeCell ref="L176:L179"/>
    <mergeCell ref="DA173:DA174"/>
    <mergeCell ref="CN173:CN174"/>
    <mergeCell ref="CO173:CO174"/>
    <mergeCell ref="CP173:CP174"/>
    <mergeCell ref="CQ173:CQ174"/>
    <mergeCell ref="DB173:DB174"/>
    <mergeCell ref="DC173:DC174"/>
    <mergeCell ref="DD173:DD174"/>
    <mergeCell ref="DE173:DE174"/>
    <mergeCell ref="CT173:CT174"/>
    <mergeCell ref="CU173:CU174"/>
    <mergeCell ref="CV173:CV174"/>
    <mergeCell ref="CW173:CW174"/>
    <mergeCell ref="CX173:CX174"/>
    <mergeCell ref="CY173:CY174"/>
    <mergeCell ref="CR173:CR174"/>
    <mergeCell ref="CS173:CS174"/>
    <mergeCell ref="CZ173:CZ174"/>
    <mergeCell ref="CM173:CM174"/>
    <mergeCell ref="CB173:CB174"/>
    <mergeCell ref="CC173:CC174"/>
    <mergeCell ref="CD173:CD174"/>
    <mergeCell ref="CE173:CE174"/>
    <mergeCell ref="CF173:CF174"/>
    <mergeCell ref="CG173:CG174"/>
    <mergeCell ref="AC173:AC174"/>
    <mergeCell ref="AD173:AD174"/>
    <mergeCell ref="AW173:AW174"/>
    <mergeCell ref="BY176:BY179"/>
    <mergeCell ref="BZ176:BZ179"/>
    <mergeCell ref="S176:S179"/>
    <mergeCell ref="T176:T179"/>
    <mergeCell ref="U176:U179"/>
    <mergeCell ref="V176:V179"/>
    <mergeCell ref="W176:W179"/>
    <mergeCell ref="X176:X179"/>
    <mergeCell ref="AU175:AU179"/>
    <mergeCell ref="AR175:AR179"/>
    <mergeCell ref="M176:M179"/>
    <mergeCell ref="N176:N179"/>
    <mergeCell ref="O176:O179"/>
    <mergeCell ref="P176:P179"/>
    <mergeCell ref="Q176:Q179"/>
    <mergeCell ref="R176:R179"/>
    <mergeCell ref="AE173:AE174"/>
    <mergeCell ref="AF173:AF174"/>
    <mergeCell ref="AG173:AG174"/>
    <mergeCell ref="AH173:AH174"/>
    <mergeCell ref="W173:W174"/>
    <mergeCell ref="X173:X174"/>
    <mergeCell ref="Y173:Y174"/>
    <mergeCell ref="Z173:Z174"/>
    <mergeCell ref="AA173:AA174"/>
    <mergeCell ref="AB173:AB174"/>
    <mergeCell ref="Q173:Q174"/>
    <mergeCell ref="R173:R174"/>
    <mergeCell ref="S173:S174"/>
    <mergeCell ref="Y176:Y179"/>
    <mergeCell ref="Z176:Z179"/>
    <mergeCell ref="AA176:AA179"/>
    <mergeCell ref="AB176:AB179"/>
    <mergeCell ref="AC176:AC179"/>
    <mergeCell ref="AD176:AD179"/>
    <mergeCell ref="AK175:AK177"/>
    <mergeCell ref="AJ175:AJ179"/>
    <mergeCell ref="AS175:AS179"/>
    <mergeCell ref="CL176:CL179"/>
    <mergeCell ref="BW173:BW174"/>
    <mergeCell ref="BX173:BX174"/>
    <mergeCell ref="BY173:BY174"/>
    <mergeCell ref="BZ173:BZ174"/>
    <mergeCell ref="CA173:CA174"/>
    <mergeCell ref="CI173:CI174"/>
    <mergeCell ref="CJ173:CJ174"/>
    <mergeCell ref="CK173:CK174"/>
    <mergeCell ref="CL173:CL174"/>
    <mergeCell ref="BP173:BP174"/>
    <mergeCell ref="BQ173:BQ174"/>
    <mergeCell ref="BR173:BR174"/>
    <mergeCell ref="BS173:BS174"/>
    <mergeCell ref="BT173:BT174"/>
    <mergeCell ref="BU173:BU174"/>
    <mergeCell ref="AI173:AI174"/>
    <mergeCell ref="AJ173:AJ174"/>
    <mergeCell ref="BM173:BM174"/>
    <mergeCell ref="BN173:BN174"/>
    <mergeCell ref="BO173:BO174"/>
    <mergeCell ref="CH173:CH174"/>
    <mergeCell ref="BV173:BV174"/>
    <mergeCell ref="CA176:CA179"/>
    <mergeCell ref="CB176:CB179"/>
    <mergeCell ref="CC176:CC179"/>
    <mergeCell ref="BR176:BR179"/>
    <mergeCell ref="BS176:BS179"/>
    <mergeCell ref="BT176:BT179"/>
    <mergeCell ref="BU176:BU179"/>
    <mergeCell ref="BV176:BV179"/>
    <mergeCell ref="BW176:BW179"/>
    <mergeCell ref="BM176:BM179"/>
    <mergeCell ref="BN176:BN179"/>
    <mergeCell ref="BO176:BO179"/>
    <mergeCell ref="BP176:BP179"/>
    <mergeCell ref="BQ176:BQ179"/>
    <mergeCell ref="AE176:AE179"/>
    <mergeCell ref="AF176:AF179"/>
    <mergeCell ref="AG176:AG179"/>
    <mergeCell ref="AH176:AH179"/>
    <mergeCell ref="AI176:AI179"/>
    <mergeCell ref="AV175:AV179"/>
    <mergeCell ref="AT175:AT179"/>
    <mergeCell ref="AQ175:AQ179"/>
    <mergeCell ref="AW175:AW179"/>
    <mergeCell ref="AO175:AO179"/>
    <mergeCell ref="AP175:AP179"/>
    <mergeCell ref="H181:H183"/>
    <mergeCell ref="I181:I183"/>
    <mergeCell ref="J181:J183"/>
    <mergeCell ref="DB176:DB179"/>
    <mergeCell ref="DC176:DC179"/>
    <mergeCell ref="DD176:DD179"/>
    <mergeCell ref="CR176:CR179"/>
    <mergeCell ref="CS176:CS179"/>
    <mergeCell ref="CT176:CT179"/>
    <mergeCell ref="CU176:CU179"/>
    <mergeCell ref="DE176:DE179"/>
    <mergeCell ref="AK178:AK179"/>
    <mergeCell ref="CV176:CV179"/>
    <mergeCell ref="CW176:CW179"/>
    <mergeCell ref="CX176:CX179"/>
    <mergeCell ref="CY176:CY179"/>
    <mergeCell ref="CZ176:CZ179"/>
    <mergeCell ref="DA176:DA179"/>
    <mergeCell ref="CP176:CP179"/>
    <mergeCell ref="CQ176:CQ179"/>
    <mergeCell ref="CJ176:CJ179"/>
    <mergeCell ref="CK176:CK179"/>
    <mergeCell ref="CM176:CM179"/>
    <mergeCell ref="CN176:CN179"/>
    <mergeCell ref="CO176:CO179"/>
    <mergeCell ref="CD176:CD179"/>
    <mergeCell ref="CE176:CE179"/>
    <mergeCell ref="CF176:CF179"/>
    <mergeCell ref="CG176:CG179"/>
    <mergeCell ref="CH176:CH179"/>
    <mergeCell ref="CI176:CI179"/>
    <mergeCell ref="BX176:BX179"/>
    <mergeCell ref="W181:W183"/>
    <mergeCell ref="X181:X183"/>
    <mergeCell ref="Y181:Y183"/>
    <mergeCell ref="Z181:Z183"/>
    <mergeCell ref="AA181:AA183"/>
    <mergeCell ref="AB181:AB183"/>
    <mergeCell ref="AU181:AU183"/>
    <mergeCell ref="Q181:Q183"/>
    <mergeCell ref="R181:R183"/>
    <mergeCell ref="S181:S183"/>
    <mergeCell ref="T181:T183"/>
    <mergeCell ref="U181:U183"/>
    <mergeCell ref="V181:V183"/>
    <mergeCell ref="K181:K183"/>
    <mergeCell ref="L181:L183"/>
    <mergeCell ref="M181:M183"/>
    <mergeCell ref="N181:N183"/>
    <mergeCell ref="O181:O183"/>
    <mergeCell ref="P181:P183"/>
    <mergeCell ref="AP181:AP183"/>
    <mergeCell ref="BS181:BS183"/>
    <mergeCell ref="BT181:BT183"/>
    <mergeCell ref="BU181:BU183"/>
    <mergeCell ref="BV181:BV183"/>
    <mergeCell ref="AI181:AI183"/>
    <mergeCell ref="AJ181:AJ183"/>
    <mergeCell ref="AK181:AK183"/>
    <mergeCell ref="BM181:BM186"/>
    <mergeCell ref="BN181:BN183"/>
    <mergeCell ref="BO181:BO183"/>
    <mergeCell ref="AK184:AK186"/>
    <mergeCell ref="BN184:BN185"/>
    <mergeCell ref="BO184:BO185"/>
    <mergeCell ref="AO181:AO183"/>
    <mergeCell ref="AC181:AC183"/>
    <mergeCell ref="AD181:AD183"/>
    <mergeCell ref="AE181:AE183"/>
    <mergeCell ref="AF181:AF183"/>
    <mergeCell ref="AG181:AG183"/>
    <mergeCell ref="AH181:AH183"/>
    <mergeCell ref="AQ181:AQ183"/>
    <mergeCell ref="AQ184:AQ186"/>
    <mergeCell ref="BV184:BV185"/>
    <mergeCell ref="AV181:AV183"/>
    <mergeCell ref="AW181:AW183"/>
    <mergeCell ref="AU184:AU186"/>
    <mergeCell ref="AV184:AV186"/>
    <mergeCell ref="BP181:BP183"/>
    <mergeCell ref="AR184:AR186"/>
    <mergeCell ref="AS184:AS186"/>
    <mergeCell ref="AT184:AT186"/>
    <mergeCell ref="AP184:AP186"/>
    <mergeCell ref="J184:J186"/>
    <mergeCell ref="K184:K186"/>
    <mergeCell ref="L184:L186"/>
    <mergeCell ref="DC181:DC183"/>
    <mergeCell ref="DD181:DD183"/>
    <mergeCell ref="DE181:DE183"/>
    <mergeCell ref="CN181:CN183"/>
    <mergeCell ref="CO181:CO183"/>
    <mergeCell ref="CX181:CX183"/>
    <mergeCell ref="CY181:CY183"/>
    <mergeCell ref="CZ181:CZ183"/>
    <mergeCell ref="DA181:DA183"/>
    <mergeCell ref="CI181:CI183"/>
    <mergeCell ref="CJ181:CJ183"/>
    <mergeCell ref="CK181:CK183"/>
    <mergeCell ref="CL181:CL183"/>
    <mergeCell ref="CM181:CM183"/>
    <mergeCell ref="DB181:DB183"/>
    <mergeCell ref="CC181:CC183"/>
    <mergeCell ref="CD181:CD183"/>
    <mergeCell ref="CE181:CE183"/>
    <mergeCell ref="CF181:CF183"/>
    <mergeCell ref="CG181:CG183"/>
    <mergeCell ref="CH181:CH183"/>
    <mergeCell ref="BW181:BW183"/>
    <mergeCell ref="BX181:BX183"/>
    <mergeCell ref="BY181:BY183"/>
    <mergeCell ref="BZ181:BZ183"/>
    <mergeCell ref="CA181:CA183"/>
    <mergeCell ref="CB181:CB183"/>
    <mergeCell ref="BQ181:BQ183"/>
    <mergeCell ref="BR181:BR183"/>
    <mergeCell ref="DE184:DE185"/>
    <mergeCell ref="CN184:CN185"/>
    <mergeCell ref="CO184:CO185"/>
    <mergeCell ref="CX184:CX185"/>
    <mergeCell ref="CY184:CY185"/>
    <mergeCell ref="CZ184:CZ185"/>
    <mergeCell ref="DA184:DA185"/>
    <mergeCell ref="CK184:CK185"/>
    <mergeCell ref="CL184:CL185"/>
    <mergeCell ref="CM184:CM185"/>
    <mergeCell ref="CB184:CB185"/>
    <mergeCell ref="CC184:CC185"/>
    <mergeCell ref="CD184:CD185"/>
    <mergeCell ref="CE184:CE185"/>
    <mergeCell ref="CF184:CF185"/>
    <mergeCell ref="CG184:CG185"/>
    <mergeCell ref="L187:L189"/>
    <mergeCell ref="M187:M189"/>
    <mergeCell ref="N187:N189"/>
    <mergeCell ref="O187:O189"/>
    <mergeCell ref="P187:P189"/>
    <mergeCell ref="Q187:Q189"/>
    <mergeCell ref="Y184:Y186"/>
    <mergeCell ref="Z184:Z186"/>
    <mergeCell ref="AA184:AA186"/>
    <mergeCell ref="AB184:AB186"/>
    <mergeCell ref="AC184:AC186"/>
    <mergeCell ref="AD184:AD186"/>
    <mergeCell ref="S184:S186"/>
    <mergeCell ref="T184:T186"/>
    <mergeCell ref="U184:U186"/>
    <mergeCell ref="V184:V186"/>
    <mergeCell ref="DD184:DD185"/>
    <mergeCell ref="CH187:CH188"/>
    <mergeCell ref="BW187:BW188"/>
    <mergeCell ref="BX187:BX188"/>
    <mergeCell ref="BY187:BY188"/>
    <mergeCell ref="BZ187:BZ188"/>
    <mergeCell ref="CA187:CA188"/>
    <mergeCell ref="CH184:CH185"/>
    <mergeCell ref="CI184:CI185"/>
    <mergeCell ref="CJ184:CJ185"/>
    <mergeCell ref="BT184:BT185"/>
    <mergeCell ref="BU184:BU185"/>
    <mergeCell ref="AE184:AE186"/>
    <mergeCell ref="AF184:AF186"/>
    <mergeCell ref="AG184:AG186"/>
    <mergeCell ref="AD187:AD189"/>
    <mergeCell ref="AE187:AE189"/>
    <mergeCell ref="AI184:AI186"/>
    <mergeCell ref="AJ184:AJ186"/>
    <mergeCell ref="AF187:AF189"/>
    <mergeCell ref="AH184:AH186"/>
    <mergeCell ref="AG187:AG189"/>
    <mergeCell ref="AH187:AH189"/>
    <mergeCell ref="AI187:AI189"/>
    <mergeCell ref="BW184:BW185"/>
    <mergeCell ref="BX184:BX185"/>
    <mergeCell ref="BY184:BY185"/>
    <mergeCell ref="BZ184:BZ185"/>
    <mergeCell ref="CA184:CA185"/>
    <mergeCell ref="AP187:AP189"/>
    <mergeCell ref="BN198:BN199"/>
    <mergeCell ref="BO198:BO199"/>
    <mergeCell ref="BP198:BP199"/>
    <mergeCell ref="R198:R200"/>
    <mergeCell ref="S198:S200"/>
    <mergeCell ref="T198:T200"/>
    <mergeCell ref="U198:U200"/>
    <mergeCell ref="V198:V200"/>
    <mergeCell ref="H187:H189"/>
    <mergeCell ref="I187:I189"/>
    <mergeCell ref="J187:J189"/>
    <mergeCell ref="K187:K189"/>
    <mergeCell ref="DB184:DB185"/>
    <mergeCell ref="DC184:DC185"/>
    <mergeCell ref="BP184:BP185"/>
    <mergeCell ref="BQ184:BQ185"/>
    <mergeCell ref="BR184:BR185"/>
    <mergeCell ref="BS184:BS185"/>
    <mergeCell ref="Y187:Y189"/>
    <mergeCell ref="Z187:Z189"/>
    <mergeCell ref="W184:W186"/>
    <mergeCell ref="X184:X186"/>
    <mergeCell ref="M184:M186"/>
    <mergeCell ref="N184:N186"/>
    <mergeCell ref="O184:O186"/>
    <mergeCell ref="P184:P186"/>
    <mergeCell ref="Q184:Q186"/>
    <mergeCell ref="R184:R186"/>
    <mergeCell ref="X187:X189"/>
    <mergeCell ref="AA187:AA189"/>
    <mergeCell ref="H184:H186"/>
    <mergeCell ref="I184:I186"/>
    <mergeCell ref="W198:W200"/>
    <mergeCell ref="X198:X200"/>
    <mergeCell ref="Y198:Y200"/>
    <mergeCell ref="AB187:AB189"/>
    <mergeCell ref="AC187:AC189"/>
    <mergeCell ref="R187:R189"/>
    <mergeCell ref="S187:S189"/>
    <mergeCell ref="T187:T189"/>
    <mergeCell ref="U187:U189"/>
    <mergeCell ref="V187:V189"/>
    <mergeCell ref="W187:W189"/>
    <mergeCell ref="CB187:CB188"/>
    <mergeCell ref="BQ187:BQ188"/>
    <mergeCell ref="BR187:BR188"/>
    <mergeCell ref="BS187:BS188"/>
    <mergeCell ref="BT187:BT188"/>
    <mergeCell ref="BU187:BU189"/>
    <mergeCell ref="BV187:BV188"/>
    <mergeCell ref="AJ187:AJ189"/>
    <mergeCell ref="AK187:AK189"/>
    <mergeCell ref="BM187:BM202"/>
    <mergeCell ref="BN187:BN188"/>
    <mergeCell ref="BO187:BO188"/>
    <mergeCell ref="BP187:BP188"/>
    <mergeCell ref="AK190:AK197"/>
    <mergeCell ref="BN190:BN197"/>
    <mergeCell ref="BO190:BO197"/>
    <mergeCell ref="BP190:BP197"/>
    <mergeCell ref="AP201:AP202"/>
    <mergeCell ref="AQ187:AQ189"/>
    <mergeCell ref="AJ198:AJ200"/>
    <mergeCell ref="AK198:AK200"/>
    <mergeCell ref="M190:M197"/>
    <mergeCell ref="N190:N197"/>
    <mergeCell ref="O190:O197"/>
    <mergeCell ref="P190:P197"/>
    <mergeCell ref="Q190:Q197"/>
    <mergeCell ref="R190:R197"/>
    <mergeCell ref="Y190:Y197"/>
    <mergeCell ref="Z190:Z197"/>
    <mergeCell ref="AA190:AA197"/>
    <mergeCell ref="AB190:AB197"/>
    <mergeCell ref="AC190:AC197"/>
    <mergeCell ref="AD190:AD197"/>
    <mergeCell ref="S190:S197"/>
    <mergeCell ref="T190:T197"/>
    <mergeCell ref="U190:U197"/>
    <mergeCell ref="V190:V197"/>
    <mergeCell ref="W190:W197"/>
    <mergeCell ref="X190:X197"/>
    <mergeCell ref="I190:I197"/>
    <mergeCell ref="J190:J197"/>
    <mergeCell ref="K190:K197"/>
    <mergeCell ref="L190:L197"/>
    <mergeCell ref="DB187:DB189"/>
    <mergeCell ref="CI187:CI188"/>
    <mergeCell ref="CJ187:CJ188"/>
    <mergeCell ref="CK187:CK188"/>
    <mergeCell ref="CL187:CL188"/>
    <mergeCell ref="CM187:CM188"/>
    <mergeCell ref="DC187:DC189"/>
    <mergeCell ref="DD187:DD189"/>
    <mergeCell ref="DE187:DE189"/>
    <mergeCell ref="CO187:CO188"/>
    <mergeCell ref="CW187:CW189"/>
    <mergeCell ref="CX187:CX189"/>
    <mergeCell ref="CY187:CY189"/>
    <mergeCell ref="CZ187:CZ189"/>
    <mergeCell ref="DA187:DA189"/>
    <mergeCell ref="CN187:CN188"/>
    <mergeCell ref="CC187:CC188"/>
    <mergeCell ref="CD187:CD188"/>
    <mergeCell ref="CE187:CE188"/>
    <mergeCell ref="CF187:CF188"/>
    <mergeCell ref="CG187:CG188"/>
    <mergeCell ref="CC190:CC197"/>
    <mergeCell ref="CD190:CD197"/>
    <mergeCell ref="CE190:CE197"/>
    <mergeCell ref="CF190:CF197"/>
    <mergeCell ref="CG190:CG197"/>
    <mergeCell ref="CH190:CH197"/>
    <mergeCell ref="AO187:AO189"/>
    <mergeCell ref="AG198:AG200"/>
    <mergeCell ref="AH198:AH200"/>
    <mergeCell ref="AI198:AI200"/>
    <mergeCell ref="DB190:DB197"/>
    <mergeCell ref="DC190:DC197"/>
    <mergeCell ref="DD190:DD197"/>
    <mergeCell ref="DE190:DE197"/>
    <mergeCell ref="CU190:CU197"/>
    <mergeCell ref="CV190:CV197"/>
    <mergeCell ref="CW190:CW197"/>
    <mergeCell ref="CX190:CX197"/>
    <mergeCell ref="CY190:CY197"/>
    <mergeCell ref="CZ190:CZ197"/>
    <mergeCell ref="CO190:CO197"/>
    <mergeCell ref="CP190:CP197"/>
    <mergeCell ref="CQ190:CQ197"/>
    <mergeCell ref="CR190:CR197"/>
    <mergeCell ref="CS190:CS197"/>
    <mergeCell ref="CT190:CT197"/>
    <mergeCell ref="CI190:CI197"/>
    <mergeCell ref="CJ190:CJ197"/>
    <mergeCell ref="CK190:CK197"/>
    <mergeCell ref="CL190:CL197"/>
    <mergeCell ref="CM190:CM197"/>
    <mergeCell ref="CN190:CN197"/>
    <mergeCell ref="CA198:CA199"/>
    <mergeCell ref="CB198:CB199"/>
    <mergeCell ref="AO190:AO197"/>
    <mergeCell ref="AO198:AO200"/>
    <mergeCell ref="BW190:BW197"/>
    <mergeCell ref="BX190:BX197"/>
    <mergeCell ref="BY190:BY197"/>
    <mergeCell ref="BV198:BV199"/>
    <mergeCell ref="BW198:BW199"/>
    <mergeCell ref="CD198:CD199"/>
    <mergeCell ref="L198:L200"/>
    <mergeCell ref="M198:M200"/>
    <mergeCell ref="N198:N200"/>
    <mergeCell ref="O198:O200"/>
    <mergeCell ref="P198:P200"/>
    <mergeCell ref="Q198:Q200"/>
    <mergeCell ref="H198:H200"/>
    <mergeCell ref="I198:I200"/>
    <mergeCell ref="J198:J200"/>
    <mergeCell ref="K198:K200"/>
    <mergeCell ref="DA190:DA197"/>
    <mergeCell ref="BZ190:BZ197"/>
    <mergeCell ref="CA190:CA197"/>
    <mergeCell ref="CB190:CB197"/>
    <mergeCell ref="BQ190:BQ197"/>
    <mergeCell ref="BR190:BR197"/>
    <mergeCell ref="BS190:BS197"/>
    <mergeCell ref="BT190:BT197"/>
    <mergeCell ref="BU190:BU197"/>
    <mergeCell ref="BV190:BV197"/>
    <mergeCell ref="AE190:AE197"/>
    <mergeCell ref="AF190:AF197"/>
    <mergeCell ref="AG190:AG197"/>
    <mergeCell ref="AH190:AH197"/>
    <mergeCell ref="AI190:AI197"/>
    <mergeCell ref="AJ190:AJ197"/>
    <mergeCell ref="AD198:AD200"/>
    <mergeCell ref="AE198:AE200"/>
    <mergeCell ref="AF198:AF200"/>
    <mergeCell ref="DE201:DE202"/>
    <mergeCell ref="Z198:Z200"/>
    <mergeCell ref="AA198:AA200"/>
    <mergeCell ref="AB198:AB200"/>
    <mergeCell ref="AC198:AC200"/>
    <mergeCell ref="DD198:DD199"/>
    <mergeCell ref="DE198:DE199"/>
    <mergeCell ref="AJ201:AJ202"/>
    <mergeCell ref="CJ201:CJ202"/>
    <mergeCell ref="BY201:BY202"/>
    <mergeCell ref="CX198:CX199"/>
    <mergeCell ref="CY198:CY199"/>
    <mergeCell ref="CZ198:CZ199"/>
    <mergeCell ref="DA198:DA199"/>
    <mergeCell ref="DB198:DB199"/>
    <mergeCell ref="DC198:DC199"/>
    <mergeCell ref="CJ198:CJ199"/>
    <mergeCell ref="CK198:CK199"/>
    <mergeCell ref="CL198:CL199"/>
    <mergeCell ref="CM198:CM199"/>
    <mergeCell ref="CN198:CN199"/>
    <mergeCell ref="CO198:CO199"/>
    <mergeCell ref="CE198:CE199"/>
    <mergeCell ref="CF198:CF199"/>
    <mergeCell ref="CG198:CG199"/>
    <mergeCell ref="BN201:BN202"/>
    <mergeCell ref="CH198:CH199"/>
    <mergeCell ref="BQ198:BQ199"/>
    <mergeCell ref="BW201:BW202"/>
    <mergeCell ref="BX201:BX202"/>
    <mergeCell ref="BZ201:BZ202"/>
    <mergeCell ref="CA201:CA202"/>
    <mergeCell ref="V203:V206"/>
    <mergeCell ref="W203:W206"/>
    <mergeCell ref="X203:X206"/>
    <mergeCell ref="Y203:Y206"/>
    <mergeCell ref="Z203:Z206"/>
    <mergeCell ref="O203:O206"/>
    <mergeCell ref="P203:P206"/>
    <mergeCell ref="Q203:Q206"/>
    <mergeCell ref="R203:R206"/>
    <mergeCell ref="S203:S206"/>
    <mergeCell ref="T203:T206"/>
    <mergeCell ref="BT198:BT199"/>
    <mergeCell ref="BU198:BU199"/>
    <mergeCell ref="CI201:CI202"/>
    <mergeCell ref="BS201:BS202"/>
    <mergeCell ref="BT201:BT202"/>
    <mergeCell ref="BU201:BU202"/>
    <mergeCell ref="BV201:BV202"/>
    <mergeCell ref="CB201:CB202"/>
    <mergeCell ref="CC201:CC202"/>
    <mergeCell ref="CD201:CD202"/>
    <mergeCell ref="BO201:BO202"/>
    <mergeCell ref="AQ201:AQ202"/>
    <mergeCell ref="BP201:BP202"/>
    <mergeCell ref="BR201:BR202"/>
    <mergeCell ref="CI198:CI199"/>
    <mergeCell ref="BX198:BX199"/>
    <mergeCell ref="BY198:BY199"/>
    <mergeCell ref="BZ198:BZ199"/>
    <mergeCell ref="CC198:CC199"/>
    <mergeCell ref="BR198:BR199"/>
    <mergeCell ref="BS198:BS199"/>
    <mergeCell ref="CY201:CY202"/>
    <mergeCell ref="CZ201:CZ202"/>
    <mergeCell ref="DA201:DA202"/>
    <mergeCell ref="CE201:CE202"/>
    <mergeCell ref="CF201:CF202"/>
    <mergeCell ref="CG201:CG202"/>
    <mergeCell ref="CH201:CH202"/>
    <mergeCell ref="AA203:AA206"/>
    <mergeCell ref="DB201:DB202"/>
    <mergeCell ref="DC201:DC202"/>
    <mergeCell ref="DD201:DD202"/>
    <mergeCell ref="CK201:CK202"/>
    <mergeCell ref="CL201:CL202"/>
    <mergeCell ref="CM201:CM202"/>
    <mergeCell ref="CN201:CN202"/>
    <mergeCell ref="CO201:CO202"/>
    <mergeCell ref="CX201:CX202"/>
    <mergeCell ref="AK201:AK202"/>
    <mergeCell ref="BQ201:BQ202"/>
    <mergeCell ref="BN203:BN206"/>
    <mergeCell ref="BO203:BO206"/>
    <mergeCell ref="BQ203:BQ206"/>
    <mergeCell ref="BR203:BR206"/>
    <mergeCell ref="BS203:BS206"/>
    <mergeCell ref="AG203:AG206"/>
    <mergeCell ref="AH203:AH206"/>
    <mergeCell ref="AI203:AI206"/>
    <mergeCell ref="AJ203:AJ206"/>
    <mergeCell ref="AK203:AK206"/>
    <mergeCell ref="BM203:BM206"/>
    <mergeCell ref="AB203:AB206"/>
    <mergeCell ref="AC203:AC206"/>
    <mergeCell ref="AD203:AD206"/>
    <mergeCell ref="AE203:AE206"/>
    <mergeCell ref="AF203:AF206"/>
    <mergeCell ref="AU203:AU206"/>
    <mergeCell ref="AV203:AV206"/>
    <mergeCell ref="AW203:AW206"/>
    <mergeCell ref="AT203:AT206"/>
    <mergeCell ref="BP203:BP206"/>
    <mergeCell ref="AQ203:AQ206"/>
    <mergeCell ref="CI203:CI206"/>
    <mergeCell ref="CJ203:CJ206"/>
    <mergeCell ref="BT203:BT206"/>
    <mergeCell ref="BU203:BU206"/>
    <mergeCell ref="BV203:BV206"/>
    <mergeCell ref="BW203:BW206"/>
    <mergeCell ref="BX203:BX206"/>
    <mergeCell ref="BY203:BY206"/>
    <mergeCell ref="CK203:CK206"/>
    <mergeCell ref="BZ203:BZ206"/>
    <mergeCell ref="CA203:CA206"/>
    <mergeCell ref="CB203:CB206"/>
    <mergeCell ref="CC203:CC206"/>
    <mergeCell ref="CD203:CD206"/>
    <mergeCell ref="CE203:CE206"/>
    <mergeCell ref="CF203:CF206"/>
    <mergeCell ref="CG203:CG206"/>
    <mergeCell ref="CH203:CH206"/>
    <mergeCell ref="DD203:DD206"/>
    <mergeCell ref="DE203:DE206"/>
    <mergeCell ref="CX203:CX206"/>
    <mergeCell ref="CY203:CY206"/>
    <mergeCell ref="CZ203:CZ206"/>
    <mergeCell ref="DA203:DA206"/>
    <mergeCell ref="DB203:DB206"/>
    <mergeCell ref="DC203:DC206"/>
    <mergeCell ref="CR203:CR206"/>
    <mergeCell ref="CS203:CS206"/>
    <mergeCell ref="CT203:CT206"/>
    <mergeCell ref="CU203:CU206"/>
    <mergeCell ref="CV203:CV206"/>
    <mergeCell ref="CW203:CW206"/>
    <mergeCell ref="CL203:CL206"/>
    <mergeCell ref="CM203:CM206"/>
    <mergeCell ref="CN203:CN206"/>
    <mergeCell ref="CO203:CO206"/>
    <mergeCell ref="CP203:CP206"/>
    <mergeCell ref="CQ203:CQ206"/>
    <mergeCell ref="AV211:AV214"/>
    <mergeCell ref="AW211:AW214"/>
    <mergeCell ref="AU215:AU217"/>
    <mergeCell ref="AV215:AV217"/>
    <mergeCell ref="AW215:AW217"/>
    <mergeCell ref="V215:V217"/>
    <mergeCell ref="W215:W217"/>
    <mergeCell ref="T207:T210"/>
    <mergeCell ref="H207:H210"/>
    <mergeCell ref="I207:I210"/>
    <mergeCell ref="J207:J210"/>
    <mergeCell ref="K207:K210"/>
    <mergeCell ref="L207:L210"/>
    <mergeCell ref="M207:M210"/>
    <mergeCell ref="N207:N210"/>
    <mergeCell ref="O207:O210"/>
    <mergeCell ref="P207:P210"/>
    <mergeCell ref="AT211:AT214"/>
    <mergeCell ref="H215:H217"/>
    <mergeCell ref="I215:I217"/>
    <mergeCell ref="J211:J214"/>
    <mergeCell ref="K211:K214"/>
    <mergeCell ref="Y211:Y214"/>
    <mergeCell ref="Z211:Z214"/>
    <mergeCell ref="AJ207:AJ210"/>
    <mergeCell ref="L211:L214"/>
    <mergeCell ref="V211:V214"/>
    <mergeCell ref="AO207:AO210"/>
    <mergeCell ref="X211:X214"/>
    <mergeCell ref="AA211:AA214"/>
    <mergeCell ref="AF207:AF210"/>
    <mergeCell ref="BW211:BW214"/>
    <mergeCell ref="BX211:BX214"/>
    <mergeCell ref="BV211:BV214"/>
    <mergeCell ref="BU215:BU217"/>
    <mergeCell ref="BV215:BV217"/>
    <mergeCell ref="U207:U210"/>
    <mergeCell ref="V207:V210"/>
    <mergeCell ref="W207:W210"/>
    <mergeCell ref="X207:X210"/>
    <mergeCell ref="Y207:Y210"/>
    <mergeCell ref="AK207:AK210"/>
    <mergeCell ref="Z207:Z210"/>
    <mergeCell ref="AA207:AA210"/>
    <mergeCell ref="AB207:AB210"/>
    <mergeCell ref="AC207:AC210"/>
    <mergeCell ref="AH211:AH214"/>
    <mergeCell ref="AI211:AI214"/>
    <mergeCell ref="AJ211:AJ214"/>
    <mergeCell ref="AK211:AK214"/>
    <mergeCell ref="BN211:BN214"/>
    <mergeCell ref="BO211:BO214"/>
    <mergeCell ref="X215:X217"/>
    <mergeCell ref="AO211:AO214"/>
    <mergeCell ref="AO215:AO217"/>
    <mergeCell ref="AQ207:AQ210"/>
    <mergeCell ref="AQ211:AQ214"/>
    <mergeCell ref="AQ215:AQ217"/>
    <mergeCell ref="AD207:AD210"/>
    <mergeCell ref="AE207:AE210"/>
    <mergeCell ref="AD211:AD214"/>
    <mergeCell ref="AE211:AE214"/>
    <mergeCell ref="W211:W214"/>
    <mergeCell ref="DE215:DE217"/>
    <mergeCell ref="CO215:CO217"/>
    <mergeCell ref="CG207:CG210"/>
    <mergeCell ref="CH207:CH210"/>
    <mergeCell ref="DC207:DC210"/>
    <mergeCell ref="DD207:DD210"/>
    <mergeCell ref="CK207:CK210"/>
    <mergeCell ref="CL207:CL210"/>
    <mergeCell ref="CM207:CM210"/>
    <mergeCell ref="CN207:CN210"/>
    <mergeCell ref="DA207:DA210"/>
    <mergeCell ref="DB207:DB210"/>
    <mergeCell ref="BR207:BR210"/>
    <mergeCell ref="BP211:BP214"/>
    <mergeCell ref="BQ211:BQ214"/>
    <mergeCell ref="BR211:BR214"/>
    <mergeCell ref="BX207:BX210"/>
    <mergeCell ref="BT207:BT210"/>
    <mergeCell ref="BU207:BU210"/>
    <mergeCell ref="BV207:BV210"/>
    <mergeCell ref="BW207:BW210"/>
    <mergeCell ref="BY207:BY210"/>
    <mergeCell ref="BZ207:BZ210"/>
    <mergeCell ref="CA215:CA217"/>
    <mergeCell ref="CB215:CB217"/>
    <mergeCell ref="BQ215:BQ217"/>
    <mergeCell ref="BR215:BR217"/>
    <mergeCell ref="BS215:BS217"/>
    <mergeCell ref="BT215:BT217"/>
    <mergeCell ref="BX215:BX217"/>
    <mergeCell ref="BY215:BY217"/>
    <mergeCell ref="CB211:CB214"/>
    <mergeCell ref="DE211:DE214"/>
    <mergeCell ref="N215:N217"/>
    <mergeCell ref="O215:O217"/>
    <mergeCell ref="P211:P214"/>
    <mergeCell ref="Q211:Q214"/>
    <mergeCell ref="R211:R214"/>
    <mergeCell ref="AB215:AB217"/>
    <mergeCell ref="AC215:AC217"/>
    <mergeCell ref="H211:H214"/>
    <mergeCell ref="I211:I214"/>
    <mergeCell ref="CY207:CY210"/>
    <mergeCell ref="CZ207:CZ210"/>
    <mergeCell ref="CA207:CA210"/>
    <mergeCell ref="CB207:CB210"/>
    <mergeCell ref="CC207:CC210"/>
    <mergeCell ref="CD207:CD210"/>
    <mergeCell ref="BN207:BN210"/>
    <mergeCell ref="BO207:BO210"/>
    <mergeCell ref="M211:M214"/>
    <mergeCell ref="N211:N214"/>
    <mergeCell ref="O211:O214"/>
    <mergeCell ref="CO207:CO210"/>
    <mergeCell ref="CX207:CX210"/>
    <mergeCell ref="CI207:CI210"/>
    <mergeCell ref="CJ207:CJ210"/>
    <mergeCell ref="S211:S214"/>
    <mergeCell ref="T211:T214"/>
    <mergeCell ref="BQ207:BQ210"/>
    <mergeCell ref="S215:S217"/>
    <mergeCell ref="T215:T217"/>
    <mergeCell ref="U215:U217"/>
    <mergeCell ref="DE207:DE210"/>
    <mergeCell ref="CJ211:CJ214"/>
    <mergeCell ref="CN215:CN217"/>
    <mergeCell ref="CA211:CA214"/>
    <mergeCell ref="DC215:DC217"/>
    <mergeCell ref="DD215:DD217"/>
    <mergeCell ref="J215:J217"/>
    <mergeCell ref="K215:K217"/>
    <mergeCell ref="L215:L217"/>
    <mergeCell ref="M215:M217"/>
    <mergeCell ref="AE215:AE217"/>
    <mergeCell ref="AF215:AF217"/>
    <mergeCell ref="R215:R217"/>
    <mergeCell ref="AT215:AT217"/>
    <mergeCell ref="DA215:DA217"/>
    <mergeCell ref="DB215:DB217"/>
    <mergeCell ref="CD215:CD217"/>
    <mergeCell ref="CE215:CE217"/>
    <mergeCell ref="CF215:CF217"/>
    <mergeCell ref="BM207:BM217"/>
    <mergeCell ref="CE207:CE210"/>
    <mergeCell ref="CF207:CF210"/>
    <mergeCell ref="BP215:BP217"/>
    <mergeCell ref="BS207:BS210"/>
    <mergeCell ref="P215:P217"/>
    <mergeCell ref="Q215:Q217"/>
    <mergeCell ref="U211:U214"/>
    <mergeCell ref="BP207:BP210"/>
    <mergeCell ref="BO215:BO217"/>
    <mergeCell ref="CY211:CY214"/>
    <mergeCell ref="BS211:BS214"/>
    <mergeCell ref="BT211:BT214"/>
    <mergeCell ref="BU211:BU214"/>
    <mergeCell ref="CZ211:CZ214"/>
    <mergeCell ref="AD215:AD217"/>
    <mergeCell ref="CC211:CC214"/>
    <mergeCell ref="AG215:AG217"/>
    <mergeCell ref="AR211:AR214"/>
    <mergeCell ref="BW218:BW220"/>
    <mergeCell ref="DC211:DC214"/>
    <mergeCell ref="DD211:DD214"/>
    <mergeCell ref="CK211:CK214"/>
    <mergeCell ref="CL211:CL214"/>
    <mergeCell ref="CM211:CM214"/>
    <mergeCell ref="CN211:CN214"/>
    <mergeCell ref="CO211:CO214"/>
    <mergeCell ref="CX211:CX214"/>
    <mergeCell ref="DA211:DA214"/>
    <mergeCell ref="DB211:DB214"/>
    <mergeCell ref="CZ215:CZ217"/>
    <mergeCell ref="CD211:CD214"/>
    <mergeCell ref="BY211:BY214"/>
    <mergeCell ref="BZ211:BZ214"/>
    <mergeCell ref="BZ215:BZ217"/>
    <mergeCell ref="AU211:AU214"/>
    <mergeCell ref="CE211:CE214"/>
    <mergeCell ref="CF211:CF214"/>
    <mergeCell ref="CG211:CG214"/>
    <mergeCell ref="CH211:CH214"/>
    <mergeCell ref="CX215:CX217"/>
    <mergeCell ref="CY215:CY217"/>
    <mergeCell ref="AS211:AS214"/>
    <mergeCell ref="CH215:CH217"/>
    <mergeCell ref="BW215:BW217"/>
    <mergeCell ref="CI211:CI214"/>
    <mergeCell ref="CO218:CO220"/>
    <mergeCell ref="CD218:CD220"/>
    <mergeCell ref="CE218:CE220"/>
    <mergeCell ref="CF218:CF220"/>
    <mergeCell ref="CG218:CG220"/>
    <mergeCell ref="CH218:CH220"/>
    <mergeCell ref="CB222:CB223"/>
    <mergeCell ref="CM222:CM223"/>
    <mergeCell ref="CN222:CN223"/>
    <mergeCell ref="CI218:CI220"/>
    <mergeCell ref="CI215:CI217"/>
    <mergeCell ref="CJ215:CJ217"/>
    <mergeCell ref="CK215:CK217"/>
    <mergeCell ref="CL215:CL217"/>
    <mergeCell ref="CM215:CM217"/>
    <mergeCell ref="CF222:CF223"/>
    <mergeCell ref="CL222:CL223"/>
    <mergeCell ref="CG222:CG223"/>
    <mergeCell ref="CH222:CH223"/>
    <mergeCell ref="CK222:CK223"/>
    <mergeCell ref="CC222:CC223"/>
    <mergeCell ref="CD222:CD223"/>
    <mergeCell ref="CI222:CI223"/>
    <mergeCell ref="CJ222:CJ223"/>
    <mergeCell ref="U218:U221"/>
    <mergeCell ref="V218:V221"/>
    <mergeCell ref="W218:W221"/>
    <mergeCell ref="CG215:CG217"/>
    <mergeCell ref="CC215:CC217"/>
    <mergeCell ref="CC218:CC220"/>
    <mergeCell ref="AR215:AR217"/>
    <mergeCell ref="AS215:AS217"/>
    <mergeCell ref="BU218:BU220"/>
    <mergeCell ref="BV218:BV220"/>
    <mergeCell ref="Y215:Y217"/>
    <mergeCell ref="Z215:Z217"/>
    <mergeCell ref="AA215:AA217"/>
    <mergeCell ref="AR218:AR221"/>
    <mergeCell ref="AS218:AS221"/>
    <mergeCell ref="AT218:AT221"/>
    <mergeCell ref="AG218:AG221"/>
    <mergeCell ref="AC218:AC221"/>
    <mergeCell ref="AH215:AH217"/>
    <mergeCell ref="AI215:AI217"/>
    <mergeCell ref="AJ215:AJ217"/>
    <mergeCell ref="AK215:AK217"/>
    <mergeCell ref="BN215:BN217"/>
    <mergeCell ref="CA218:CA220"/>
    <mergeCell ref="CB218:CB220"/>
    <mergeCell ref="Y218:Y221"/>
    <mergeCell ref="Z218:Z221"/>
    <mergeCell ref="AA218:AA221"/>
    <mergeCell ref="AB218:AB221"/>
    <mergeCell ref="H218:H221"/>
    <mergeCell ref="I218:I221"/>
    <mergeCell ref="J218:J221"/>
    <mergeCell ref="K218:K221"/>
    <mergeCell ref="L218:L221"/>
    <mergeCell ref="AE218:AE221"/>
    <mergeCell ref="AF218:AF221"/>
    <mergeCell ref="M218:M221"/>
    <mergeCell ref="N218:N221"/>
    <mergeCell ref="O218:O221"/>
    <mergeCell ref="P218:P221"/>
    <mergeCell ref="Q218:Q221"/>
    <mergeCell ref="R218:R221"/>
    <mergeCell ref="AD218:AD221"/>
    <mergeCell ref="X218:X221"/>
    <mergeCell ref="AQ218:AQ221"/>
    <mergeCell ref="AQ222:AQ224"/>
    <mergeCell ref="AJ222:AJ224"/>
    <mergeCell ref="AI222:AI224"/>
    <mergeCell ref="AO218:AO221"/>
    <mergeCell ref="AO222:AO224"/>
    <mergeCell ref="AG222:AG224"/>
    <mergeCell ref="H222:H224"/>
    <mergeCell ref="I222:I224"/>
    <mergeCell ref="J222:J224"/>
    <mergeCell ref="K222:K224"/>
    <mergeCell ref="M222:M224"/>
    <mergeCell ref="N222:N224"/>
    <mergeCell ref="O222:O224"/>
    <mergeCell ref="P222:P224"/>
    <mergeCell ref="S218:S221"/>
    <mergeCell ref="T218:T221"/>
    <mergeCell ref="AC222:AC224"/>
    <mergeCell ref="AD222:AD224"/>
    <mergeCell ref="V222:V224"/>
    <mergeCell ref="W222:W224"/>
    <mergeCell ref="L222:L224"/>
    <mergeCell ref="DB218:DB220"/>
    <mergeCell ref="DC218:DC220"/>
    <mergeCell ref="CP218:CP220"/>
    <mergeCell ref="CQ218:CQ220"/>
    <mergeCell ref="CR218:CR220"/>
    <mergeCell ref="CS218:CS220"/>
    <mergeCell ref="DA222:DA223"/>
    <mergeCell ref="DD218:DD220"/>
    <mergeCell ref="DE218:DE220"/>
    <mergeCell ref="CV218:CV220"/>
    <mergeCell ref="CW218:CW220"/>
    <mergeCell ref="CX218:CX220"/>
    <mergeCell ref="CY218:CY220"/>
    <mergeCell ref="CZ218:CZ220"/>
    <mergeCell ref="DA218:DA220"/>
    <mergeCell ref="Q222:Q224"/>
    <mergeCell ref="R222:R224"/>
    <mergeCell ref="CT218:CT220"/>
    <mergeCell ref="CU218:CU220"/>
    <mergeCell ref="CJ218:CJ220"/>
    <mergeCell ref="CK218:CK220"/>
    <mergeCell ref="CL218:CL220"/>
    <mergeCell ref="CM218:CM220"/>
    <mergeCell ref="CN218:CN220"/>
    <mergeCell ref="U222:U224"/>
    <mergeCell ref="BR218:BR220"/>
    <mergeCell ref="BS218:BS220"/>
    <mergeCell ref="L225:L228"/>
    <mergeCell ref="M225:M228"/>
    <mergeCell ref="N225:N228"/>
    <mergeCell ref="O225:O228"/>
    <mergeCell ref="X225:X228"/>
    <mergeCell ref="Y225:Y228"/>
    <mergeCell ref="AA225:AA228"/>
    <mergeCell ref="S222:S224"/>
    <mergeCell ref="T222:T224"/>
    <mergeCell ref="AK222:AK224"/>
    <mergeCell ref="I225:I228"/>
    <mergeCell ref="J225:J228"/>
    <mergeCell ref="K225:K228"/>
    <mergeCell ref="AE222:AE224"/>
    <mergeCell ref="AF222:AF224"/>
    <mergeCell ref="AK225:AK228"/>
    <mergeCell ref="AH222:AH224"/>
    <mergeCell ref="AC225:AC228"/>
    <mergeCell ref="R225:R228"/>
    <mergeCell ref="S225:S228"/>
    <mergeCell ref="T225:T228"/>
    <mergeCell ref="U225:U228"/>
    <mergeCell ref="V225:V228"/>
    <mergeCell ref="W225:W228"/>
    <mergeCell ref="AB225:AB228"/>
    <mergeCell ref="Z225:Z228"/>
    <mergeCell ref="P225:P228"/>
    <mergeCell ref="Q225:Q228"/>
    <mergeCell ref="Y222:Y224"/>
    <mergeCell ref="Z222:Z224"/>
    <mergeCell ref="AA222:AA224"/>
    <mergeCell ref="AB222:AB224"/>
    <mergeCell ref="AD225:AD228"/>
    <mergeCell ref="AE225:AE228"/>
    <mergeCell ref="AF225:AF228"/>
    <mergeCell ref="AG225:AG228"/>
    <mergeCell ref="AH225:AH228"/>
    <mergeCell ref="AI225:AI228"/>
    <mergeCell ref="BN225:BN226"/>
    <mergeCell ref="BO225:BO226"/>
    <mergeCell ref="BM218:BM228"/>
    <mergeCell ref="BN218:BN220"/>
    <mergeCell ref="BO218:BO220"/>
    <mergeCell ref="AT222:AT224"/>
    <mergeCell ref="AU222:AU224"/>
    <mergeCell ref="AV218:AV221"/>
    <mergeCell ref="AW218:AW221"/>
    <mergeCell ref="BP218:BP220"/>
    <mergeCell ref="BQ218:BQ220"/>
    <mergeCell ref="BP225:BP226"/>
    <mergeCell ref="BQ225:BQ226"/>
    <mergeCell ref="AU218:AU221"/>
    <mergeCell ref="AR222:AR224"/>
    <mergeCell ref="AS222:AS224"/>
    <mergeCell ref="AV222:AV224"/>
    <mergeCell ref="AW222:AW224"/>
    <mergeCell ref="AQ225:AQ228"/>
    <mergeCell ref="AO225:AO228"/>
    <mergeCell ref="CD225:CD226"/>
    <mergeCell ref="BR225:BR226"/>
    <mergeCell ref="BS225:BS226"/>
    <mergeCell ref="BV225:BV226"/>
    <mergeCell ref="AJ225:AJ228"/>
    <mergeCell ref="BX218:BX220"/>
    <mergeCell ref="BQ222:BQ223"/>
    <mergeCell ref="BR222:BR223"/>
    <mergeCell ref="BS222:BS223"/>
    <mergeCell ref="BT222:BT223"/>
    <mergeCell ref="AH218:AH221"/>
    <mergeCell ref="AI218:AI221"/>
    <mergeCell ref="AJ218:AJ221"/>
    <mergeCell ref="BU222:BU223"/>
    <mergeCell ref="BV222:BV223"/>
    <mergeCell ref="BY218:BY220"/>
    <mergeCell ref="BZ218:BZ220"/>
    <mergeCell ref="BU225:BU226"/>
    <mergeCell ref="BZ225:BZ226"/>
    <mergeCell ref="BT218:BT220"/>
    <mergeCell ref="BW222:BW223"/>
    <mergeCell ref="BX222:BX223"/>
    <mergeCell ref="BY222:BY223"/>
    <mergeCell ref="BZ222:BZ223"/>
    <mergeCell ref="BY225:BY226"/>
    <mergeCell ref="BN222:BN223"/>
    <mergeCell ref="BO222:BO223"/>
    <mergeCell ref="BP222:BP223"/>
    <mergeCell ref="CF225:CF226"/>
    <mergeCell ref="X222:X224"/>
    <mergeCell ref="AK218:AK221"/>
    <mergeCell ref="CG225:CG226"/>
    <mergeCell ref="CH225:CH226"/>
    <mergeCell ref="H225:H228"/>
    <mergeCell ref="DB222:DB223"/>
    <mergeCell ref="DC222:DC223"/>
    <mergeCell ref="DD222:DD223"/>
    <mergeCell ref="DE222:DE223"/>
    <mergeCell ref="CU222:CU223"/>
    <mergeCell ref="CV222:CV223"/>
    <mergeCell ref="CW222:CW223"/>
    <mergeCell ref="CX222:CX223"/>
    <mergeCell ref="CE222:CE223"/>
    <mergeCell ref="CI225:CI226"/>
    <mergeCell ref="CY222:CY223"/>
    <mergeCell ref="CZ222:CZ223"/>
    <mergeCell ref="CO222:CO223"/>
    <mergeCell ref="CP222:CP223"/>
    <mergeCell ref="CQ222:CQ223"/>
    <mergeCell ref="CR222:CR223"/>
    <mergeCell ref="CS222:CS223"/>
    <mergeCell ref="CT222:CT223"/>
    <mergeCell ref="BX225:BX226"/>
    <mergeCell ref="BT225:BT226"/>
    <mergeCell ref="BW225:BW226"/>
    <mergeCell ref="CE225:CE226"/>
    <mergeCell ref="CA225:CA226"/>
    <mergeCell ref="CB225:CB226"/>
    <mergeCell ref="CC225:CC226"/>
    <mergeCell ref="CA222:CA223"/>
    <mergeCell ref="DB225:DB226"/>
    <mergeCell ref="DC225:DC226"/>
    <mergeCell ref="DD225:DD226"/>
    <mergeCell ref="DE225:DE226"/>
    <mergeCell ref="CV225:CV226"/>
    <mergeCell ref="CW225:CW226"/>
    <mergeCell ref="CX225:CX226"/>
    <mergeCell ref="CY225:CY226"/>
    <mergeCell ref="CZ225:CZ226"/>
    <mergeCell ref="DA225:DA226"/>
    <mergeCell ref="CP225:CP226"/>
    <mergeCell ref="CQ225:CQ226"/>
    <mergeCell ref="CR225:CR226"/>
    <mergeCell ref="CS225:CS226"/>
    <mergeCell ref="CT225:CT226"/>
    <mergeCell ref="CU225:CU226"/>
    <mergeCell ref="CJ225:CJ226"/>
    <mergeCell ref="CK225:CK226"/>
    <mergeCell ref="CL225:CL226"/>
    <mergeCell ref="CM225:CM226"/>
    <mergeCell ref="CN225:CN226"/>
    <mergeCell ref="CO225:CO226"/>
    <mergeCell ref="E175:E179"/>
    <mergeCell ref="F175:F179"/>
    <mergeCell ref="G175:G179"/>
    <mergeCell ref="H190:H197"/>
    <mergeCell ref="AQ157:AQ160"/>
    <mergeCell ref="AQ162:AQ168"/>
    <mergeCell ref="AQ169:AQ172"/>
    <mergeCell ref="AO157:AO160"/>
    <mergeCell ref="AP157:AP160"/>
    <mergeCell ref="BC6:BC7"/>
    <mergeCell ref="BC9:BC44"/>
    <mergeCell ref="AO162:AO168"/>
    <mergeCell ref="BA6:BA7"/>
    <mergeCell ref="BA9:BA44"/>
    <mergeCell ref="G61:G64"/>
    <mergeCell ref="E65:E68"/>
    <mergeCell ref="AP162:AP168"/>
    <mergeCell ref="AO169:AO172"/>
    <mergeCell ref="AP169:AP172"/>
    <mergeCell ref="G75:G77"/>
    <mergeCell ref="F75:F77"/>
    <mergeCell ref="E75:E77"/>
    <mergeCell ref="G103:G108"/>
    <mergeCell ref="AE169:AE172"/>
    <mergeCell ref="AX46:AX49"/>
    <mergeCell ref="Q46:Q49"/>
    <mergeCell ref="F9:F12"/>
    <mergeCell ref="G9:G12"/>
    <mergeCell ref="AP73:AP74"/>
    <mergeCell ref="AZ6:AZ7"/>
    <mergeCell ref="AA141:AA143"/>
    <mergeCell ref="E9:E12"/>
    <mergeCell ref="G225:G228"/>
    <mergeCell ref="F222:F224"/>
    <mergeCell ref="G222:G224"/>
    <mergeCell ref="F218:F221"/>
    <mergeCell ref="G218:G221"/>
    <mergeCell ref="G215:G217"/>
    <mergeCell ref="F187:F189"/>
    <mergeCell ref="E211:E214"/>
    <mergeCell ref="F181:F183"/>
    <mergeCell ref="G181:G183"/>
    <mergeCell ref="E184:E186"/>
    <mergeCell ref="F184:F186"/>
    <mergeCell ref="G184:G186"/>
    <mergeCell ref="F190:F197"/>
    <mergeCell ref="F198:F200"/>
    <mergeCell ref="F201:F202"/>
    <mergeCell ref="G201:G202"/>
    <mergeCell ref="E218:E221"/>
    <mergeCell ref="E187:E189"/>
    <mergeCell ref="E215:E217"/>
    <mergeCell ref="E198:E200"/>
    <mergeCell ref="E201:E202"/>
    <mergeCell ref="E203:E206"/>
    <mergeCell ref="E207:E210"/>
    <mergeCell ref="G211:G214"/>
    <mergeCell ref="G190:G197"/>
    <mergeCell ref="G198:G200"/>
    <mergeCell ref="F207:F210"/>
    <mergeCell ref="G187:G189"/>
    <mergeCell ref="E190:E197"/>
    <mergeCell ref="B46:B78"/>
    <mergeCell ref="B45:D45"/>
    <mergeCell ref="D50:D53"/>
    <mergeCell ref="C50:C53"/>
    <mergeCell ref="D54:D56"/>
    <mergeCell ref="C54:C56"/>
    <mergeCell ref="D57:D60"/>
    <mergeCell ref="C57:C60"/>
    <mergeCell ref="D61:D64"/>
    <mergeCell ref="C61:C68"/>
    <mergeCell ref="E225:E228"/>
    <mergeCell ref="F225:F228"/>
    <mergeCell ref="E157:E160"/>
    <mergeCell ref="E162:E168"/>
    <mergeCell ref="E169:E172"/>
    <mergeCell ref="E173:E174"/>
    <mergeCell ref="F203:F206"/>
    <mergeCell ref="F211:F214"/>
    <mergeCell ref="F157:F160"/>
    <mergeCell ref="F215:F217"/>
    <mergeCell ref="D73:D74"/>
    <mergeCell ref="D75:D77"/>
    <mergeCell ref="E222:E224"/>
    <mergeCell ref="E87:E89"/>
    <mergeCell ref="F87:F89"/>
    <mergeCell ref="D69:D72"/>
    <mergeCell ref="E181:E183"/>
    <mergeCell ref="D103:D108"/>
    <mergeCell ref="F173:F174"/>
    <mergeCell ref="F169:F172"/>
    <mergeCell ref="E121:E124"/>
    <mergeCell ref="F121:F124"/>
    <mergeCell ref="C69:C77"/>
    <mergeCell ref="D118:D120"/>
    <mergeCell ref="C118:C124"/>
    <mergeCell ref="D121:D124"/>
    <mergeCell ref="E99:E102"/>
    <mergeCell ref="F99:F102"/>
    <mergeCell ref="E103:E108"/>
    <mergeCell ref="F103:F108"/>
    <mergeCell ref="F109:F112"/>
    <mergeCell ref="C99:C108"/>
    <mergeCell ref="C31:C41"/>
    <mergeCell ref="D42:D44"/>
    <mergeCell ref="C42:C44"/>
    <mergeCell ref="D46:D49"/>
    <mergeCell ref="C46:C49"/>
    <mergeCell ref="D65:D68"/>
    <mergeCell ref="D31:D32"/>
    <mergeCell ref="D36:D39"/>
    <mergeCell ref="E109:E112"/>
    <mergeCell ref="F84:F86"/>
    <mergeCell ref="E84:E86"/>
    <mergeCell ref="F80:F83"/>
    <mergeCell ref="E80:E83"/>
    <mergeCell ref="F50:F53"/>
    <mergeCell ref="E54:E56"/>
    <mergeCell ref="F54:F56"/>
    <mergeCell ref="E90:E93"/>
    <mergeCell ref="F90:F93"/>
    <mergeCell ref="F57:F60"/>
    <mergeCell ref="B79:D79"/>
    <mergeCell ref="D87:D89"/>
    <mergeCell ref="D80:D83"/>
    <mergeCell ref="C80:C98"/>
    <mergeCell ref="B80:B124"/>
    <mergeCell ref="D84:D86"/>
    <mergeCell ref="D90:D93"/>
    <mergeCell ref="G94:G98"/>
    <mergeCell ref="F94:F98"/>
    <mergeCell ref="E94:E98"/>
    <mergeCell ref="D94:D98"/>
    <mergeCell ref="D99:D102"/>
    <mergeCell ref="G99:G102"/>
    <mergeCell ref="D109:D112"/>
    <mergeCell ref="C109:C117"/>
    <mergeCell ref="D113:D115"/>
    <mergeCell ref="G116:G117"/>
    <mergeCell ref="F116:F117"/>
    <mergeCell ref="E116:E117"/>
    <mergeCell ref="D116:D117"/>
    <mergeCell ref="G109:G112"/>
    <mergeCell ref="E113:E115"/>
    <mergeCell ref="G121:G124"/>
    <mergeCell ref="G84:G86"/>
    <mergeCell ref="G80:G83"/>
    <mergeCell ref="G90:G93"/>
    <mergeCell ref="G87:G89"/>
    <mergeCell ref="F118:F120"/>
    <mergeCell ref="G118:G120"/>
    <mergeCell ref="D126:D129"/>
    <mergeCell ref="C126:C129"/>
    <mergeCell ref="D153:D155"/>
    <mergeCell ref="C153:C155"/>
    <mergeCell ref="D157:D160"/>
    <mergeCell ref="C157:C160"/>
    <mergeCell ref="B126:B155"/>
    <mergeCell ref="B125:D125"/>
    <mergeCell ref="D130:D131"/>
    <mergeCell ref="C130:C134"/>
    <mergeCell ref="D132:D134"/>
    <mergeCell ref="C135:C143"/>
    <mergeCell ref="D141:D143"/>
    <mergeCell ref="D144:D146"/>
    <mergeCell ref="C144:C152"/>
    <mergeCell ref="D150:D152"/>
    <mergeCell ref="B157:B179"/>
    <mergeCell ref="B156:D156"/>
    <mergeCell ref="D173:D174"/>
    <mergeCell ref="C173:C179"/>
    <mergeCell ref="D169:D172"/>
    <mergeCell ref="C161:C172"/>
    <mergeCell ref="D147:D149"/>
    <mergeCell ref="D135:D140"/>
    <mergeCell ref="D175:D179"/>
    <mergeCell ref="D162:D168"/>
    <mergeCell ref="A230:D230"/>
    <mergeCell ref="B229:D229"/>
    <mergeCell ref="A9:A229"/>
    <mergeCell ref="D22:D23"/>
    <mergeCell ref="D13:D18"/>
    <mergeCell ref="C13:C25"/>
    <mergeCell ref="C26:C30"/>
    <mergeCell ref="D29:D30"/>
    <mergeCell ref="D33:D35"/>
    <mergeCell ref="D40:D41"/>
    <mergeCell ref="E118:E120"/>
    <mergeCell ref="B180:D180"/>
    <mergeCell ref="D181:D183"/>
    <mergeCell ref="C181:C186"/>
    <mergeCell ref="B181:B228"/>
    <mergeCell ref="D184:D186"/>
    <mergeCell ref="D187:D189"/>
    <mergeCell ref="C187:C202"/>
    <mergeCell ref="D190:D197"/>
    <mergeCell ref="D198:D200"/>
    <mergeCell ref="D201:D202"/>
    <mergeCell ref="D203:D206"/>
    <mergeCell ref="C203:C206"/>
    <mergeCell ref="D207:D210"/>
    <mergeCell ref="C207:C217"/>
    <mergeCell ref="D211:D214"/>
    <mergeCell ref="D215:D217"/>
    <mergeCell ref="D218:D221"/>
    <mergeCell ref="C218:C228"/>
    <mergeCell ref="D222:D224"/>
    <mergeCell ref="D225:D228"/>
    <mergeCell ref="D19:D21"/>
    <mergeCell ref="E61:E64"/>
    <mergeCell ref="G73:G74"/>
    <mergeCell ref="F73:F74"/>
    <mergeCell ref="E73:E74"/>
    <mergeCell ref="G69:G72"/>
    <mergeCell ref="F69:F72"/>
    <mergeCell ref="E69:E72"/>
    <mergeCell ref="F65:F68"/>
    <mergeCell ref="G65:G68"/>
    <mergeCell ref="F61:F64"/>
    <mergeCell ref="AQ26:AQ30"/>
    <mergeCell ref="AQ31:AQ41"/>
    <mergeCell ref="AQ42:AQ44"/>
    <mergeCell ref="AQ50:AQ53"/>
    <mergeCell ref="AQ54:AQ56"/>
    <mergeCell ref="AQ57:AQ60"/>
    <mergeCell ref="G50:G53"/>
    <mergeCell ref="G54:G56"/>
    <mergeCell ref="AO50:AO53"/>
    <mergeCell ref="G57:G60"/>
    <mergeCell ref="AQ46:AQ49"/>
    <mergeCell ref="AP46:AP49"/>
    <mergeCell ref="AP50:AP53"/>
    <mergeCell ref="AP54:AP56"/>
    <mergeCell ref="AP57:AP60"/>
    <mergeCell ref="AP69:AP72"/>
    <mergeCell ref="E46:E49"/>
    <mergeCell ref="F46:F49"/>
    <mergeCell ref="G46:G49"/>
    <mergeCell ref="E57:E60"/>
    <mergeCell ref="E50:E53"/>
    <mergeCell ref="T73:T74"/>
    <mergeCell ref="A3:CI3"/>
    <mergeCell ref="A2:CI2"/>
    <mergeCell ref="A1:CI1"/>
    <mergeCell ref="AO9:AO12"/>
    <mergeCell ref="AP9:AP12"/>
    <mergeCell ref="AO13:AO25"/>
    <mergeCell ref="AP13:AP25"/>
    <mergeCell ref="AQ9:AQ12"/>
    <mergeCell ref="AQ13:AQ25"/>
    <mergeCell ref="BF6:BF7"/>
    <mergeCell ref="AO31:AO41"/>
    <mergeCell ref="AP31:AP41"/>
    <mergeCell ref="AH40:AH41"/>
    <mergeCell ref="AI40:AI41"/>
    <mergeCell ref="AG40:AG41"/>
    <mergeCell ref="AP42:AP44"/>
    <mergeCell ref="AK42:AK44"/>
    <mergeCell ref="AJ36:AJ39"/>
    <mergeCell ref="AK36:AK39"/>
    <mergeCell ref="BD6:BD7"/>
    <mergeCell ref="BD9:BD44"/>
    <mergeCell ref="BE6:BE7"/>
    <mergeCell ref="BE9:BE44"/>
    <mergeCell ref="BB6:BB7"/>
    <mergeCell ref="BB9:BB44"/>
    <mergeCell ref="BL6:BL7"/>
    <mergeCell ref="BL9:BL44"/>
    <mergeCell ref="AX6:AX7"/>
    <mergeCell ref="AY6:AY7"/>
    <mergeCell ref="AY9:AY44"/>
    <mergeCell ref="D24:D25"/>
    <mergeCell ref="D26:D27"/>
    <mergeCell ref="AG207:AG210"/>
    <mergeCell ref="AH207:AH210"/>
    <mergeCell ref="AI207:AI210"/>
    <mergeCell ref="AF211:AF214"/>
    <mergeCell ref="AG211:AG214"/>
    <mergeCell ref="AB211:AB214"/>
    <mergeCell ref="AC211:AC214"/>
    <mergeCell ref="G173:G174"/>
    <mergeCell ref="G169:G172"/>
    <mergeCell ref="AO94:AO98"/>
    <mergeCell ref="AP103:AP108"/>
    <mergeCell ref="G203:G206"/>
    <mergeCell ref="G207:G210"/>
    <mergeCell ref="I203:I206"/>
    <mergeCell ref="J203:J206"/>
    <mergeCell ref="K203:K206"/>
    <mergeCell ref="L203:L206"/>
    <mergeCell ref="M203:M206"/>
    <mergeCell ref="N203:N206"/>
    <mergeCell ref="H203:H206"/>
    <mergeCell ref="U203:U206"/>
    <mergeCell ref="G147:G149"/>
    <mergeCell ref="AI153:AI155"/>
    <mergeCell ref="AL105:AL108"/>
    <mergeCell ref="AO109:AO112"/>
    <mergeCell ref="Z141:Z143"/>
    <mergeCell ref="Q207:Q210"/>
    <mergeCell ref="AB141:AB143"/>
    <mergeCell ref="AC141:AC143"/>
    <mergeCell ref="AO144:AO146"/>
    <mergeCell ref="R207:R210"/>
    <mergeCell ref="S207:S210"/>
    <mergeCell ref="AQ80:AQ83"/>
    <mergeCell ref="AQ84:AQ86"/>
    <mergeCell ref="AQ87:AQ89"/>
    <mergeCell ref="AQ94:AQ98"/>
    <mergeCell ref="AP99:AP102"/>
    <mergeCell ref="AQ99:AQ102"/>
    <mergeCell ref="AP80:AP83"/>
    <mergeCell ref="F162:F168"/>
    <mergeCell ref="AH153:AH155"/>
    <mergeCell ref="G157:G160"/>
    <mergeCell ref="F113:F115"/>
    <mergeCell ref="G113:G115"/>
    <mergeCell ref="AG153:AG155"/>
    <mergeCell ref="U153:U155"/>
    <mergeCell ref="V153:V155"/>
    <mergeCell ref="G130:G131"/>
    <mergeCell ref="G162:G168"/>
    <mergeCell ref="AO80:AO83"/>
    <mergeCell ref="AO126:AO129"/>
    <mergeCell ref="AO130:AO131"/>
    <mergeCell ref="AO132:AO134"/>
    <mergeCell ref="AO135:AO140"/>
    <mergeCell ref="AO141:AO143"/>
    <mergeCell ref="AQ147:AQ149"/>
    <mergeCell ref="AQ103:AQ108"/>
    <mergeCell ref="AP90:AP93"/>
    <mergeCell ref="AO153:AO155"/>
    <mergeCell ref="F153:F155"/>
    <mergeCell ref="G153:G155"/>
    <mergeCell ref="F150:F152"/>
    <mergeCell ref="G150:G152"/>
    <mergeCell ref="F147:F149"/>
    <mergeCell ref="AO75:AO77"/>
    <mergeCell ref="AP75:AP77"/>
    <mergeCell ref="AP94:AP98"/>
    <mergeCell ref="AO90:AO93"/>
    <mergeCell ref="E153:E155"/>
    <mergeCell ref="E150:E152"/>
    <mergeCell ref="E147:E149"/>
    <mergeCell ref="E144:E146"/>
    <mergeCell ref="F144:F146"/>
    <mergeCell ref="G144:G146"/>
    <mergeCell ref="E141:E143"/>
    <mergeCell ref="E135:E140"/>
    <mergeCell ref="E132:E134"/>
    <mergeCell ref="F132:F134"/>
    <mergeCell ref="G132:G134"/>
    <mergeCell ref="L144:L146"/>
    <mergeCell ref="F135:F140"/>
    <mergeCell ref="G135:G140"/>
    <mergeCell ref="L141:L143"/>
    <mergeCell ref="L135:L139"/>
    <mergeCell ref="AI150:AI152"/>
    <mergeCell ref="AC147:AC149"/>
    <mergeCell ref="AD141:AD143"/>
    <mergeCell ref="X147:X149"/>
    <mergeCell ref="Y147:Y149"/>
    <mergeCell ref="Z147:Z149"/>
    <mergeCell ref="AA147:AA149"/>
    <mergeCell ref="AE141:AE143"/>
    <mergeCell ref="AF141:AF143"/>
    <mergeCell ref="AG141:AG143"/>
    <mergeCell ref="X141:X143"/>
    <mergeCell ref="AJ150:AJ152"/>
    <mergeCell ref="E126:E129"/>
    <mergeCell ref="F126:F129"/>
    <mergeCell ref="G126:G129"/>
    <mergeCell ref="AO147:AO149"/>
    <mergeCell ref="AO150:AO152"/>
    <mergeCell ref="K144:K146"/>
    <mergeCell ref="R147:R149"/>
    <mergeCell ref="R144:R146"/>
    <mergeCell ref="S144:S146"/>
    <mergeCell ref="T144:T146"/>
    <mergeCell ref="AQ150:AQ152"/>
    <mergeCell ref="F141:F143"/>
    <mergeCell ref="G141:G143"/>
    <mergeCell ref="S147:S149"/>
    <mergeCell ref="T147:T149"/>
    <mergeCell ref="V147:V149"/>
    <mergeCell ref="AH141:AH143"/>
    <mergeCell ref="AI141:AI143"/>
    <mergeCell ref="AK150:AK152"/>
    <mergeCell ref="AH150:AH152"/>
    <mergeCell ref="E130:E131"/>
    <mergeCell ref="F130:F131"/>
    <mergeCell ref="Y141:Y143"/>
    <mergeCell ref="X150:X152"/>
    <mergeCell ref="Y150:Y152"/>
    <mergeCell ref="Z150:Z152"/>
    <mergeCell ref="AA150:AA152"/>
    <mergeCell ref="U144:U146"/>
    <mergeCell ref="V144:V146"/>
    <mergeCell ref="U147:U149"/>
    <mergeCell ref="Q144:Q146"/>
    <mergeCell ref="I144:I146"/>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67"/>
  <sheetViews>
    <sheetView topLeftCell="A45" workbookViewId="0">
      <selection activeCell="A24" sqref="A24:J24"/>
    </sheetView>
  </sheetViews>
  <sheetFormatPr baseColWidth="10" defaultColWidth="10.85546875" defaultRowHeight="15"/>
  <cols>
    <col min="1" max="1" width="13.42578125" style="202" bestFit="1" customWidth="1"/>
    <col min="2" max="2" width="11.140625" style="202" bestFit="1" customWidth="1"/>
    <col min="3" max="3" width="12.28515625" style="202" bestFit="1" customWidth="1"/>
    <col min="4" max="4" width="11" style="202" bestFit="1" customWidth="1"/>
    <col min="5" max="5" width="10.85546875" style="202"/>
    <col min="6" max="6" width="11" style="202" bestFit="1" customWidth="1"/>
    <col min="7" max="7" width="22.7109375" style="202" customWidth="1"/>
    <col min="8" max="8" width="14.7109375" style="202" bestFit="1" customWidth="1"/>
    <col min="9" max="9" width="54.28515625" style="202" customWidth="1"/>
    <col min="10" max="16384" width="10.85546875" style="202"/>
  </cols>
  <sheetData>
    <row r="2" spans="1:10" ht="15.75">
      <c r="A2" s="665" t="s">
        <v>535</v>
      </c>
      <c r="B2" s="665"/>
      <c r="C2" s="665"/>
      <c r="D2" s="665"/>
      <c r="E2" s="665"/>
      <c r="F2" s="665"/>
      <c r="G2" s="665"/>
      <c r="H2" s="665"/>
      <c r="I2" s="665"/>
      <c r="J2" s="201"/>
    </row>
    <row r="3" spans="1:10" ht="15.75">
      <c r="A3" s="665" t="s">
        <v>536</v>
      </c>
      <c r="B3" s="665"/>
      <c r="C3" s="665"/>
      <c r="D3" s="665"/>
      <c r="E3" s="665"/>
      <c r="F3" s="665"/>
      <c r="G3" s="665"/>
      <c r="H3" s="665"/>
      <c r="I3" s="665"/>
      <c r="J3" s="201"/>
    </row>
    <row r="4" spans="1:10" ht="15.75">
      <c r="A4" s="665" t="s">
        <v>537</v>
      </c>
      <c r="B4" s="665"/>
      <c r="C4" s="665"/>
      <c r="D4" s="665"/>
      <c r="E4" s="665"/>
      <c r="F4" s="665"/>
      <c r="G4" s="665"/>
      <c r="H4" s="665"/>
      <c r="I4" s="665"/>
      <c r="J4" s="201"/>
    </row>
    <row r="7" spans="1:10" ht="15.75">
      <c r="A7" s="666" t="s">
        <v>538</v>
      </c>
      <c r="B7" s="666"/>
      <c r="C7" s="666"/>
      <c r="D7" s="666"/>
      <c r="E7" s="666"/>
      <c r="F7" s="666"/>
      <c r="G7" s="666"/>
      <c r="H7" s="666"/>
      <c r="I7" s="666"/>
      <c r="J7" s="666"/>
    </row>
    <row r="8" spans="1:10" ht="47.25">
      <c r="A8" s="203" t="s">
        <v>539</v>
      </c>
      <c r="B8" s="203" t="s">
        <v>540</v>
      </c>
      <c r="C8" s="203" t="s">
        <v>541</v>
      </c>
      <c r="D8" s="203" t="s">
        <v>542</v>
      </c>
      <c r="E8" s="203" t="s">
        <v>543</v>
      </c>
      <c r="F8" s="203" t="s">
        <v>544</v>
      </c>
      <c r="G8" s="203" t="s">
        <v>545</v>
      </c>
      <c r="H8" s="203" t="s">
        <v>546</v>
      </c>
      <c r="I8" s="203" t="s">
        <v>547</v>
      </c>
      <c r="J8" s="218" t="s">
        <v>651</v>
      </c>
    </row>
    <row r="9" spans="1:10" ht="47.25">
      <c r="A9" s="204">
        <v>2013</v>
      </c>
      <c r="B9" s="205">
        <v>0</v>
      </c>
      <c r="C9" s="205">
        <v>6024000</v>
      </c>
      <c r="D9" s="204" t="s">
        <v>548</v>
      </c>
      <c r="E9" s="204" t="s">
        <v>549</v>
      </c>
      <c r="F9" s="204" t="s">
        <v>550</v>
      </c>
      <c r="G9" s="204" t="s">
        <v>551</v>
      </c>
      <c r="H9" s="205">
        <v>6024000</v>
      </c>
      <c r="I9" s="206" t="s">
        <v>552</v>
      </c>
      <c r="J9" s="218" t="s">
        <v>648</v>
      </c>
    </row>
    <row r="10" spans="1:10" ht="15.75">
      <c r="A10" s="664" t="s">
        <v>553</v>
      </c>
      <c r="B10" s="664"/>
      <c r="C10" s="664"/>
      <c r="D10" s="664"/>
      <c r="E10" s="664"/>
      <c r="F10" s="664"/>
      <c r="G10" s="664"/>
      <c r="H10" s="664"/>
      <c r="I10" s="207">
        <v>6024000</v>
      </c>
      <c r="J10" s="201"/>
    </row>
    <row r="11" spans="1:10" ht="15.75">
      <c r="A11" s="666" t="s">
        <v>554</v>
      </c>
      <c r="B11" s="666"/>
      <c r="C11" s="666"/>
      <c r="D11" s="666"/>
      <c r="E11" s="666"/>
      <c r="F11" s="666"/>
      <c r="G11" s="666"/>
      <c r="H11" s="666"/>
      <c r="I11" s="666"/>
      <c r="J11" s="666"/>
    </row>
    <row r="12" spans="1:10" ht="47.25">
      <c r="A12" s="203" t="s">
        <v>539</v>
      </c>
      <c r="B12" s="203" t="s">
        <v>540</v>
      </c>
      <c r="C12" s="203" t="s">
        <v>541</v>
      </c>
      <c r="D12" s="203" t="s">
        <v>542</v>
      </c>
      <c r="E12" s="203" t="s">
        <v>543</v>
      </c>
      <c r="F12" s="203" t="s">
        <v>544</v>
      </c>
      <c r="G12" s="203" t="s">
        <v>545</v>
      </c>
      <c r="H12" s="203" t="s">
        <v>546</v>
      </c>
      <c r="I12" s="203" t="s">
        <v>547</v>
      </c>
      <c r="J12" s="201"/>
    </row>
    <row r="13" spans="1:10" ht="15.75">
      <c r="A13" s="204">
        <v>2013</v>
      </c>
      <c r="B13" s="205">
        <v>0</v>
      </c>
      <c r="C13" s="205">
        <v>742603</v>
      </c>
      <c r="D13" s="204"/>
      <c r="E13" s="204"/>
      <c r="F13" s="204"/>
      <c r="G13" s="204" t="s">
        <v>555</v>
      </c>
      <c r="H13" s="205">
        <v>0</v>
      </c>
      <c r="I13" s="206"/>
      <c r="J13" s="201"/>
    </row>
    <row r="14" spans="1:10" ht="15.75">
      <c r="A14" s="664" t="s">
        <v>556</v>
      </c>
      <c r="B14" s="664"/>
      <c r="C14" s="664"/>
      <c r="D14" s="664"/>
      <c r="E14" s="664"/>
      <c r="F14" s="664"/>
      <c r="G14" s="664"/>
      <c r="H14" s="664"/>
      <c r="I14" s="207">
        <v>0</v>
      </c>
      <c r="J14" s="201"/>
    </row>
    <row r="15" spans="1:10" ht="15.75">
      <c r="A15" s="666" t="s">
        <v>557</v>
      </c>
      <c r="B15" s="666"/>
      <c r="C15" s="666"/>
      <c r="D15" s="666"/>
      <c r="E15" s="666"/>
      <c r="F15" s="666"/>
      <c r="G15" s="666"/>
      <c r="H15" s="666"/>
      <c r="I15" s="666"/>
      <c r="J15" s="666"/>
    </row>
    <row r="16" spans="1:10" ht="47.25">
      <c r="A16" s="203" t="s">
        <v>539</v>
      </c>
      <c r="B16" s="203" t="s">
        <v>540</v>
      </c>
      <c r="C16" s="203" t="s">
        <v>541</v>
      </c>
      <c r="D16" s="203" t="s">
        <v>542</v>
      </c>
      <c r="E16" s="203" t="s">
        <v>543</v>
      </c>
      <c r="F16" s="203" t="s">
        <v>544</v>
      </c>
      <c r="G16" s="203" t="s">
        <v>545</v>
      </c>
      <c r="H16" s="203" t="s">
        <v>546</v>
      </c>
      <c r="I16" s="203" t="s">
        <v>547</v>
      </c>
      <c r="J16" s="201"/>
    </row>
    <row r="17" spans="1:10" ht="47.25">
      <c r="A17" s="204">
        <v>2013</v>
      </c>
      <c r="B17" s="205">
        <v>0</v>
      </c>
      <c r="C17" s="205">
        <v>3855360</v>
      </c>
      <c r="D17" s="208">
        <v>41533</v>
      </c>
      <c r="E17" s="204" t="s">
        <v>558</v>
      </c>
      <c r="F17" s="204">
        <v>11</v>
      </c>
      <c r="G17" s="204" t="s">
        <v>559</v>
      </c>
      <c r="H17" s="205">
        <v>3855360</v>
      </c>
      <c r="I17" s="206" t="s">
        <v>560</v>
      </c>
      <c r="J17" s="218" t="s">
        <v>649</v>
      </c>
    </row>
    <row r="18" spans="1:10" ht="94.5">
      <c r="A18" s="204">
        <v>2013</v>
      </c>
      <c r="B18" s="205">
        <v>0</v>
      </c>
      <c r="C18" s="205">
        <v>11546000</v>
      </c>
      <c r="D18" s="204" t="s">
        <v>561</v>
      </c>
      <c r="E18" s="204" t="s">
        <v>558</v>
      </c>
      <c r="F18" s="204">
        <v>8</v>
      </c>
      <c r="G18" s="204" t="s">
        <v>562</v>
      </c>
      <c r="H18" s="205">
        <v>11546000</v>
      </c>
      <c r="I18" s="206" t="s">
        <v>563</v>
      </c>
      <c r="J18" s="218" t="s">
        <v>648</v>
      </c>
    </row>
    <row r="19" spans="1:10" ht="15.75">
      <c r="A19" s="664" t="s">
        <v>564</v>
      </c>
      <c r="B19" s="664"/>
      <c r="C19" s="664"/>
      <c r="D19" s="664"/>
      <c r="E19" s="664"/>
      <c r="F19" s="664"/>
      <c r="G19" s="664"/>
      <c r="H19" s="664"/>
      <c r="I19" s="207">
        <v>15401360</v>
      </c>
      <c r="J19" s="201"/>
    </row>
    <row r="20" spans="1:10" ht="15.75">
      <c r="A20" s="666" t="s">
        <v>565</v>
      </c>
      <c r="B20" s="666"/>
      <c r="C20" s="666"/>
      <c r="D20" s="666"/>
      <c r="E20" s="666"/>
      <c r="F20" s="666"/>
      <c r="G20" s="666"/>
      <c r="H20" s="666"/>
      <c r="I20" s="666"/>
      <c r="J20" s="666"/>
    </row>
    <row r="21" spans="1:10" ht="47.25">
      <c r="A21" s="203" t="s">
        <v>539</v>
      </c>
      <c r="B21" s="203" t="s">
        <v>540</v>
      </c>
      <c r="C21" s="203" t="s">
        <v>541</v>
      </c>
      <c r="D21" s="203" t="s">
        <v>542</v>
      </c>
      <c r="E21" s="203" t="s">
        <v>543</v>
      </c>
      <c r="F21" s="203" t="s">
        <v>544</v>
      </c>
      <c r="G21" s="203" t="s">
        <v>545</v>
      </c>
      <c r="H21" s="203" t="s">
        <v>546</v>
      </c>
      <c r="I21" s="203" t="s">
        <v>547</v>
      </c>
      <c r="J21" s="201"/>
    </row>
    <row r="22" spans="1:10" ht="63">
      <c r="A22" s="204">
        <v>2013</v>
      </c>
      <c r="B22" s="205">
        <v>9437600</v>
      </c>
      <c r="C22" s="205">
        <v>9437600</v>
      </c>
      <c r="D22" s="204" t="s">
        <v>566</v>
      </c>
      <c r="E22" s="204" t="s">
        <v>549</v>
      </c>
      <c r="F22" s="204" t="s">
        <v>567</v>
      </c>
      <c r="G22" s="204" t="s">
        <v>568</v>
      </c>
      <c r="H22" s="205">
        <v>9437600</v>
      </c>
      <c r="I22" s="206" t="s">
        <v>569</v>
      </c>
      <c r="J22" s="218" t="s">
        <v>648</v>
      </c>
    </row>
    <row r="23" spans="1:10" ht="15.75">
      <c r="A23" s="664" t="s">
        <v>570</v>
      </c>
      <c r="B23" s="664"/>
      <c r="C23" s="664"/>
      <c r="D23" s="664"/>
      <c r="E23" s="664"/>
      <c r="F23" s="664"/>
      <c r="G23" s="664"/>
      <c r="H23" s="664"/>
      <c r="I23" s="207">
        <v>9437600</v>
      </c>
      <c r="J23" s="201"/>
    </row>
    <row r="24" spans="1:10" ht="15.75">
      <c r="A24" s="666" t="s">
        <v>571</v>
      </c>
      <c r="B24" s="666"/>
      <c r="C24" s="666"/>
      <c r="D24" s="666"/>
      <c r="E24" s="666"/>
      <c r="F24" s="666"/>
      <c r="G24" s="666"/>
      <c r="H24" s="666"/>
      <c r="I24" s="666"/>
      <c r="J24" s="666"/>
    </row>
    <row r="25" spans="1:10" ht="47.25">
      <c r="A25" s="203" t="s">
        <v>539</v>
      </c>
      <c r="B25" s="203" t="s">
        <v>540</v>
      </c>
      <c r="C25" s="203" t="s">
        <v>541</v>
      </c>
      <c r="D25" s="203" t="s">
        <v>542</v>
      </c>
      <c r="E25" s="203" t="s">
        <v>543</v>
      </c>
      <c r="F25" s="203" t="s">
        <v>544</v>
      </c>
      <c r="G25" s="203" t="s">
        <v>545</v>
      </c>
      <c r="H25" s="203" t="s">
        <v>546</v>
      </c>
      <c r="I25" s="203" t="s">
        <v>547</v>
      </c>
      <c r="J25" s="201"/>
    </row>
    <row r="26" spans="1:10" ht="15.75">
      <c r="A26" s="204">
        <v>2013</v>
      </c>
      <c r="B26" s="205">
        <v>0</v>
      </c>
      <c r="C26" s="205">
        <v>34623693</v>
      </c>
      <c r="D26" s="204"/>
      <c r="E26" s="204"/>
      <c r="F26" s="204"/>
      <c r="G26" s="204" t="s">
        <v>555</v>
      </c>
      <c r="H26" s="205">
        <v>0</v>
      </c>
      <c r="I26" s="206"/>
      <c r="J26" s="201"/>
    </row>
    <row r="27" spans="1:10" ht="78.75">
      <c r="A27" s="204">
        <v>2013</v>
      </c>
      <c r="B27" s="205">
        <v>0</v>
      </c>
      <c r="C27" s="205">
        <v>18072000</v>
      </c>
      <c r="D27" s="204" t="s">
        <v>572</v>
      </c>
      <c r="E27" s="204" t="s">
        <v>573</v>
      </c>
      <c r="F27" s="204">
        <v>36</v>
      </c>
      <c r="G27" s="204" t="s">
        <v>574</v>
      </c>
      <c r="H27" s="205">
        <v>18072000</v>
      </c>
      <c r="I27" s="206" t="s">
        <v>575</v>
      </c>
      <c r="J27" s="218" t="s">
        <v>649</v>
      </c>
    </row>
    <row r="28" spans="1:10" ht="94.5">
      <c r="A28" s="204">
        <v>2013</v>
      </c>
      <c r="B28" s="205">
        <v>0</v>
      </c>
      <c r="C28" s="205">
        <v>22440404</v>
      </c>
      <c r="D28" s="208">
        <v>41479</v>
      </c>
      <c r="E28" s="204" t="s">
        <v>573</v>
      </c>
      <c r="F28" s="204">
        <v>19</v>
      </c>
      <c r="G28" s="204" t="s">
        <v>576</v>
      </c>
      <c r="H28" s="205">
        <v>22440404</v>
      </c>
      <c r="I28" s="206" t="s">
        <v>577</v>
      </c>
      <c r="J28" s="218" t="s">
        <v>649</v>
      </c>
    </row>
    <row r="29" spans="1:10" ht="47.25">
      <c r="A29" s="204">
        <v>2013</v>
      </c>
      <c r="B29" s="205">
        <v>9236800</v>
      </c>
      <c r="C29" s="205">
        <v>18473600</v>
      </c>
      <c r="D29" s="208">
        <v>41479</v>
      </c>
      <c r="E29" s="204" t="s">
        <v>573</v>
      </c>
      <c r="F29" s="204">
        <v>20</v>
      </c>
      <c r="G29" s="204" t="s">
        <v>578</v>
      </c>
      <c r="H29" s="205">
        <v>18473600</v>
      </c>
      <c r="I29" s="206" t="s">
        <v>579</v>
      </c>
      <c r="J29" s="218" t="s">
        <v>648</v>
      </c>
    </row>
    <row r="30" spans="1:10" ht="94.5">
      <c r="A30" s="204">
        <v>2013</v>
      </c>
      <c r="B30" s="205">
        <v>1775574</v>
      </c>
      <c r="C30" s="205">
        <v>12429018</v>
      </c>
      <c r="D30" s="204" t="s">
        <v>580</v>
      </c>
      <c r="E30" s="204" t="s">
        <v>573</v>
      </c>
      <c r="F30" s="204">
        <v>21</v>
      </c>
      <c r="G30" s="204" t="s">
        <v>581</v>
      </c>
      <c r="H30" s="205">
        <v>12429018</v>
      </c>
      <c r="I30" s="206" t="s">
        <v>582</v>
      </c>
      <c r="J30" s="218" t="s">
        <v>649</v>
      </c>
    </row>
    <row r="31" spans="1:10" ht="94.5">
      <c r="A31" s="204">
        <v>2013</v>
      </c>
      <c r="B31" s="205">
        <v>1775574</v>
      </c>
      <c r="C31" s="205">
        <v>12429018</v>
      </c>
      <c r="D31" s="204" t="s">
        <v>561</v>
      </c>
      <c r="E31" s="204" t="s">
        <v>573</v>
      </c>
      <c r="F31" s="204">
        <v>29</v>
      </c>
      <c r="G31" s="204" t="s">
        <v>583</v>
      </c>
      <c r="H31" s="205">
        <v>12429018</v>
      </c>
      <c r="I31" s="206" t="s">
        <v>584</v>
      </c>
      <c r="J31" s="218" t="s">
        <v>649</v>
      </c>
    </row>
    <row r="32" spans="1:10" ht="78.75">
      <c r="A32" s="204">
        <v>2013</v>
      </c>
      <c r="B32" s="205">
        <v>2911600</v>
      </c>
      <c r="C32" s="205">
        <v>20381200</v>
      </c>
      <c r="D32" s="208">
        <v>41474</v>
      </c>
      <c r="E32" s="204" t="s">
        <v>573</v>
      </c>
      <c r="F32" s="204">
        <v>17</v>
      </c>
      <c r="G32" s="204" t="s">
        <v>585</v>
      </c>
      <c r="H32" s="205">
        <v>20381200</v>
      </c>
      <c r="I32" s="206" t="s">
        <v>586</v>
      </c>
      <c r="J32" s="218" t="s">
        <v>648</v>
      </c>
    </row>
    <row r="33" spans="1:10" ht="94.5">
      <c r="A33" s="204">
        <v>2013</v>
      </c>
      <c r="B33" s="205">
        <v>0</v>
      </c>
      <c r="C33" s="205">
        <v>19176400</v>
      </c>
      <c r="D33" s="204" t="s">
        <v>566</v>
      </c>
      <c r="E33" s="204" t="s">
        <v>573</v>
      </c>
      <c r="F33" s="204">
        <v>30</v>
      </c>
      <c r="G33" s="204" t="s">
        <v>587</v>
      </c>
      <c r="H33" s="205">
        <v>19176400</v>
      </c>
      <c r="I33" s="206" t="s">
        <v>588</v>
      </c>
      <c r="J33" s="202" t="s">
        <v>649</v>
      </c>
    </row>
    <row r="34" spans="1:10" ht="78.75">
      <c r="A34" s="204">
        <v>2013</v>
      </c>
      <c r="B34" s="205">
        <v>0</v>
      </c>
      <c r="C34" s="205">
        <v>27610000</v>
      </c>
      <c r="D34" s="208">
        <v>41533</v>
      </c>
      <c r="E34" s="204" t="s">
        <v>573</v>
      </c>
      <c r="F34" s="204">
        <v>43</v>
      </c>
      <c r="G34" s="204" t="s">
        <v>589</v>
      </c>
      <c r="H34" s="205">
        <v>27610000</v>
      </c>
      <c r="I34" s="206" t="s">
        <v>590</v>
      </c>
      <c r="J34" s="202" t="s">
        <v>650</v>
      </c>
    </row>
    <row r="35" spans="1:10" ht="78.75">
      <c r="A35" s="204">
        <v>2013</v>
      </c>
      <c r="B35" s="205">
        <v>1775574</v>
      </c>
      <c r="C35" s="205">
        <v>12429018</v>
      </c>
      <c r="D35" s="204" t="s">
        <v>580</v>
      </c>
      <c r="E35" s="204" t="s">
        <v>573</v>
      </c>
      <c r="F35" s="204">
        <v>24</v>
      </c>
      <c r="G35" s="204" t="s">
        <v>591</v>
      </c>
      <c r="H35" s="205">
        <v>12429018</v>
      </c>
      <c r="I35" s="206" t="s">
        <v>592</v>
      </c>
      <c r="J35" s="202" t="s">
        <v>649</v>
      </c>
    </row>
    <row r="36" spans="1:10" ht="63">
      <c r="A36" s="204">
        <v>2013</v>
      </c>
      <c r="B36" s="205">
        <v>0</v>
      </c>
      <c r="C36" s="205">
        <v>15722640</v>
      </c>
      <c r="D36" s="208">
        <v>41533</v>
      </c>
      <c r="E36" s="204" t="s">
        <v>573</v>
      </c>
      <c r="F36" s="204">
        <v>42</v>
      </c>
      <c r="G36" s="204" t="s">
        <v>593</v>
      </c>
      <c r="H36" s="205">
        <v>15722640</v>
      </c>
      <c r="I36" s="206" t="s">
        <v>594</v>
      </c>
      <c r="J36" s="202" t="s">
        <v>648</v>
      </c>
    </row>
    <row r="37" spans="1:10" ht="94.5">
      <c r="A37" s="204">
        <v>2013</v>
      </c>
      <c r="B37" s="205">
        <v>1775574</v>
      </c>
      <c r="C37" s="205">
        <v>12429018</v>
      </c>
      <c r="D37" s="204" t="s">
        <v>580</v>
      </c>
      <c r="E37" s="204" t="s">
        <v>573</v>
      </c>
      <c r="F37" s="204">
        <v>25</v>
      </c>
      <c r="G37" s="204" t="s">
        <v>595</v>
      </c>
      <c r="H37" s="205">
        <v>12429018</v>
      </c>
      <c r="I37" s="206" t="s">
        <v>596</v>
      </c>
      <c r="J37" s="202" t="s">
        <v>649</v>
      </c>
    </row>
    <row r="38" spans="1:10" ht="94.5">
      <c r="A38" s="204">
        <v>2013</v>
      </c>
      <c r="B38" s="205">
        <v>3205772</v>
      </c>
      <c r="C38" s="205">
        <v>22440404</v>
      </c>
      <c r="D38" s="208">
        <v>41479</v>
      </c>
      <c r="E38" s="204" t="s">
        <v>573</v>
      </c>
      <c r="F38" s="204">
        <v>18</v>
      </c>
      <c r="G38" s="204" t="s">
        <v>597</v>
      </c>
      <c r="H38" s="205">
        <v>22440404</v>
      </c>
      <c r="I38" s="206" t="s">
        <v>598</v>
      </c>
      <c r="J38" s="202" t="s">
        <v>649</v>
      </c>
    </row>
    <row r="39" spans="1:10" ht="94.5">
      <c r="A39" s="204">
        <v>2013</v>
      </c>
      <c r="B39" s="205">
        <v>1775574</v>
      </c>
      <c r="C39" s="205">
        <v>12429018</v>
      </c>
      <c r="D39" s="204" t="s">
        <v>599</v>
      </c>
      <c r="E39" s="204" t="s">
        <v>573</v>
      </c>
      <c r="F39" s="204">
        <v>34</v>
      </c>
      <c r="G39" s="204" t="s">
        <v>600</v>
      </c>
      <c r="H39" s="205">
        <v>12429018</v>
      </c>
      <c r="I39" s="206" t="s">
        <v>601</v>
      </c>
      <c r="J39" s="202" t="s">
        <v>649</v>
      </c>
    </row>
    <row r="40" spans="1:10" ht="94.5">
      <c r="A40" s="204">
        <v>2013</v>
      </c>
      <c r="B40" s="205">
        <v>0</v>
      </c>
      <c r="C40" s="205">
        <v>10843200</v>
      </c>
      <c r="D40" s="204" t="s">
        <v>602</v>
      </c>
      <c r="E40" s="204" t="s">
        <v>573</v>
      </c>
      <c r="F40" s="204">
        <v>35</v>
      </c>
      <c r="G40" s="204" t="s">
        <v>603</v>
      </c>
      <c r="H40" s="205">
        <v>10843200</v>
      </c>
      <c r="I40" s="206" t="s">
        <v>604</v>
      </c>
      <c r="J40" s="202" t="s">
        <v>649</v>
      </c>
    </row>
    <row r="41" spans="1:10" ht="78.75">
      <c r="A41" s="204">
        <v>2013</v>
      </c>
      <c r="B41" s="205">
        <v>2986398</v>
      </c>
      <c r="C41" s="205">
        <v>20904786</v>
      </c>
      <c r="D41" s="204" t="s">
        <v>605</v>
      </c>
      <c r="E41" s="204" t="s">
        <v>573</v>
      </c>
      <c r="F41" s="204">
        <v>22</v>
      </c>
      <c r="G41" s="204" t="s">
        <v>606</v>
      </c>
      <c r="H41" s="205">
        <v>20904786</v>
      </c>
      <c r="I41" s="206" t="s">
        <v>607</v>
      </c>
      <c r="J41" s="202" t="s">
        <v>649</v>
      </c>
    </row>
    <row r="42" spans="1:10" ht="94.5">
      <c r="A42" s="204">
        <v>2013</v>
      </c>
      <c r="B42" s="205">
        <v>3514000</v>
      </c>
      <c r="C42" s="205">
        <v>24598000</v>
      </c>
      <c r="D42" s="204" t="s">
        <v>561</v>
      </c>
      <c r="E42" s="204" t="s">
        <v>573</v>
      </c>
      <c r="F42" s="204">
        <v>27</v>
      </c>
      <c r="G42" s="204" t="s">
        <v>608</v>
      </c>
      <c r="H42" s="205">
        <v>24598000</v>
      </c>
      <c r="I42" s="206" t="s">
        <v>609</v>
      </c>
      <c r="J42" s="202" t="s">
        <v>648</v>
      </c>
    </row>
    <row r="43" spans="1:10" ht="94.5">
      <c r="A43" s="204">
        <v>2013</v>
      </c>
      <c r="B43" s="205">
        <v>3514000</v>
      </c>
      <c r="C43" s="205">
        <v>24598000</v>
      </c>
      <c r="D43" s="204" t="s">
        <v>599</v>
      </c>
      <c r="E43" s="204" t="s">
        <v>573</v>
      </c>
      <c r="F43" s="204">
        <v>33</v>
      </c>
      <c r="G43" s="204" t="s">
        <v>610</v>
      </c>
      <c r="H43" s="205">
        <v>24598000</v>
      </c>
      <c r="I43" s="206" t="s">
        <v>611</v>
      </c>
      <c r="J43" s="202" t="s">
        <v>648</v>
      </c>
    </row>
    <row r="44" spans="1:10" ht="78.75">
      <c r="A44" s="204">
        <v>2013</v>
      </c>
      <c r="B44" s="205">
        <v>1775574</v>
      </c>
      <c r="C44" s="205">
        <v>12429018</v>
      </c>
      <c r="D44" s="204" t="s">
        <v>561</v>
      </c>
      <c r="E44" s="204" t="s">
        <v>573</v>
      </c>
      <c r="F44" s="204">
        <v>28</v>
      </c>
      <c r="G44" s="204" t="s">
        <v>612</v>
      </c>
      <c r="H44" s="205">
        <v>12429018</v>
      </c>
      <c r="I44" s="206" t="s">
        <v>613</v>
      </c>
      <c r="J44" s="202" t="s">
        <v>649</v>
      </c>
    </row>
    <row r="45" spans="1:10" ht="78.75">
      <c r="A45" s="204">
        <v>2013</v>
      </c>
      <c r="B45" s="205">
        <v>2986398</v>
      </c>
      <c r="C45" s="205">
        <v>20904786</v>
      </c>
      <c r="D45" s="204" t="s">
        <v>605</v>
      </c>
      <c r="E45" s="204" t="s">
        <v>573</v>
      </c>
      <c r="F45" s="204">
        <v>23</v>
      </c>
      <c r="G45" s="204" t="s">
        <v>614</v>
      </c>
      <c r="H45" s="205">
        <v>20904786</v>
      </c>
      <c r="I45" s="206" t="s">
        <v>615</v>
      </c>
      <c r="J45" s="202" t="s">
        <v>649</v>
      </c>
    </row>
    <row r="46" spans="1:10" ht="78.75">
      <c r="A46" s="204">
        <v>2013</v>
      </c>
      <c r="B46" s="205">
        <v>0</v>
      </c>
      <c r="C46" s="205">
        <v>19176400</v>
      </c>
      <c r="D46" s="204" t="s">
        <v>566</v>
      </c>
      <c r="E46" s="204" t="s">
        <v>573</v>
      </c>
      <c r="F46" s="204">
        <v>31</v>
      </c>
      <c r="G46" s="204" t="s">
        <v>616</v>
      </c>
      <c r="H46" s="205">
        <v>19176400</v>
      </c>
      <c r="I46" s="206" t="s">
        <v>617</v>
      </c>
      <c r="J46" s="202" t="s">
        <v>648</v>
      </c>
    </row>
    <row r="47" spans="1:10" ht="94.5">
      <c r="A47" s="204">
        <v>2013</v>
      </c>
      <c r="B47" s="205">
        <v>0</v>
      </c>
      <c r="C47" s="205">
        <v>19176400</v>
      </c>
      <c r="D47" s="204" t="s">
        <v>566</v>
      </c>
      <c r="E47" s="204" t="s">
        <v>573</v>
      </c>
      <c r="F47" s="204">
        <v>32</v>
      </c>
      <c r="G47" s="204" t="s">
        <v>618</v>
      </c>
      <c r="H47" s="205">
        <v>19176400</v>
      </c>
      <c r="I47" s="206" t="s">
        <v>619</v>
      </c>
      <c r="J47" s="202" t="s">
        <v>649</v>
      </c>
    </row>
    <row r="48" spans="1:10" ht="15.75">
      <c r="A48" s="664" t="s">
        <v>620</v>
      </c>
      <c r="B48" s="664"/>
      <c r="C48" s="664"/>
      <c r="D48" s="664"/>
      <c r="E48" s="664"/>
      <c r="F48" s="664"/>
      <c r="G48" s="664"/>
      <c r="H48" s="664"/>
      <c r="I48" s="207">
        <v>379092328</v>
      </c>
    </row>
    <row r="49" spans="1:10" ht="15.75">
      <c r="A49" s="666" t="s">
        <v>621</v>
      </c>
      <c r="B49" s="666"/>
      <c r="C49" s="666"/>
      <c r="D49" s="666"/>
      <c r="E49" s="666"/>
      <c r="F49" s="666"/>
      <c r="G49" s="666"/>
      <c r="H49" s="666"/>
      <c r="I49" s="666"/>
      <c r="J49" s="666"/>
    </row>
    <row r="50" spans="1:10" ht="47.25">
      <c r="A50" s="203" t="s">
        <v>539</v>
      </c>
      <c r="B50" s="203" t="s">
        <v>540</v>
      </c>
      <c r="C50" s="203" t="s">
        <v>541</v>
      </c>
      <c r="D50" s="203" t="s">
        <v>542</v>
      </c>
      <c r="E50" s="203" t="s">
        <v>543</v>
      </c>
      <c r="F50" s="203" t="s">
        <v>544</v>
      </c>
      <c r="G50" s="203" t="s">
        <v>545</v>
      </c>
      <c r="H50" s="203" t="s">
        <v>546</v>
      </c>
      <c r="I50" s="203" t="s">
        <v>547</v>
      </c>
      <c r="J50" s="201"/>
    </row>
    <row r="51" spans="1:10" ht="78.75">
      <c r="A51" s="204">
        <v>2013</v>
      </c>
      <c r="B51" s="205">
        <v>0</v>
      </c>
      <c r="C51" s="205">
        <v>285806</v>
      </c>
      <c r="D51" s="204" t="s">
        <v>622</v>
      </c>
      <c r="E51" s="204" t="s">
        <v>549</v>
      </c>
      <c r="F51" s="204" t="s">
        <v>623</v>
      </c>
      <c r="G51" s="204" t="s">
        <v>624</v>
      </c>
      <c r="H51" s="205">
        <v>285806</v>
      </c>
      <c r="I51" s="206" t="s">
        <v>625</v>
      </c>
      <c r="J51" s="218" t="s">
        <v>648</v>
      </c>
    </row>
    <row r="52" spans="1:10" ht="78.75">
      <c r="A52" s="204">
        <v>2013</v>
      </c>
      <c r="B52" s="205">
        <v>0</v>
      </c>
      <c r="C52" s="205">
        <v>45180000</v>
      </c>
      <c r="D52" s="204" t="s">
        <v>626</v>
      </c>
      <c r="E52" s="204" t="s">
        <v>558</v>
      </c>
      <c r="F52" s="204">
        <v>9</v>
      </c>
      <c r="G52" s="204" t="s">
        <v>627</v>
      </c>
      <c r="H52" s="205">
        <v>45180000</v>
      </c>
      <c r="I52" s="206" t="s">
        <v>628</v>
      </c>
      <c r="J52" s="218" t="s">
        <v>648</v>
      </c>
    </row>
    <row r="53" spans="1:10" ht="15.75">
      <c r="A53" s="664" t="s">
        <v>629</v>
      </c>
      <c r="B53" s="664"/>
      <c r="C53" s="664"/>
      <c r="D53" s="664"/>
      <c r="E53" s="664"/>
      <c r="F53" s="664"/>
      <c r="G53" s="664"/>
      <c r="H53" s="664"/>
      <c r="I53" s="207">
        <v>45465806</v>
      </c>
      <c r="J53" s="201"/>
    </row>
    <row r="54" spans="1:10" ht="15.75">
      <c r="A54" s="664" t="s">
        <v>630</v>
      </c>
      <c r="B54" s="664"/>
      <c r="C54" s="664"/>
      <c r="D54" s="664"/>
      <c r="E54" s="664"/>
      <c r="F54" s="664"/>
      <c r="G54" s="664"/>
      <c r="H54" s="664"/>
      <c r="I54" s="207">
        <v>455421094</v>
      </c>
      <c r="J54" s="201"/>
    </row>
    <row r="55" spans="1:10">
      <c r="H55" s="219">
        <f>SUBTOTAL(9,H27:H47)+H17</f>
        <v>382947688</v>
      </c>
    </row>
    <row r="56" spans="1:10" ht="15.75">
      <c r="A56" s="209" t="s">
        <v>631</v>
      </c>
      <c r="B56" s="201"/>
      <c r="C56" s="201"/>
      <c r="D56" s="201"/>
      <c r="E56" s="201"/>
      <c r="F56" s="201"/>
      <c r="G56" s="201"/>
      <c r="H56" s="201"/>
      <c r="I56" s="201"/>
      <c r="J56" s="201"/>
    </row>
    <row r="57" spans="1:10" ht="15.75">
      <c r="A57" s="209">
        <v>2013</v>
      </c>
      <c r="B57" s="201"/>
      <c r="C57" s="201"/>
      <c r="D57" s="201"/>
      <c r="E57" s="201"/>
      <c r="F57" s="201"/>
      <c r="G57" s="201"/>
      <c r="H57" s="201"/>
      <c r="I57" s="201"/>
      <c r="J57" s="201"/>
    </row>
    <row r="58" spans="1:10" ht="15.75">
      <c r="A58" s="210">
        <v>455421094</v>
      </c>
      <c r="B58" s="201"/>
      <c r="C58" s="201"/>
      <c r="D58" s="201"/>
      <c r="E58" s="201"/>
      <c r="F58" s="201"/>
      <c r="G58" s="201"/>
      <c r="H58" s="201"/>
      <c r="I58" s="201"/>
      <c r="J58" s="201"/>
    </row>
    <row r="59" spans="1:10" ht="15.75">
      <c r="A59" s="209" t="s">
        <v>9</v>
      </c>
      <c r="B59" s="201"/>
      <c r="C59" s="201"/>
      <c r="D59" s="201"/>
      <c r="E59" s="201"/>
      <c r="F59" s="201"/>
      <c r="G59" s="201"/>
      <c r="H59" s="201"/>
      <c r="I59" s="201"/>
      <c r="J59" s="201"/>
    </row>
    <row r="60" spans="1:10" ht="15.75">
      <c r="A60" s="210">
        <v>455421094</v>
      </c>
      <c r="B60" s="201"/>
      <c r="C60" s="201"/>
      <c r="D60" s="201"/>
      <c r="E60" s="201"/>
      <c r="F60" s="201"/>
      <c r="G60" s="201"/>
      <c r="H60" s="201"/>
      <c r="I60" s="201"/>
      <c r="J60" s="201"/>
    </row>
    <row r="61" spans="1:10" ht="15.75">
      <c r="A61" s="209" t="s">
        <v>632</v>
      </c>
      <c r="B61" s="201"/>
      <c r="C61" s="201"/>
      <c r="D61" s="201"/>
      <c r="E61" s="201"/>
      <c r="F61" s="201"/>
      <c r="G61" s="201"/>
      <c r="H61" s="201"/>
      <c r="I61" s="201"/>
      <c r="J61" s="201"/>
    </row>
    <row r="62" spans="1:10" ht="15.75">
      <c r="A62" s="209" t="s">
        <v>633</v>
      </c>
      <c r="B62" s="201"/>
      <c r="C62" s="201"/>
      <c r="D62" s="201"/>
      <c r="E62" s="201"/>
      <c r="F62" s="201"/>
      <c r="G62" s="201"/>
      <c r="H62" s="201"/>
      <c r="I62" s="201"/>
      <c r="J62" s="201"/>
    </row>
    <row r="63" spans="1:10" ht="15.75">
      <c r="A63" s="209" t="s">
        <v>634</v>
      </c>
      <c r="B63" s="201"/>
      <c r="C63" s="201"/>
      <c r="D63" s="201"/>
      <c r="E63" s="201"/>
      <c r="F63" s="201"/>
      <c r="G63" s="201"/>
      <c r="H63" s="201"/>
      <c r="I63" s="201"/>
      <c r="J63" s="201"/>
    </row>
    <row r="64" spans="1:10">
      <c r="H64" s="219"/>
    </row>
    <row r="65" spans="1:1" ht="15.75">
      <c r="A65" s="209" t="s">
        <v>635</v>
      </c>
    </row>
    <row r="66" spans="1:1" ht="15.75">
      <c r="A66" s="211" t="s">
        <v>636</v>
      </c>
    </row>
    <row r="67" spans="1:1" ht="15.75">
      <c r="A67" s="209" t="s">
        <v>637</v>
      </c>
    </row>
  </sheetData>
  <autoFilter ref="A8:J63"/>
  <mergeCells count="16">
    <mergeCell ref="A54:H54"/>
    <mergeCell ref="A2:I2"/>
    <mergeCell ref="A3:I3"/>
    <mergeCell ref="A4:I4"/>
    <mergeCell ref="A20:J20"/>
    <mergeCell ref="A23:H23"/>
    <mergeCell ref="A24:J24"/>
    <mergeCell ref="A48:H48"/>
    <mergeCell ref="A49:J49"/>
    <mergeCell ref="A53:H53"/>
    <mergeCell ref="A7:J7"/>
    <mergeCell ref="A10:H10"/>
    <mergeCell ref="A11:J11"/>
    <mergeCell ref="A14:H14"/>
    <mergeCell ref="A15:J15"/>
    <mergeCell ref="A19:H19"/>
  </mergeCells>
  <hyperlinks>
    <hyperlink ref="A66" r:id="rId1" display="mailto:webmaster@unal.edu.co"/>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topLeftCell="B1" workbookViewId="0">
      <selection activeCell="H17" sqref="H17"/>
    </sheetView>
  </sheetViews>
  <sheetFormatPr baseColWidth="10" defaultRowHeight="12.75"/>
  <cols>
    <col min="1" max="1" width="13.7109375" customWidth="1"/>
    <col min="3" max="3" width="17.140625" customWidth="1"/>
    <col min="7" max="7" width="16.28515625" customWidth="1"/>
    <col min="8" max="8" width="24" customWidth="1"/>
    <col min="9" max="9" width="45.140625" customWidth="1"/>
  </cols>
  <sheetData>
    <row r="1" spans="1:10">
      <c r="A1" s="668" t="s">
        <v>535</v>
      </c>
      <c r="B1" s="668"/>
      <c r="C1" s="668"/>
      <c r="D1" s="668"/>
      <c r="E1" s="668"/>
      <c r="F1" s="668"/>
      <c r="G1" s="668"/>
      <c r="H1" s="668"/>
      <c r="I1" s="668"/>
      <c r="J1" s="196"/>
    </row>
    <row r="2" spans="1:10">
      <c r="A2" s="668" t="s">
        <v>639</v>
      </c>
      <c r="B2" s="668"/>
      <c r="C2" s="668"/>
      <c r="D2" s="668"/>
      <c r="E2" s="668"/>
      <c r="F2" s="668"/>
      <c r="G2" s="668"/>
      <c r="H2" s="668"/>
      <c r="I2" s="668"/>
      <c r="J2" s="196"/>
    </row>
    <row r="3" spans="1:10">
      <c r="A3" s="668" t="s">
        <v>640</v>
      </c>
      <c r="B3" s="668"/>
      <c r="C3" s="668"/>
      <c r="D3" s="668"/>
      <c r="E3" s="668"/>
      <c r="F3" s="668"/>
      <c r="G3" s="668"/>
      <c r="H3" s="668"/>
      <c r="I3" s="668"/>
      <c r="J3" s="196"/>
    </row>
    <row r="4" spans="1:10">
      <c r="A4" s="196"/>
      <c r="B4" s="196"/>
      <c r="C4" s="196"/>
      <c r="D4" s="196"/>
      <c r="E4" s="196"/>
      <c r="F4" s="196"/>
      <c r="G4" s="196"/>
      <c r="H4" s="196"/>
      <c r="I4" s="196"/>
      <c r="J4" s="196"/>
    </row>
    <row r="5" spans="1:10">
      <c r="A5" s="669" t="s">
        <v>538</v>
      </c>
      <c r="B5" s="669"/>
      <c r="C5" s="669"/>
      <c r="D5" s="669"/>
      <c r="E5" s="669"/>
      <c r="F5" s="669"/>
      <c r="G5" s="669"/>
      <c r="H5" s="669"/>
      <c r="I5" s="669"/>
      <c r="J5" s="669"/>
    </row>
    <row r="6" spans="1:10" ht="25.5">
      <c r="A6" s="198" t="s">
        <v>539</v>
      </c>
      <c r="B6" s="198" t="s">
        <v>540</v>
      </c>
      <c r="C6" s="198" t="s">
        <v>541</v>
      </c>
      <c r="D6" s="198" t="s">
        <v>542</v>
      </c>
      <c r="E6" s="198" t="s">
        <v>543</v>
      </c>
      <c r="F6" s="198" t="s">
        <v>544</v>
      </c>
      <c r="G6" s="198" t="s">
        <v>545</v>
      </c>
      <c r="H6" s="198" t="s">
        <v>546</v>
      </c>
      <c r="I6" s="198" t="s">
        <v>547</v>
      </c>
      <c r="J6" s="196"/>
    </row>
    <row r="7" spans="1:10">
      <c r="A7" s="192">
        <v>2013</v>
      </c>
      <c r="B7" s="193">
        <v>0</v>
      </c>
      <c r="C7" s="193">
        <v>10200000</v>
      </c>
      <c r="D7" s="192"/>
      <c r="E7" s="192"/>
      <c r="F7" s="192"/>
      <c r="G7" s="192" t="s">
        <v>555</v>
      </c>
      <c r="H7" s="193">
        <v>0</v>
      </c>
      <c r="I7" s="195"/>
      <c r="J7" s="196"/>
    </row>
    <row r="8" spans="1:10">
      <c r="A8" s="192">
        <v>2013</v>
      </c>
      <c r="B8" s="193">
        <v>0</v>
      </c>
      <c r="C8" s="193">
        <v>10200000</v>
      </c>
      <c r="D8" s="192"/>
      <c r="E8" s="192"/>
      <c r="F8" s="192"/>
      <c r="G8" s="192" t="s">
        <v>555</v>
      </c>
      <c r="H8" s="193">
        <v>0</v>
      </c>
      <c r="I8" s="195"/>
      <c r="J8" s="196"/>
    </row>
    <row r="9" spans="1:10">
      <c r="A9" s="667" t="s">
        <v>553</v>
      </c>
      <c r="B9" s="667"/>
      <c r="C9" s="667"/>
      <c r="D9" s="667"/>
      <c r="E9" s="667"/>
      <c r="F9" s="667"/>
      <c r="G9" s="667"/>
      <c r="H9" s="667"/>
      <c r="I9" s="199">
        <v>0</v>
      </c>
      <c r="J9" s="196"/>
    </row>
    <row r="10" spans="1:10">
      <c r="A10" s="669" t="s">
        <v>565</v>
      </c>
      <c r="B10" s="669"/>
      <c r="C10" s="669"/>
      <c r="D10" s="669"/>
      <c r="E10" s="669"/>
      <c r="F10" s="669"/>
      <c r="G10" s="669"/>
      <c r="H10" s="669"/>
      <c r="I10" s="669"/>
      <c r="J10" s="669"/>
    </row>
    <row r="11" spans="1:10" ht="25.5">
      <c r="A11" s="198" t="s">
        <v>539</v>
      </c>
      <c r="B11" s="198" t="s">
        <v>540</v>
      </c>
      <c r="C11" s="198" t="s">
        <v>541</v>
      </c>
      <c r="D11" s="198" t="s">
        <v>542</v>
      </c>
      <c r="E11" s="198" t="s">
        <v>543</v>
      </c>
      <c r="F11" s="198" t="s">
        <v>544</v>
      </c>
      <c r="G11" s="198" t="s">
        <v>545</v>
      </c>
      <c r="H11" s="198" t="s">
        <v>546</v>
      </c>
      <c r="I11" s="198" t="s">
        <v>547</v>
      </c>
      <c r="J11" s="196"/>
    </row>
    <row r="12" spans="1:10">
      <c r="A12" s="192">
        <v>2013</v>
      </c>
      <c r="B12" s="193">
        <v>0</v>
      </c>
      <c r="C12" s="193">
        <v>596376000</v>
      </c>
      <c r="D12" s="192"/>
      <c r="E12" s="192"/>
      <c r="F12" s="192"/>
      <c r="G12" s="192" t="s">
        <v>555</v>
      </c>
      <c r="H12" s="193">
        <v>0</v>
      </c>
      <c r="I12" s="195"/>
      <c r="J12" s="196"/>
    </row>
    <row r="13" spans="1:10">
      <c r="A13" s="192">
        <v>2013</v>
      </c>
      <c r="B13" s="193">
        <v>0</v>
      </c>
      <c r="C13" s="193">
        <v>7600160</v>
      </c>
      <c r="D13" s="192"/>
      <c r="E13" s="192"/>
      <c r="F13" s="192"/>
      <c r="G13" s="192" t="s">
        <v>555</v>
      </c>
      <c r="H13" s="193">
        <v>0</v>
      </c>
      <c r="I13" s="195"/>
      <c r="J13" s="196"/>
    </row>
    <row r="14" spans="1:10">
      <c r="A14" s="667" t="s">
        <v>570</v>
      </c>
      <c r="B14" s="667"/>
      <c r="C14" s="667"/>
      <c r="D14" s="667"/>
      <c r="E14" s="667"/>
      <c r="F14" s="667"/>
      <c r="G14" s="667"/>
      <c r="H14" s="667"/>
      <c r="I14" s="199">
        <v>0</v>
      </c>
      <c r="J14" s="196"/>
    </row>
    <row r="15" spans="1:10">
      <c r="A15" s="669" t="s">
        <v>621</v>
      </c>
      <c r="B15" s="669"/>
      <c r="C15" s="669"/>
      <c r="D15" s="669"/>
      <c r="E15" s="669"/>
      <c r="F15" s="669"/>
      <c r="G15" s="669"/>
      <c r="H15" s="669"/>
      <c r="I15" s="669"/>
      <c r="J15" s="669"/>
    </row>
    <row r="16" spans="1:10" ht="25.5">
      <c r="A16" s="198" t="s">
        <v>539</v>
      </c>
      <c r="B16" s="198" t="s">
        <v>540</v>
      </c>
      <c r="C16" s="198" t="s">
        <v>541</v>
      </c>
      <c r="D16" s="198" t="s">
        <v>542</v>
      </c>
      <c r="E16" s="198" t="s">
        <v>543</v>
      </c>
      <c r="F16" s="198" t="s">
        <v>544</v>
      </c>
      <c r="G16" s="198" t="s">
        <v>545</v>
      </c>
      <c r="H16" s="198" t="s">
        <v>546</v>
      </c>
      <c r="I16" s="198" t="s">
        <v>547</v>
      </c>
      <c r="J16" s="196"/>
    </row>
    <row r="17" spans="1:10" ht="76.5">
      <c r="A17" s="192">
        <v>2013</v>
      </c>
      <c r="B17" s="193">
        <v>256900</v>
      </c>
      <c r="C17" s="193">
        <v>256900</v>
      </c>
      <c r="D17" s="194">
        <v>41474</v>
      </c>
      <c r="E17" s="192" t="s">
        <v>549</v>
      </c>
      <c r="F17" s="192" t="s">
        <v>641</v>
      </c>
      <c r="G17" s="192" t="s">
        <v>642</v>
      </c>
      <c r="H17" s="193">
        <v>256900</v>
      </c>
      <c r="I17" s="195" t="s">
        <v>643</v>
      </c>
      <c r="J17" s="196"/>
    </row>
    <row r="18" spans="1:10" ht="76.5">
      <c r="A18" s="192">
        <v>2013</v>
      </c>
      <c r="B18" s="193">
        <v>15832508</v>
      </c>
      <c r="C18" s="193">
        <v>18000000</v>
      </c>
      <c r="D18" s="194">
        <v>41442</v>
      </c>
      <c r="E18" s="192" t="s">
        <v>558</v>
      </c>
      <c r="F18" s="192">
        <v>4</v>
      </c>
      <c r="G18" s="192" t="s">
        <v>644</v>
      </c>
      <c r="H18" s="193">
        <v>18000000</v>
      </c>
      <c r="I18" s="195" t="s">
        <v>645</v>
      </c>
      <c r="J18" s="196"/>
    </row>
    <row r="19" spans="1:10" ht="76.5">
      <c r="A19" s="192">
        <v>2013</v>
      </c>
      <c r="B19" s="193">
        <v>0</v>
      </c>
      <c r="C19" s="193">
        <v>9931603</v>
      </c>
      <c r="D19" s="194">
        <v>41460</v>
      </c>
      <c r="E19" s="192" t="s">
        <v>573</v>
      </c>
      <c r="F19" s="192">
        <v>16</v>
      </c>
      <c r="G19" s="192" t="s">
        <v>646</v>
      </c>
      <c r="H19" s="193">
        <v>9931603</v>
      </c>
      <c r="I19" s="195" t="s">
        <v>647</v>
      </c>
      <c r="J19" s="196"/>
    </row>
    <row r="20" spans="1:10">
      <c r="A20" s="667" t="s">
        <v>629</v>
      </c>
      <c r="B20" s="667"/>
      <c r="C20" s="667"/>
      <c r="D20" s="667"/>
      <c r="E20" s="667"/>
      <c r="F20" s="667"/>
      <c r="G20" s="667"/>
      <c r="H20" s="667"/>
      <c r="I20" s="199">
        <v>28188503</v>
      </c>
      <c r="J20" s="196"/>
    </row>
    <row r="21" spans="1:10">
      <c r="A21" s="667" t="s">
        <v>630</v>
      </c>
      <c r="B21" s="667"/>
      <c r="C21" s="667"/>
      <c r="D21" s="667"/>
      <c r="E21" s="667"/>
      <c r="F21" s="667"/>
      <c r="G21" s="667"/>
      <c r="H21" s="667"/>
      <c r="I21" s="199">
        <v>28188503</v>
      </c>
      <c r="J21" s="196"/>
    </row>
    <row r="22" spans="1:10">
      <c r="A22" s="196"/>
      <c r="B22" s="196"/>
      <c r="C22" s="196"/>
      <c r="D22" s="196"/>
      <c r="E22" s="196"/>
      <c r="F22" s="196"/>
      <c r="G22" s="196"/>
      <c r="H22" s="196"/>
      <c r="I22" s="196"/>
      <c r="J22" s="196"/>
    </row>
    <row r="23" spans="1:10">
      <c r="A23" s="196" t="s">
        <v>631</v>
      </c>
      <c r="B23" s="196"/>
      <c r="C23" s="196"/>
      <c r="D23" s="196"/>
      <c r="E23" s="196"/>
      <c r="F23" s="196"/>
      <c r="G23" s="196"/>
      <c r="H23" s="196"/>
      <c r="I23" s="196"/>
      <c r="J23" s="196"/>
    </row>
    <row r="24" spans="1:10">
      <c r="A24" s="196">
        <v>2013</v>
      </c>
      <c r="B24" s="196"/>
      <c r="C24" s="196"/>
      <c r="D24" s="196"/>
      <c r="E24" s="196"/>
      <c r="F24" s="196"/>
      <c r="G24" s="196"/>
      <c r="H24" s="196"/>
      <c r="I24" s="196"/>
      <c r="J24" s="196"/>
    </row>
    <row r="25" spans="1:10">
      <c r="A25" s="197">
        <v>28188503</v>
      </c>
      <c r="B25" s="196"/>
      <c r="C25" s="196"/>
      <c r="D25" s="196"/>
      <c r="E25" s="196"/>
      <c r="F25" s="196"/>
      <c r="G25" s="196"/>
      <c r="H25" s="196"/>
      <c r="I25" s="196"/>
      <c r="J25" s="196"/>
    </row>
    <row r="26" spans="1:10">
      <c r="A26" s="196" t="s">
        <v>9</v>
      </c>
      <c r="B26" s="196"/>
      <c r="C26" s="196"/>
      <c r="D26" s="196"/>
      <c r="E26" s="196"/>
      <c r="F26" s="196"/>
      <c r="G26" s="196"/>
      <c r="H26" s="196"/>
      <c r="I26" s="196"/>
      <c r="J26" s="196"/>
    </row>
    <row r="27" spans="1:10">
      <c r="A27" s="197">
        <v>28188503</v>
      </c>
      <c r="B27" s="196"/>
      <c r="C27" s="196"/>
      <c r="D27" s="196"/>
      <c r="E27" s="196"/>
      <c r="F27" s="196"/>
      <c r="G27" s="196"/>
      <c r="H27" s="196"/>
      <c r="I27" s="196"/>
      <c r="J27" s="196"/>
    </row>
  </sheetData>
  <mergeCells count="10">
    <mergeCell ref="A21:H21"/>
    <mergeCell ref="A1:I1"/>
    <mergeCell ref="A2:I2"/>
    <mergeCell ref="A3:I3"/>
    <mergeCell ref="A5:J5"/>
    <mergeCell ref="A9:H9"/>
    <mergeCell ref="A10:J10"/>
    <mergeCell ref="A14:H14"/>
    <mergeCell ref="A15:J15"/>
    <mergeCell ref="A20:H2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24"/>
  <sheetViews>
    <sheetView tabSelected="1" workbookViewId="0">
      <selection activeCell="E18" sqref="E18"/>
    </sheetView>
  </sheetViews>
  <sheetFormatPr baseColWidth="10" defaultRowHeight="12.75"/>
  <cols>
    <col min="1" max="1" width="37.140625" customWidth="1"/>
    <col min="2" max="3" width="30.28515625" customWidth="1"/>
    <col min="4" max="4" width="33.7109375" customWidth="1"/>
    <col min="5" max="5" width="32" customWidth="1"/>
    <col min="6" max="6" width="31.140625" customWidth="1"/>
  </cols>
  <sheetData>
    <row r="3" spans="1:9" s="7" customFormat="1" ht="11.1" customHeight="1">
      <c r="A3" s="494" t="s">
        <v>664</v>
      </c>
      <c r="B3" s="494" t="s">
        <v>1</v>
      </c>
      <c r="C3" s="494"/>
      <c r="D3" s="494"/>
      <c r="E3" s="494"/>
      <c r="F3" s="494"/>
      <c r="G3" s="164"/>
      <c r="H3" s="164"/>
      <c r="I3" s="164"/>
    </row>
    <row r="4" spans="1:9" s="7" customFormat="1" ht="11.1" customHeight="1">
      <c r="A4" s="494"/>
      <c r="B4" s="494"/>
      <c r="C4" s="494"/>
      <c r="D4" s="494"/>
      <c r="E4" s="494"/>
      <c r="F4" s="494"/>
      <c r="G4" s="164"/>
      <c r="H4" s="164"/>
      <c r="I4" s="164"/>
    </row>
    <row r="5" spans="1:9" s="7" customFormat="1" ht="44.1" customHeight="1">
      <c r="A5" s="494"/>
      <c r="B5" s="308" t="s">
        <v>665</v>
      </c>
      <c r="C5" s="308"/>
      <c r="D5" s="308" t="s">
        <v>674</v>
      </c>
      <c r="E5" s="308" t="s">
        <v>673</v>
      </c>
      <c r="F5" s="308" t="s">
        <v>675</v>
      </c>
      <c r="G5" s="164"/>
      <c r="H5" s="164"/>
      <c r="I5" s="164"/>
    </row>
    <row r="6" spans="1:9" ht="112.5" customHeight="1">
      <c r="A6" s="675" t="s">
        <v>232</v>
      </c>
      <c r="B6" s="681" t="s">
        <v>233</v>
      </c>
      <c r="C6" s="681" t="s">
        <v>713</v>
      </c>
      <c r="D6" s="682" t="s">
        <v>690</v>
      </c>
      <c r="E6" s="682" t="s">
        <v>704</v>
      </c>
      <c r="F6" s="688"/>
    </row>
    <row r="7" spans="1:9" ht="84" customHeight="1">
      <c r="A7" s="680"/>
      <c r="B7" s="681"/>
      <c r="C7" s="681"/>
      <c r="D7" s="682" t="s">
        <v>705</v>
      </c>
      <c r="E7" s="682" t="s">
        <v>715</v>
      </c>
      <c r="F7" s="688"/>
    </row>
    <row r="8" spans="1:9" ht="58.5" customHeight="1">
      <c r="A8" s="680"/>
      <c r="B8" s="681"/>
      <c r="C8" s="681"/>
      <c r="D8" s="688"/>
      <c r="E8" s="682" t="s">
        <v>707</v>
      </c>
      <c r="F8" s="682" t="s">
        <v>706</v>
      </c>
    </row>
    <row r="9" spans="1:9" ht="103.5" customHeight="1">
      <c r="A9" s="680"/>
      <c r="B9" s="681"/>
      <c r="C9" s="681"/>
      <c r="D9" s="682" t="s">
        <v>708</v>
      </c>
      <c r="E9" s="682" t="s">
        <v>716</v>
      </c>
      <c r="F9" s="682"/>
    </row>
    <row r="10" spans="1:9" ht="106.5" customHeight="1">
      <c r="A10" s="680"/>
      <c r="B10" s="681"/>
      <c r="C10" s="681"/>
      <c r="D10" s="688"/>
      <c r="E10" s="682" t="s">
        <v>681</v>
      </c>
      <c r="F10" s="682" t="s">
        <v>709</v>
      </c>
    </row>
    <row r="11" spans="1:9" ht="104.25" customHeight="1">
      <c r="A11" s="680"/>
      <c r="B11" s="681"/>
      <c r="C11" s="681"/>
      <c r="D11" s="685" t="s">
        <v>717</v>
      </c>
      <c r="E11" s="682" t="s">
        <v>718</v>
      </c>
      <c r="F11" s="688"/>
    </row>
    <row r="12" spans="1:9" ht="76.5">
      <c r="A12" s="680"/>
      <c r="B12" s="681"/>
      <c r="C12" s="681"/>
      <c r="D12" s="686"/>
      <c r="E12" s="682" t="s">
        <v>711</v>
      </c>
      <c r="F12" s="682" t="s">
        <v>712</v>
      </c>
    </row>
    <row r="13" spans="1:9" ht="59.25" customHeight="1">
      <c r="A13" s="680"/>
      <c r="B13" s="681"/>
      <c r="C13" s="681"/>
      <c r="D13" s="687"/>
      <c r="E13" s="682" t="s">
        <v>732</v>
      </c>
      <c r="F13" s="682"/>
    </row>
    <row r="14" spans="1:9" ht="114" customHeight="1">
      <c r="A14" s="680"/>
      <c r="B14" s="681"/>
      <c r="C14" s="681"/>
      <c r="D14" s="688"/>
      <c r="E14" s="682" t="s">
        <v>710</v>
      </c>
      <c r="F14" s="688"/>
    </row>
    <row r="15" spans="1:9" ht="88.5" customHeight="1">
      <c r="A15" s="680"/>
      <c r="B15" s="681" t="s">
        <v>685</v>
      </c>
      <c r="C15" s="681"/>
      <c r="D15" s="688"/>
      <c r="E15" s="682" t="s">
        <v>719</v>
      </c>
      <c r="F15" s="682" t="s">
        <v>720</v>
      </c>
    </row>
    <row r="16" spans="1:9" ht="79.5" customHeight="1">
      <c r="A16" s="680"/>
      <c r="B16" s="681"/>
      <c r="C16" s="681"/>
      <c r="D16" s="688"/>
      <c r="E16" s="682" t="s">
        <v>721</v>
      </c>
      <c r="F16" s="682"/>
    </row>
    <row r="17" spans="1:6" ht="96.75" customHeight="1">
      <c r="A17" s="680"/>
      <c r="B17" s="681" t="s">
        <v>457</v>
      </c>
      <c r="C17" s="681"/>
      <c r="D17" s="682" t="s">
        <v>723</v>
      </c>
      <c r="E17" s="682" t="s">
        <v>722</v>
      </c>
      <c r="F17" s="688"/>
    </row>
    <row r="18" spans="1:6" ht="84" customHeight="1">
      <c r="A18" s="680"/>
      <c r="B18" s="684"/>
      <c r="C18" s="681"/>
      <c r="D18" s="682" t="s">
        <v>724</v>
      </c>
      <c r="E18" s="682" t="s">
        <v>725</v>
      </c>
      <c r="F18" s="688"/>
    </row>
    <row r="19" spans="1:6" ht="84" customHeight="1">
      <c r="A19" s="680"/>
      <c r="B19" s="684"/>
      <c r="C19" s="681"/>
      <c r="D19" s="688"/>
      <c r="E19" s="682" t="s">
        <v>688</v>
      </c>
      <c r="F19" s="682" t="s">
        <v>689</v>
      </c>
    </row>
    <row r="20" spans="1:6" ht="84.75" customHeight="1">
      <c r="A20" s="680"/>
      <c r="B20" s="684"/>
      <c r="C20" s="681"/>
      <c r="D20" s="688"/>
      <c r="E20" s="682" t="s">
        <v>691</v>
      </c>
      <c r="F20" s="688"/>
    </row>
    <row r="21" spans="1:6" ht="82.5" customHeight="1">
      <c r="A21" s="680"/>
      <c r="B21" s="681" t="s">
        <v>458</v>
      </c>
      <c r="C21" s="681"/>
      <c r="D21" s="682" t="s">
        <v>695</v>
      </c>
      <c r="E21" s="682" t="s">
        <v>696</v>
      </c>
      <c r="F21" s="682"/>
    </row>
    <row r="22" spans="1:6" ht="75.75" customHeight="1">
      <c r="A22" s="680"/>
      <c r="B22" s="681"/>
      <c r="C22" s="681"/>
      <c r="D22" s="682" t="s">
        <v>697</v>
      </c>
      <c r="E22" s="682" t="s">
        <v>698</v>
      </c>
      <c r="F22" s="682"/>
    </row>
    <row r="23" spans="1:6" ht="128.25" customHeight="1">
      <c r="A23" s="680"/>
      <c r="B23" s="681" t="s">
        <v>726</v>
      </c>
      <c r="C23" s="681"/>
      <c r="D23" s="682" t="s">
        <v>714</v>
      </c>
      <c r="E23" s="689" t="s">
        <v>727</v>
      </c>
      <c r="F23" s="682" t="s">
        <v>728</v>
      </c>
    </row>
    <row r="24" spans="1:6" ht="78.75" customHeight="1">
      <c r="A24" s="680"/>
      <c r="B24" s="681"/>
      <c r="C24" s="683"/>
      <c r="D24" s="682" t="s">
        <v>731</v>
      </c>
      <c r="E24" s="682" t="s">
        <v>729</v>
      </c>
      <c r="F24" s="682" t="s">
        <v>730</v>
      </c>
    </row>
  </sheetData>
  <mergeCells count="10">
    <mergeCell ref="B17:B20"/>
    <mergeCell ref="B21:B22"/>
    <mergeCell ref="C6:C23"/>
    <mergeCell ref="B23:B24"/>
    <mergeCell ref="A6:A24"/>
    <mergeCell ref="D11:D13"/>
    <mergeCell ref="B15:B16"/>
    <mergeCell ref="B6:B14"/>
    <mergeCell ref="A3:A5"/>
    <mergeCell ref="B3:F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4"/>
  <sheetViews>
    <sheetView zoomScale="80" zoomScaleNormal="80" workbookViewId="0">
      <pane xSplit="2" ySplit="8" topLeftCell="I9" activePane="bottomRight" state="frozen"/>
      <selection activeCell="B1" sqref="B1"/>
      <selection pane="topRight" activeCell="E1" sqref="E1"/>
      <selection pane="bottomLeft" activeCell="B9" sqref="B9"/>
      <selection pane="bottomRight" activeCell="L10" sqref="L10"/>
    </sheetView>
  </sheetViews>
  <sheetFormatPr baseColWidth="10" defaultColWidth="10.85546875" defaultRowHeight="12"/>
  <cols>
    <col min="1" max="1" width="30.5703125" style="9" customWidth="1"/>
    <col min="2" max="2" width="14.85546875" style="9" customWidth="1"/>
    <col min="3" max="5" width="15.42578125" style="301" customWidth="1"/>
    <col min="6" max="6" width="14.85546875" style="36" customWidth="1"/>
    <col min="7" max="7" width="11.28515625" style="143" customWidth="1"/>
    <col min="8" max="9" width="19.140625" style="245" customWidth="1"/>
    <col min="10" max="10" width="26.5703125" style="245" customWidth="1"/>
    <col min="11" max="11" width="47.5703125" style="1" customWidth="1"/>
    <col min="12" max="12" width="148.42578125" style="306" customWidth="1"/>
    <col min="13" max="13" width="14.85546875" style="1" customWidth="1"/>
    <col min="14" max="14" width="15.7109375" style="1" customWidth="1"/>
    <col min="15" max="16384" width="10.85546875" style="1"/>
  </cols>
  <sheetData>
    <row r="1" spans="1:17">
      <c r="A1" s="567" t="s">
        <v>6</v>
      </c>
      <c r="B1" s="567"/>
      <c r="C1" s="567"/>
      <c r="D1" s="567"/>
      <c r="E1" s="567"/>
      <c r="F1" s="567"/>
      <c r="G1" s="567"/>
      <c r="H1" s="567"/>
      <c r="I1" s="567"/>
      <c r="J1" s="567"/>
      <c r="K1" s="567"/>
      <c r="L1" s="567"/>
      <c r="M1" s="567"/>
      <c r="N1" s="567"/>
    </row>
    <row r="2" spans="1:17">
      <c r="A2" s="567" t="s">
        <v>21</v>
      </c>
      <c r="B2" s="567"/>
      <c r="C2" s="567"/>
      <c r="D2" s="567"/>
      <c r="E2" s="567"/>
      <c r="F2" s="567"/>
      <c r="G2" s="567"/>
      <c r="H2" s="567"/>
      <c r="I2" s="567"/>
      <c r="J2" s="567"/>
      <c r="K2" s="567"/>
      <c r="L2" s="567"/>
      <c r="M2" s="567"/>
      <c r="N2" s="567"/>
    </row>
    <row r="3" spans="1:17">
      <c r="A3" s="567" t="s">
        <v>22</v>
      </c>
      <c r="B3" s="567"/>
      <c r="C3" s="567"/>
      <c r="D3" s="567"/>
      <c r="E3" s="567"/>
      <c r="F3" s="567"/>
      <c r="G3" s="567"/>
      <c r="H3" s="567"/>
      <c r="I3" s="567"/>
      <c r="J3" s="567"/>
      <c r="K3" s="567"/>
      <c r="L3" s="567"/>
      <c r="M3" s="567"/>
      <c r="N3" s="567"/>
    </row>
    <row r="4" spans="1:17">
      <c r="A4" s="567" t="s">
        <v>77</v>
      </c>
      <c r="B4" s="567"/>
      <c r="C4" s="567"/>
      <c r="D4" s="567"/>
      <c r="E4" s="567"/>
      <c r="F4" s="567"/>
      <c r="G4" s="567"/>
      <c r="H4" s="567"/>
      <c r="I4" s="567"/>
      <c r="J4" s="567"/>
      <c r="K4" s="567"/>
      <c r="L4" s="567"/>
      <c r="M4" s="567"/>
      <c r="N4" s="567"/>
    </row>
    <row r="5" spans="1:17">
      <c r="A5" s="674" t="s">
        <v>78</v>
      </c>
      <c r="B5" s="674"/>
      <c r="C5" s="674"/>
      <c r="D5" s="674"/>
      <c r="E5" s="674"/>
      <c r="F5" s="674"/>
      <c r="G5" s="674"/>
      <c r="H5" s="674"/>
      <c r="I5" s="674"/>
      <c r="J5" s="674"/>
      <c r="K5" s="674"/>
      <c r="L5" s="674"/>
      <c r="M5" s="674"/>
      <c r="N5" s="674"/>
    </row>
    <row r="6" spans="1:17" s="7" customFormat="1" ht="11.1" customHeight="1">
      <c r="A6" s="494" t="s">
        <v>664</v>
      </c>
      <c r="B6" s="494" t="s">
        <v>1</v>
      </c>
      <c r="C6" s="494"/>
      <c r="D6" s="494"/>
      <c r="E6" s="494"/>
      <c r="F6" s="494" t="s">
        <v>20</v>
      </c>
      <c r="G6" s="494" t="s">
        <v>5</v>
      </c>
      <c r="H6" s="494" t="s">
        <v>669</v>
      </c>
      <c r="I6" s="494" t="s">
        <v>670</v>
      </c>
      <c r="J6" s="494" t="s">
        <v>666</v>
      </c>
      <c r="K6" s="670"/>
      <c r="L6" s="670"/>
      <c r="M6" s="670"/>
      <c r="N6" s="671"/>
      <c r="O6" s="164"/>
      <c r="P6" s="164"/>
      <c r="Q6" s="164"/>
    </row>
    <row r="7" spans="1:17" s="7" customFormat="1" ht="11.1" customHeight="1">
      <c r="A7" s="494"/>
      <c r="B7" s="494"/>
      <c r="C7" s="494"/>
      <c r="D7" s="494"/>
      <c r="E7" s="494"/>
      <c r="F7" s="494"/>
      <c r="G7" s="494"/>
      <c r="H7" s="494"/>
      <c r="I7" s="494"/>
      <c r="J7" s="494"/>
      <c r="K7" s="672"/>
      <c r="L7" s="672"/>
      <c r="M7" s="672"/>
      <c r="N7" s="673"/>
      <c r="O7" s="164"/>
      <c r="P7" s="164"/>
      <c r="Q7" s="164"/>
    </row>
    <row r="8" spans="1:17" s="7" customFormat="1" ht="44.1" customHeight="1">
      <c r="A8" s="494"/>
      <c r="B8" s="52" t="s">
        <v>665</v>
      </c>
      <c r="C8" s="52">
        <v>2013</v>
      </c>
      <c r="D8" s="52">
        <v>2014</v>
      </c>
      <c r="E8" s="52">
        <v>2015</v>
      </c>
      <c r="F8" s="494"/>
      <c r="G8" s="494"/>
      <c r="H8" s="494"/>
      <c r="I8" s="494"/>
      <c r="J8" s="494"/>
      <c r="K8" s="303" t="s">
        <v>671</v>
      </c>
      <c r="L8" s="304" t="s">
        <v>672</v>
      </c>
      <c r="M8" s="303" t="s">
        <v>667</v>
      </c>
      <c r="N8" s="303" t="s">
        <v>668</v>
      </c>
      <c r="O8" s="164"/>
      <c r="P8" s="164"/>
      <c r="Q8" s="164"/>
    </row>
    <row r="9" spans="1:17" s="4" customFormat="1" ht="375" customHeight="1">
      <c r="A9" s="550" t="s">
        <v>232</v>
      </c>
      <c r="B9" s="319" t="s">
        <v>233</v>
      </c>
      <c r="C9" s="309"/>
      <c r="D9" s="309"/>
      <c r="E9" s="309"/>
      <c r="F9" s="645" t="s">
        <v>154</v>
      </c>
      <c r="G9" s="319" t="s">
        <v>428</v>
      </c>
      <c r="H9" s="246" t="s">
        <v>234</v>
      </c>
      <c r="I9" s="246"/>
      <c r="J9" s="418" t="s">
        <v>703</v>
      </c>
      <c r="K9" s="5" t="s">
        <v>676</v>
      </c>
      <c r="L9" s="307" t="s">
        <v>677</v>
      </c>
      <c r="M9" s="5"/>
      <c r="N9" s="5"/>
    </row>
    <row r="10" spans="1:17" s="4" customFormat="1" ht="249.75" customHeight="1">
      <c r="A10" s="550"/>
      <c r="B10" s="319"/>
      <c r="C10" s="309"/>
      <c r="D10" s="309"/>
      <c r="E10" s="309"/>
      <c r="F10" s="645"/>
      <c r="G10" s="319"/>
      <c r="H10" s="262" t="s">
        <v>235</v>
      </c>
      <c r="I10" s="246"/>
      <c r="J10" s="419"/>
      <c r="K10" s="5" t="s">
        <v>680</v>
      </c>
      <c r="L10" s="307" t="s">
        <v>678</v>
      </c>
      <c r="M10" s="5"/>
      <c r="N10" s="5"/>
    </row>
    <row r="11" spans="1:17" s="4" customFormat="1" ht="386.25" customHeight="1">
      <c r="A11" s="550"/>
      <c r="B11" s="319"/>
      <c r="C11" s="309"/>
      <c r="D11" s="309"/>
      <c r="E11" s="309"/>
      <c r="F11" s="645"/>
      <c r="G11" s="319"/>
      <c r="H11" s="262" t="s">
        <v>236</v>
      </c>
      <c r="I11" s="246"/>
      <c r="J11" s="419"/>
      <c r="K11" s="5"/>
      <c r="L11" s="307" t="s">
        <v>679</v>
      </c>
      <c r="M11" s="5"/>
      <c r="N11" s="5"/>
    </row>
    <row r="12" spans="1:17" s="4" customFormat="1" ht="231.75" customHeight="1">
      <c r="A12" s="550"/>
      <c r="B12" s="319"/>
      <c r="C12" s="309"/>
      <c r="D12" s="309"/>
      <c r="E12" s="309"/>
      <c r="F12" s="645"/>
      <c r="G12" s="319"/>
      <c r="H12" s="246"/>
      <c r="I12" s="246" t="s">
        <v>237</v>
      </c>
      <c r="J12" s="419"/>
      <c r="K12" s="5"/>
      <c r="L12" s="307" t="s">
        <v>682</v>
      </c>
      <c r="M12" s="5"/>
      <c r="N12" s="5"/>
    </row>
    <row r="13" spans="1:17" s="4" customFormat="1" ht="134.25" customHeight="1">
      <c r="A13" s="550"/>
      <c r="B13" s="319"/>
      <c r="C13" s="309"/>
      <c r="D13" s="309"/>
      <c r="E13" s="309"/>
      <c r="F13" s="645"/>
      <c r="G13" s="319"/>
      <c r="H13" s="5"/>
      <c r="I13" s="246" t="s">
        <v>238</v>
      </c>
      <c r="J13" s="419"/>
      <c r="K13" s="5"/>
      <c r="L13" s="307" t="s">
        <v>683</v>
      </c>
      <c r="M13" s="5"/>
      <c r="N13" s="5"/>
    </row>
    <row r="14" spans="1:17" s="4" customFormat="1" ht="162.75" customHeight="1">
      <c r="A14" s="550"/>
      <c r="B14" s="319"/>
      <c r="C14" s="309"/>
      <c r="D14" s="309"/>
      <c r="E14" s="309"/>
      <c r="F14" s="645"/>
      <c r="G14" s="319"/>
      <c r="H14" s="246" t="s">
        <v>239</v>
      </c>
      <c r="I14" s="246"/>
      <c r="J14" s="419"/>
      <c r="K14" s="5"/>
      <c r="L14" s="307" t="s">
        <v>684</v>
      </c>
      <c r="M14" s="5"/>
      <c r="N14" s="5"/>
    </row>
    <row r="15" spans="1:17" s="4" customFormat="1" ht="243" customHeight="1">
      <c r="A15" s="550"/>
      <c r="B15" s="319" t="s">
        <v>457</v>
      </c>
      <c r="C15" s="309"/>
      <c r="D15" s="309"/>
      <c r="E15" s="309"/>
      <c r="F15" s="645" t="s">
        <v>27</v>
      </c>
      <c r="G15" s="319" t="s">
        <v>108</v>
      </c>
      <c r="H15" s="262" t="s">
        <v>455</v>
      </c>
      <c r="I15" s="246"/>
      <c r="J15" s="419"/>
      <c r="K15" s="5"/>
      <c r="L15" s="307" t="s">
        <v>686</v>
      </c>
      <c r="M15" s="5"/>
      <c r="N15" s="5"/>
    </row>
    <row r="16" spans="1:17" s="4" customFormat="1" ht="372">
      <c r="A16" s="550"/>
      <c r="B16" s="319"/>
      <c r="C16" s="309"/>
      <c r="D16" s="309"/>
      <c r="E16" s="309"/>
      <c r="F16" s="645"/>
      <c r="G16" s="319"/>
      <c r="H16" s="5"/>
      <c r="I16" s="246" t="s">
        <v>687</v>
      </c>
      <c r="J16" s="419"/>
      <c r="K16" s="5"/>
      <c r="L16" s="307" t="s">
        <v>692</v>
      </c>
      <c r="M16" s="5"/>
      <c r="N16" s="5"/>
    </row>
    <row r="17" spans="1:14" s="4" customFormat="1" ht="409.6" customHeight="1">
      <c r="A17" s="550"/>
      <c r="B17" s="319"/>
      <c r="C17" s="309"/>
      <c r="D17" s="309"/>
      <c r="E17" s="309"/>
      <c r="F17" s="645"/>
      <c r="G17" s="319"/>
      <c r="H17" s="5"/>
      <c r="I17" s="246" t="s">
        <v>454</v>
      </c>
      <c r="J17" s="419"/>
      <c r="K17" s="5"/>
      <c r="L17" s="307" t="s">
        <v>693</v>
      </c>
      <c r="M17" s="5"/>
      <c r="N17" s="5"/>
    </row>
    <row r="18" spans="1:14" s="4" customFormat="1" ht="98.25" customHeight="1">
      <c r="A18" s="550"/>
      <c r="B18" s="319" t="s">
        <v>458</v>
      </c>
      <c r="C18" s="309"/>
      <c r="D18" s="309"/>
      <c r="E18" s="309"/>
      <c r="F18" s="645" t="s">
        <v>27</v>
      </c>
      <c r="G18" s="319" t="s">
        <v>109</v>
      </c>
      <c r="H18" s="246" t="s">
        <v>456</v>
      </c>
      <c r="I18" s="246"/>
      <c r="J18" s="419"/>
      <c r="K18" s="5"/>
      <c r="L18" s="307" t="s">
        <v>694</v>
      </c>
      <c r="M18" s="5"/>
      <c r="N18" s="5"/>
    </row>
    <row r="19" spans="1:14" s="4" customFormat="1" ht="123.75" customHeight="1">
      <c r="A19" s="550"/>
      <c r="B19" s="319"/>
      <c r="C19" s="309"/>
      <c r="D19" s="309"/>
      <c r="E19" s="309"/>
      <c r="F19" s="645"/>
      <c r="G19" s="319"/>
      <c r="H19" s="246" t="s">
        <v>241</v>
      </c>
      <c r="I19" s="246" t="s">
        <v>241</v>
      </c>
      <c r="J19" s="419"/>
      <c r="K19" s="5"/>
      <c r="L19" s="307" t="s">
        <v>699</v>
      </c>
      <c r="M19" s="5"/>
      <c r="N19" s="5"/>
    </row>
    <row r="20" spans="1:14" s="4" customFormat="1" ht="379.5" customHeight="1">
      <c r="A20" s="550"/>
      <c r="B20" s="319" t="s">
        <v>700</v>
      </c>
      <c r="C20" s="309"/>
      <c r="D20" s="309"/>
      <c r="E20" s="309"/>
      <c r="F20" s="645" t="s">
        <v>27</v>
      </c>
      <c r="G20" s="319" t="s">
        <v>109</v>
      </c>
      <c r="H20" s="262" t="s">
        <v>242</v>
      </c>
      <c r="I20" s="262"/>
      <c r="J20" s="419"/>
      <c r="K20" s="5"/>
      <c r="L20" s="307" t="s">
        <v>702</v>
      </c>
      <c r="M20" s="5"/>
      <c r="N20" s="5"/>
    </row>
    <row r="21" spans="1:14" s="4" customFormat="1" ht="223.5" customHeight="1">
      <c r="A21" s="550"/>
      <c r="B21" s="319"/>
      <c r="C21" s="309"/>
      <c r="D21" s="309"/>
      <c r="E21" s="309"/>
      <c r="F21" s="645"/>
      <c r="G21" s="319"/>
      <c r="H21" s="5"/>
      <c r="I21" s="246" t="s">
        <v>88</v>
      </c>
      <c r="J21" s="420"/>
      <c r="K21" s="5"/>
      <c r="L21" s="307" t="s">
        <v>701</v>
      </c>
      <c r="M21" s="5"/>
      <c r="N21" s="5"/>
    </row>
    <row r="22" spans="1:14" s="2" customFormat="1" ht="12.75">
      <c r="A22" s="9"/>
      <c r="B22" s="245"/>
      <c r="C22" s="676"/>
      <c r="D22" s="676"/>
      <c r="E22" s="676"/>
      <c r="F22" s="677"/>
      <c r="G22" s="143"/>
      <c r="H22" s="245"/>
      <c r="I22" s="245"/>
      <c r="J22" s="245"/>
      <c r="L22" s="305"/>
    </row>
    <row r="23" spans="1:14" s="2" customFormat="1" ht="12.75">
      <c r="A23" s="9"/>
      <c r="B23" s="9"/>
      <c r="C23" s="676"/>
      <c r="D23" s="676"/>
      <c r="E23" s="676"/>
      <c r="F23" s="677"/>
      <c r="G23" s="143"/>
      <c r="H23" s="245"/>
      <c r="I23" s="245"/>
      <c r="J23" s="245"/>
      <c r="L23" s="305"/>
    </row>
    <row r="24" spans="1:14" s="2" customFormat="1" ht="12.75">
      <c r="A24" s="9"/>
      <c r="B24" s="9"/>
      <c r="C24" s="676"/>
      <c r="D24" s="676"/>
      <c r="E24" s="676"/>
      <c r="F24" s="677"/>
      <c r="G24" s="143"/>
      <c r="H24" s="245"/>
      <c r="I24" s="245"/>
      <c r="J24" s="245"/>
      <c r="L24" s="305"/>
    </row>
    <row r="25" spans="1:14" s="2" customFormat="1" ht="12.75">
      <c r="A25" s="9"/>
      <c r="B25" s="9"/>
      <c r="C25" s="676"/>
      <c r="D25" s="676"/>
      <c r="E25" s="676"/>
      <c r="F25" s="677"/>
      <c r="G25" s="143"/>
      <c r="H25" s="245"/>
      <c r="I25" s="245"/>
      <c r="J25" s="245"/>
      <c r="L25" s="305"/>
    </row>
    <row r="26" spans="1:14" s="2" customFormat="1" ht="12.75">
      <c r="A26" s="9"/>
      <c r="B26" s="9"/>
      <c r="C26" s="676"/>
      <c r="D26" s="676"/>
      <c r="E26" s="676"/>
      <c r="F26" s="677"/>
      <c r="G26" s="143"/>
      <c r="H26" s="245"/>
      <c r="I26" s="245"/>
      <c r="J26" s="245"/>
      <c r="L26" s="305"/>
    </row>
    <row r="27" spans="1:14" s="2" customFormat="1" ht="12.75">
      <c r="A27" s="9"/>
      <c r="B27" s="9"/>
      <c r="C27" s="676"/>
      <c r="D27" s="676"/>
      <c r="E27" s="676"/>
      <c r="F27" s="677"/>
      <c r="G27" s="143"/>
      <c r="H27" s="245"/>
      <c r="I27" s="245"/>
      <c r="J27" s="245"/>
      <c r="L27" s="305"/>
    </row>
    <row r="28" spans="1:14" s="2" customFormat="1" ht="12.75">
      <c r="A28" s="9"/>
      <c r="B28" s="9"/>
      <c r="C28" s="676"/>
      <c r="D28" s="676"/>
      <c r="E28" s="676"/>
      <c r="F28" s="677"/>
      <c r="G28" s="143"/>
      <c r="H28" s="245"/>
      <c r="I28" s="245"/>
      <c r="J28" s="245"/>
      <c r="L28" s="305"/>
    </row>
    <row r="29" spans="1:14">
      <c r="C29" s="676"/>
      <c r="D29" s="676"/>
      <c r="E29" s="676"/>
      <c r="F29" s="677"/>
    </row>
    <row r="30" spans="1:14">
      <c r="C30" s="676"/>
      <c r="D30" s="676"/>
      <c r="E30" s="676"/>
      <c r="F30" s="677"/>
    </row>
    <row r="31" spans="1:14">
      <c r="C31" s="676"/>
      <c r="D31" s="676"/>
      <c r="E31" s="676"/>
      <c r="F31" s="677"/>
    </row>
    <row r="32" spans="1:14">
      <c r="A32" s="1"/>
      <c r="B32" s="1"/>
      <c r="C32" s="678"/>
      <c r="D32" s="678"/>
      <c r="E32" s="678"/>
      <c r="F32" s="677"/>
    </row>
    <row r="33" spans="1:10">
      <c r="A33" s="1"/>
      <c r="B33" s="1"/>
      <c r="C33" s="678"/>
      <c r="D33" s="678"/>
      <c r="E33" s="678"/>
      <c r="F33" s="677"/>
    </row>
    <row r="34" spans="1:10">
      <c r="A34" s="1"/>
      <c r="B34" s="1"/>
      <c r="C34" s="678"/>
      <c r="D34" s="678"/>
      <c r="E34" s="678"/>
      <c r="F34" s="677"/>
    </row>
    <row r="35" spans="1:10">
      <c r="A35" s="1"/>
      <c r="B35" s="1"/>
      <c r="C35" s="678"/>
      <c r="D35" s="678"/>
      <c r="E35" s="678"/>
      <c r="F35" s="677"/>
    </row>
    <row r="36" spans="1:10">
      <c r="A36" s="1"/>
      <c r="B36" s="1"/>
      <c r="C36" s="678"/>
      <c r="D36" s="678"/>
      <c r="E36" s="678"/>
      <c r="F36" s="677"/>
    </row>
    <row r="37" spans="1:10">
      <c r="A37" s="1"/>
      <c r="B37" s="1"/>
      <c r="C37" s="678"/>
      <c r="D37" s="678"/>
      <c r="E37" s="678"/>
      <c r="F37" s="677"/>
    </row>
    <row r="38" spans="1:10">
      <c r="A38" s="1"/>
      <c r="B38" s="1"/>
      <c r="C38" s="678"/>
      <c r="D38" s="678"/>
      <c r="E38" s="678"/>
      <c r="F38" s="677"/>
    </row>
    <row r="39" spans="1:10">
      <c r="A39" s="1"/>
      <c r="B39" s="1"/>
      <c r="C39" s="678"/>
      <c r="D39" s="678"/>
      <c r="E39" s="678"/>
      <c r="F39" s="677"/>
    </row>
    <row r="40" spans="1:10">
      <c r="A40" s="1"/>
      <c r="B40" s="1"/>
      <c r="C40" s="678"/>
      <c r="D40" s="678"/>
      <c r="E40" s="678"/>
      <c r="F40" s="677"/>
    </row>
    <row r="41" spans="1:10">
      <c r="A41" s="1"/>
      <c r="B41" s="1"/>
      <c r="C41" s="678"/>
      <c r="D41" s="678"/>
      <c r="E41" s="678"/>
      <c r="F41" s="677"/>
    </row>
    <row r="42" spans="1:10">
      <c r="A42" s="1"/>
      <c r="B42" s="1"/>
      <c r="C42" s="678"/>
      <c r="D42" s="678"/>
      <c r="E42" s="678"/>
      <c r="F42" s="677"/>
    </row>
    <row r="43" spans="1:10">
      <c r="A43" s="1"/>
      <c r="B43" s="1"/>
      <c r="C43" s="678"/>
      <c r="D43" s="678"/>
      <c r="E43" s="678"/>
      <c r="F43" s="677"/>
    </row>
    <row r="44" spans="1:10">
      <c r="A44" s="1"/>
      <c r="B44" s="1"/>
      <c r="C44" s="678"/>
      <c r="D44" s="678"/>
      <c r="E44" s="678"/>
      <c r="F44" s="677"/>
    </row>
    <row r="45" spans="1:10">
      <c r="A45" s="1"/>
      <c r="B45" s="1"/>
      <c r="C45" s="678"/>
      <c r="D45" s="678"/>
      <c r="E45" s="678"/>
      <c r="F45" s="677"/>
    </row>
    <row r="46" spans="1:10">
      <c r="A46" s="1"/>
      <c r="B46" s="1"/>
      <c r="C46" s="678"/>
      <c r="D46" s="678"/>
      <c r="E46" s="678"/>
      <c r="F46" s="677"/>
    </row>
    <row r="47" spans="1:10">
      <c r="A47" s="1"/>
      <c r="B47" s="1"/>
      <c r="C47" s="678"/>
      <c r="D47" s="678"/>
      <c r="E47" s="678"/>
      <c r="F47" s="677"/>
    </row>
    <row r="48" spans="1:10">
      <c r="A48" s="1"/>
      <c r="B48" s="1"/>
      <c r="C48" s="678"/>
      <c r="D48" s="678"/>
      <c r="E48" s="678"/>
      <c r="F48" s="679"/>
      <c r="G48" s="1"/>
      <c r="H48" s="1"/>
      <c r="I48" s="1"/>
      <c r="J48" s="1"/>
    </row>
    <row r="49" spans="1:10">
      <c r="A49" s="1"/>
      <c r="B49" s="1"/>
      <c r="C49" s="302"/>
      <c r="D49" s="302"/>
      <c r="E49" s="302"/>
      <c r="F49" s="1"/>
      <c r="G49" s="1"/>
      <c r="H49" s="1"/>
      <c r="I49" s="1"/>
      <c r="J49" s="1"/>
    </row>
    <row r="50" spans="1:10">
      <c r="A50" s="1"/>
      <c r="B50" s="1"/>
      <c r="C50" s="302"/>
      <c r="D50" s="302"/>
      <c r="E50" s="302"/>
      <c r="F50" s="1"/>
      <c r="G50" s="1"/>
      <c r="H50" s="1"/>
      <c r="I50" s="1"/>
      <c r="J50" s="1"/>
    </row>
    <row r="51" spans="1:10">
      <c r="A51" s="1"/>
      <c r="B51" s="1"/>
      <c r="C51" s="302"/>
      <c r="D51" s="302"/>
      <c r="E51" s="302"/>
      <c r="F51" s="1"/>
      <c r="G51" s="1"/>
      <c r="H51" s="1"/>
      <c r="I51" s="1"/>
      <c r="J51" s="1"/>
    </row>
    <row r="52" spans="1:10">
      <c r="A52" s="1"/>
      <c r="B52" s="1"/>
      <c r="C52" s="302"/>
      <c r="D52" s="302"/>
      <c r="E52" s="302"/>
      <c r="F52" s="1"/>
      <c r="G52" s="1"/>
      <c r="H52" s="1"/>
      <c r="I52" s="1"/>
      <c r="J52" s="1"/>
    </row>
    <row r="53" spans="1:10">
      <c r="A53" s="1"/>
      <c r="B53" s="1"/>
      <c r="C53" s="302"/>
      <c r="D53" s="302"/>
      <c r="E53" s="302"/>
      <c r="F53" s="1"/>
      <c r="G53" s="1"/>
      <c r="H53" s="1"/>
      <c r="I53" s="1"/>
      <c r="J53" s="1"/>
    </row>
    <row r="54" spans="1:10">
      <c r="A54" s="1"/>
      <c r="B54" s="1"/>
      <c r="C54" s="302"/>
      <c r="D54" s="302"/>
      <c r="E54" s="302"/>
      <c r="F54" s="1"/>
      <c r="G54" s="1"/>
      <c r="H54" s="1"/>
      <c r="I54" s="1"/>
      <c r="J54" s="1"/>
    </row>
  </sheetData>
  <mergeCells count="27">
    <mergeCell ref="J9:J21"/>
    <mergeCell ref="A9:A21"/>
    <mergeCell ref="B9:B14"/>
    <mergeCell ref="B15:B17"/>
    <mergeCell ref="B20:B21"/>
    <mergeCell ref="B18:B19"/>
    <mergeCell ref="F9:F14"/>
    <mergeCell ref="G9:G14"/>
    <mergeCell ref="F15:F17"/>
    <mergeCell ref="G15:G17"/>
    <mergeCell ref="F18:F19"/>
    <mergeCell ref="G18:G19"/>
    <mergeCell ref="G20:G21"/>
    <mergeCell ref="F20:F21"/>
    <mergeCell ref="K6:N7"/>
    <mergeCell ref="A1:N1"/>
    <mergeCell ref="A2:N2"/>
    <mergeCell ref="A3:N3"/>
    <mergeCell ref="A4:N4"/>
    <mergeCell ref="A5:N5"/>
    <mergeCell ref="G6:G8"/>
    <mergeCell ref="H6:H8"/>
    <mergeCell ref="F6:F8"/>
    <mergeCell ref="I6:I8"/>
    <mergeCell ref="J6:J8"/>
    <mergeCell ref="A6:A8"/>
    <mergeCell ref="B6:E7"/>
  </mergeCells>
  <phoneticPr fontId="2" type="noConversion"/>
  <pageMargins left="0.25" right="0.25" top="0.75" bottom="0.75" header="0.3" footer="0.3"/>
  <pageSetup orientation="portrait" horizontalDpi="4294967292" vertic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3</vt:i4>
      </vt:variant>
    </vt:vector>
  </HeadingPairs>
  <TitlesOfParts>
    <vt:vector size="12" baseType="lpstr">
      <vt:lpstr>Formato metas </vt:lpstr>
      <vt:lpstr>hermes</vt:lpstr>
      <vt:lpstr>1.4</vt:lpstr>
      <vt:lpstr>Por año</vt:lpstr>
      <vt:lpstr>Matriz de seguimiento</vt:lpstr>
      <vt:lpstr>PRES 1</vt:lpstr>
      <vt:lpstr>PRES 2</vt:lpstr>
      <vt:lpstr>MATRIZ PLAN DE ACCIÓN HERMES</vt:lpstr>
      <vt:lpstr>MATRIZ DETALLADA PLAN DE ACCIÓN</vt:lpstr>
      <vt:lpstr>'Formato metas '!Área_de_impresión</vt:lpstr>
      <vt:lpstr>'Formato metas '!Títulos_a_imprimir</vt:lpstr>
      <vt:lpstr>'MATRIZ DETALLADA PLAN DE ACCIÓN'!Títulos_a_imprimir</vt:lpstr>
    </vt:vector>
  </TitlesOfParts>
  <Company>un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dc:creator>
  <cp:lastModifiedBy>USUARIO</cp:lastModifiedBy>
  <cp:lastPrinted>2009-10-27T20:36:38Z</cp:lastPrinted>
  <dcterms:created xsi:type="dcterms:W3CDTF">2006-10-25T16:09:17Z</dcterms:created>
  <dcterms:modified xsi:type="dcterms:W3CDTF">2014-06-03T20:16:50Z</dcterms:modified>
</cp:coreProperties>
</file>