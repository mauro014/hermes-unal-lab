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Vicerrectoria de Inv\Sistema Hermes\Internacionalización y eventos\"/>
    </mc:Choice>
  </mc:AlternateContent>
  <bookViews>
    <workbookView xWindow="0" yWindow="0" windowWidth="25200" windowHeight="11985"/>
  </bookViews>
  <sheets>
    <sheet name="Hoja1" sheetId="1" r:id="rId1"/>
    <sheet name="Hoja3" sheetId="3" r:id="rId2"/>
  </sheets>
  <definedNames>
    <definedName name="_GoBack" localSheetId="0">Hoja1!$A$2</definedName>
  </definedNames>
  <calcPr calcId="152511"/>
</workbook>
</file>

<file path=xl/calcChain.xml><?xml version="1.0" encoding="utf-8"?>
<calcChain xmlns="http://schemas.openxmlformats.org/spreadsheetml/2006/main">
  <c r="B32" i="1" l="1"/>
  <c r="C27" i="1" l="1"/>
  <c r="E27" i="1" s="1"/>
  <c r="C18" i="1"/>
  <c r="C22" i="1"/>
  <c r="C15" i="1"/>
  <c r="C9" i="1"/>
  <c r="E9" i="1" s="1"/>
  <c r="C4" i="1"/>
  <c r="E4" i="1" s="1"/>
  <c r="E14" i="1" l="1"/>
  <c r="E32" i="1" s="1"/>
  <c r="F39" i="1" s="1"/>
  <c r="F47" i="1" l="1"/>
  <c r="F49" i="1"/>
  <c r="F46" i="1"/>
  <c r="F48" i="1"/>
  <c r="F41" i="1"/>
  <c r="F44" i="1"/>
  <c r="F38" i="1"/>
  <c r="F43" i="1"/>
  <c r="F37" i="1"/>
  <c r="F42" i="1"/>
  <c r="F36" i="1"/>
</calcChain>
</file>

<file path=xl/sharedStrings.xml><?xml version="1.0" encoding="utf-8"?>
<sst xmlns="http://schemas.openxmlformats.org/spreadsheetml/2006/main" count="43" uniqueCount="43">
  <si>
    <t>a.  No tiene financiación de ninguna instancia interna, ni externa, y no habrá  búsqueda de recursos externos</t>
  </si>
  <si>
    <t>b.  Tiene financiación de alguna instancia interna o externa (pero no de los dos tipos de fuentes)</t>
  </si>
  <si>
    <t>c. Tiene financiación de alguna instancia interna. También posee financiación externa o hay compromiso de búsqueda de recursos externos</t>
  </si>
  <si>
    <t xml:space="preserve">a. De 1 a 50 participantes </t>
  </si>
  <si>
    <t>a. Nacionales Externos a la UN</t>
  </si>
  <si>
    <t>Hasta 2 conferencistas</t>
  </si>
  <si>
    <t>Más de 2 conferencistas</t>
  </si>
  <si>
    <t>b. Nacionales vinculados a la UN</t>
  </si>
  <si>
    <t>Hasta 2 conferencistas de diferentes sedes de la UN</t>
  </si>
  <si>
    <t>Mas de 2 conferencistas de diferentes sedes de la UN</t>
  </si>
  <si>
    <t>c. Internacionales</t>
  </si>
  <si>
    <t>1 conferencista</t>
  </si>
  <si>
    <t xml:space="preserve">2 conferencistas </t>
  </si>
  <si>
    <t xml:space="preserve">Mas de 2 conferencistas  </t>
  </si>
  <si>
    <t>Si las inscripciones a estudiantes se cobran</t>
  </si>
  <si>
    <t>PUNTAJE</t>
  </si>
  <si>
    <t>PESOS FIJOS</t>
  </si>
  <si>
    <t>EVALUACIÓN</t>
  </si>
  <si>
    <t xml:space="preserve">CONVOCATORIA  NACIONAL FORTALECIMIENTO A LA VISIBILIDAD DE LA PRODUCCIÓN ACEDÉMICA MEDIANTE EL  APOYO A LA ORGANIZACIÓN DE </t>
  </si>
  <si>
    <t>FORMATO EVALUACIÓN</t>
  </si>
  <si>
    <t>2. Número estimado de asistentes al evento</t>
  </si>
  <si>
    <t>1. Aportes económicos de proyectos propios, de la Sede, de la  Facultad o UBA, o entidades externas</t>
  </si>
  <si>
    <t>3. Número de Conferencista y procedencia (local- nacional- internacional)</t>
  </si>
  <si>
    <t>4. Participación gratuita o a bajo costo de Estudiantes</t>
  </si>
  <si>
    <t>MÁXIMO</t>
  </si>
  <si>
    <t>EVALUACIÓN NORMAL</t>
  </si>
  <si>
    <t>INTERNACIONAL</t>
  </si>
  <si>
    <t>NACIONAL</t>
  </si>
  <si>
    <t>LOCAL</t>
  </si>
  <si>
    <t>CARÁCTER DEL EVENTO</t>
  </si>
  <si>
    <t>MONTO</t>
  </si>
  <si>
    <t>RANGOS INFERIOR</t>
  </si>
  <si>
    <t>RANGOS SUPERIOR</t>
  </si>
  <si>
    <t>VALOR A FINANCIAR</t>
  </si>
  <si>
    <t>No tiene</t>
  </si>
  <si>
    <t>Conferencistas de la misma sede</t>
  </si>
  <si>
    <t>b. De 50 a 200 participantes</t>
  </si>
  <si>
    <t>d. De 200 en adelante</t>
  </si>
  <si>
    <t xml:space="preserve">Grátis ó descuento superior al 50% </t>
  </si>
  <si>
    <t>Si las inscripciones a estudiantes se cobran con descuento(20%-50%)</t>
  </si>
  <si>
    <t>VALOR SOLICITADO</t>
  </si>
  <si>
    <t>VALOR TOTAL DEL EVENTO</t>
  </si>
  <si>
    <t>VALOR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</si>
</sst>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4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1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/>
    </xf>
    <xf numFmtId="0" fontId="0" fillId="0" borderId="0" xfId="0" applyBorder="1"/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vertical="top" wrapText="1"/>
    </xf>
    <xf numFmtId="0" fontId="4" fillId="0" borderId="6" xfId="0" applyFont="1" applyBorder="1"/>
    <xf numFmtId="0" fontId="0" fillId="0" borderId="6" xfId="0" applyBorder="1"/>
    <xf numFmtId="0" fontId="4" fillId="0" borderId="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6" xfId="0" applyFont="1" applyBorder="1"/>
    <xf numFmtId="0" fontId="0" fillId="5" borderId="0" xfId="0" applyFill="1" applyBorder="1"/>
    <xf numFmtId="0" fontId="3" fillId="5" borderId="8" xfId="0" applyFont="1" applyFill="1" applyBorder="1" applyAlignment="1">
      <alignment horizontal="center" vertical="top" wrapText="1"/>
    </xf>
    <xf numFmtId="0" fontId="5" fillId="6" borderId="12" xfId="0" applyFont="1" applyFill="1" applyBorder="1" applyAlignment="1">
      <alignment horizontal="center"/>
    </xf>
    <xf numFmtId="0" fontId="2" fillId="0" borderId="2" xfId="0" applyFont="1" applyBorder="1"/>
    <xf numFmtId="0" fontId="3" fillId="2" borderId="13" xfId="0" applyFont="1" applyFill="1" applyBorder="1" applyAlignment="1">
      <alignment horizontal="center" vertical="top" wrapText="1"/>
    </xf>
    <xf numFmtId="0" fontId="7" fillId="0" borderId="2" xfId="1" applyBorder="1"/>
    <xf numFmtId="0" fontId="2" fillId="3" borderId="2" xfId="0" applyFont="1" applyFill="1" applyBorder="1" applyAlignment="1">
      <alignment horizontal="center"/>
    </xf>
    <xf numFmtId="0" fontId="0" fillId="0" borderId="2" xfId="0" applyBorder="1"/>
    <xf numFmtId="0" fontId="8" fillId="0" borderId="2" xfId="1" applyFont="1" applyBorder="1"/>
    <xf numFmtId="0" fontId="7" fillId="0" borderId="0" xfId="1" applyFill="1" applyBorder="1"/>
    <xf numFmtId="0" fontId="5" fillId="5" borderId="12" xfId="0" applyFont="1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Fill="1"/>
    <xf numFmtId="164" fontId="5" fillId="5" borderId="12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8" fillId="0" borderId="17" xfId="1" applyFont="1" applyBorder="1"/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selection activeCell="A5" sqref="A5"/>
    </sheetView>
  </sheetViews>
  <sheetFormatPr baseColWidth="10" defaultRowHeight="15" x14ac:dyDescent="0.25"/>
  <cols>
    <col min="1" max="1" width="108.140625" customWidth="1"/>
    <col min="2" max="2" width="24.85546875" customWidth="1"/>
    <col min="3" max="3" width="21.5703125" customWidth="1"/>
    <col min="4" max="4" width="18.28515625" customWidth="1"/>
    <col min="5" max="5" width="27.85546875" bestFit="1" customWidth="1"/>
    <col min="6" max="6" width="34.140625" customWidth="1"/>
    <col min="7" max="7" width="24.85546875" customWidth="1"/>
    <col min="8" max="8" width="24.28515625" customWidth="1"/>
    <col min="9" max="9" width="30.5703125" bestFit="1" customWidth="1"/>
    <col min="10" max="10" width="28.85546875" bestFit="1" customWidth="1"/>
  </cols>
  <sheetData>
    <row r="1" spans="1:5" x14ac:dyDescent="0.25">
      <c r="A1" s="44" t="s">
        <v>18</v>
      </c>
      <c r="B1" s="45"/>
      <c r="C1" s="45"/>
      <c r="D1" s="45"/>
      <c r="E1" s="46"/>
    </row>
    <row r="2" spans="1:5" ht="15.75" thickBot="1" x14ac:dyDescent="0.3">
      <c r="A2" s="47"/>
      <c r="B2" s="48"/>
      <c r="C2" s="48"/>
      <c r="D2" s="48"/>
      <c r="E2" s="49"/>
    </row>
    <row r="3" spans="1:5" ht="15.75" thickBot="1" x14ac:dyDescent="0.3">
      <c r="A3" s="3" t="s">
        <v>19</v>
      </c>
      <c r="B3" s="1" t="s">
        <v>16</v>
      </c>
      <c r="C3" s="18" t="s">
        <v>24</v>
      </c>
      <c r="D3" s="15" t="s">
        <v>17</v>
      </c>
      <c r="E3" s="5" t="s">
        <v>15</v>
      </c>
    </row>
    <row r="4" spans="1:5" ht="19.5" thickBot="1" x14ac:dyDescent="0.35">
      <c r="A4" s="6" t="s">
        <v>21</v>
      </c>
      <c r="B4" s="28">
        <v>25</v>
      </c>
      <c r="C4" s="28">
        <f>MAX(B5:B7)</f>
        <v>25</v>
      </c>
      <c r="D4" s="29"/>
      <c r="E4" s="30">
        <f>((D5+D6+D7)*B4)/(C4)</f>
        <v>0</v>
      </c>
    </row>
    <row r="5" spans="1:5" x14ac:dyDescent="0.25">
      <c r="A5" s="13" t="s">
        <v>0</v>
      </c>
      <c r="B5" s="31">
        <v>10</v>
      </c>
      <c r="C5" s="31"/>
      <c r="D5" s="29">
        <v>0</v>
      </c>
      <c r="E5" s="32"/>
    </row>
    <row r="6" spans="1:5" x14ac:dyDescent="0.25">
      <c r="A6" s="13" t="s">
        <v>1</v>
      </c>
      <c r="B6" s="31">
        <v>15</v>
      </c>
      <c r="C6" s="31"/>
      <c r="D6" s="29">
        <v>0</v>
      </c>
      <c r="E6" s="32"/>
    </row>
    <row r="7" spans="1:5" x14ac:dyDescent="0.25">
      <c r="A7" s="13" t="s">
        <v>2</v>
      </c>
      <c r="B7" s="31">
        <v>25</v>
      </c>
      <c r="C7" s="31"/>
      <c r="D7" s="29">
        <v>0</v>
      </c>
      <c r="E7" s="32"/>
    </row>
    <row r="8" spans="1:5" ht="15.75" thickBot="1" x14ac:dyDescent="0.3">
      <c r="A8" s="8"/>
      <c r="B8" s="31"/>
      <c r="C8" s="31"/>
      <c r="D8" s="29"/>
      <c r="E8" s="32"/>
    </row>
    <row r="9" spans="1:5" ht="19.5" thickBot="1" x14ac:dyDescent="0.35">
      <c r="A9" s="6" t="s">
        <v>20</v>
      </c>
      <c r="B9" s="28">
        <v>25</v>
      </c>
      <c r="C9" s="28">
        <f>MAX(B10:B12)</f>
        <v>25</v>
      </c>
      <c r="D9" s="29"/>
      <c r="E9" s="30">
        <f>((D10+D11+D12)*B9)/(C9)</f>
        <v>0</v>
      </c>
    </row>
    <row r="10" spans="1:5" x14ac:dyDescent="0.25">
      <c r="A10" s="13" t="s">
        <v>3</v>
      </c>
      <c r="B10" s="31">
        <v>15</v>
      </c>
      <c r="C10" s="31"/>
      <c r="D10" s="29">
        <v>0</v>
      </c>
      <c r="E10" s="32"/>
    </row>
    <row r="11" spans="1:5" x14ac:dyDescent="0.25">
      <c r="A11" s="13" t="s">
        <v>36</v>
      </c>
      <c r="B11" s="31">
        <v>20</v>
      </c>
      <c r="C11" s="31"/>
      <c r="D11" s="29">
        <v>0</v>
      </c>
      <c r="E11" s="32"/>
    </row>
    <row r="12" spans="1:5" x14ac:dyDescent="0.25">
      <c r="A12" s="13" t="s">
        <v>37</v>
      </c>
      <c r="B12" s="31">
        <v>25</v>
      </c>
      <c r="C12" s="31"/>
      <c r="D12" s="29">
        <v>0</v>
      </c>
      <c r="E12" s="32"/>
    </row>
    <row r="13" spans="1:5" ht="15.75" thickBot="1" x14ac:dyDescent="0.3">
      <c r="A13" s="8"/>
      <c r="B13" s="31"/>
      <c r="C13" s="31"/>
      <c r="D13" s="29"/>
      <c r="E13" s="32"/>
    </row>
    <row r="14" spans="1:5" ht="19.5" thickBot="1" x14ac:dyDescent="0.35">
      <c r="A14" s="6" t="s">
        <v>22</v>
      </c>
      <c r="B14" s="28">
        <v>25</v>
      </c>
      <c r="C14" s="28"/>
      <c r="D14" s="29"/>
      <c r="E14" s="30">
        <f>((D16+D17+D19+D20+D21+D23+D24+D25+D26)*B14)/(C15+C18+C22)</f>
        <v>0</v>
      </c>
    </row>
    <row r="15" spans="1:5" ht="18.75" x14ac:dyDescent="0.3">
      <c r="A15" s="13" t="s">
        <v>4</v>
      </c>
      <c r="B15" s="33"/>
      <c r="C15" s="28">
        <f>MAX(B16:B17)</f>
        <v>8</v>
      </c>
      <c r="D15" s="34"/>
      <c r="E15" s="32"/>
    </row>
    <row r="16" spans="1:5" x14ac:dyDescent="0.25">
      <c r="A16" s="9" t="s">
        <v>5</v>
      </c>
      <c r="B16" s="31">
        <v>6</v>
      </c>
      <c r="C16" s="31"/>
      <c r="D16" s="29">
        <v>0</v>
      </c>
      <c r="E16" s="32"/>
    </row>
    <row r="17" spans="1:8" x14ac:dyDescent="0.25">
      <c r="A17" s="9" t="s">
        <v>6</v>
      </c>
      <c r="B17" s="31">
        <v>8</v>
      </c>
      <c r="C17" s="31"/>
      <c r="D17" s="29">
        <v>0</v>
      </c>
      <c r="E17" s="32"/>
    </row>
    <row r="18" spans="1:8" ht="18.75" x14ac:dyDescent="0.3">
      <c r="A18" s="13" t="s">
        <v>7</v>
      </c>
      <c r="B18" s="33"/>
      <c r="C18" s="28">
        <f>MAX(B19,B20:B21)</f>
        <v>8</v>
      </c>
      <c r="D18" s="34"/>
      <c r="E18" s="32"/>
    </row>
    <row r="19" spans="1:8" s="26" customFormat="1" ht="14.25" customHeight="1" x14ac:dyDescent="0.3">
      <c r="A19" s="25" t="s">
        <v>35</v>
      </c>
      <c r="B19" s="35">
        <v>5</v>
      </c>
      <c r="C19" s="36"/>
      <c r="D19" s="34">
        <v>0</v>
      </c>
      <c r="E19" s="37"/>
    </row>
    <row r="20" spans="1:8" x14ac:dyDescent="0.25">
      <c r="A20" s="9" t="s">
        <v>8</v>
      </c>
      <c r="B20" s="31">
        <v>6</v>
      </c>
      <c r="C20" s="31"/>
      <c r="D20" s="29">
        <v>0</v>
      </c>
      <c r="E20" s="32"/>
    </row>
    <row r="21" spans="1:8" x14ac:dyDescent="0.25">
      <c r="A21" s="9" t="s">
        <v>9</v>
      </c>
      <c r="B21" s="31">
        <v>8</v>
      </c>
      <c r="C21" s="31"/>
      <c r="D21" s="29">
        <v>0</v>
      </c>
      <c r="E21" s="32"/>
    </row>
    <row r="22" spans="1:8" ht="18.75" x14ac:dyDescent="0.3">
      <c r="A22" s="13" t="s">
        <v>10</v>
      </c>
      <c r="B22" s="33"/>
      <c r="C22" s="28">
        <f>MAX(B23:B26)</f>
        <v>9</v>
      </c>
      <c r="D22" s="34"/>
      <c r="E22" s="32"/>
    </row>
    <row r="23" spans="1:8" x14ac:dyDescent="0.25">
      <c r="A23" s="9" t="s">
        <v>11</v>
      </c>
      <c r="B23" s="31">
        <v>6</v>
      </c>
      <c r="C23" s="31"/>
      <c r="D23" s="29">
        <v>0</v>
      </c>
      <c r="E23" s="32"/>
    </row>
    <row r="24" spans="1:8" x14ac:dyDescent="0.25">
      <c r="A24" s="9" t="s">
        <v>12</v>
      </c>
      <c r="B24" s="31">
        <v>8</v>
      </c>
      <c r="C24" s="31"/>
      <c r="D24" s="29">
        <v>0</v>
      </c>
      <c r="E24" s="32"/>
    </row>
    <row r="25" spans="1:8" x14ac:dyDescent="0.25">
      <c r="A25" s="9" t="s">
        <v>13</v>
      </c>
      <c r="B25" s="31">
        <v>9</v>
      </c>
      <c r="C25" s="31"/>
      <c r="D25" s="29">
        <v>0</v>
      </c>
      <c r="E25" s="32"/>
    </row>
    <row r="26" spans="1:8" ht="15.75" thickBot="1" x14ac:dyDescent="0.3">
      <c r="A26" s="25" t="s">
        <v>34</v>
      </c>
      <c r="B26" s="38">
        <v>5</v>
      </c>
      <c r="C26" s="31"/>
      <c r="D26" s="29">
        <v>0</v>
      </c>
      <c r="E26" s="32"/>
    </row>
    <row r="27" spans="1:8" ht="19.5" thickBot="1" x14ac:dyDescent="0.35">
      <c r="A27" s="6" t="s">
        <v>23</v>
      </c>
      <c r="B27" s="28">
        <v>25</v>
      </c>
      <c r="C27" s="28">
        <f>MAX(B28:B30)</f>
        <v>25</v>
      </c>
      <c r="D27" s="29"/>
      <c r="E27" s="30">
        <f>((D28+D29+D30)*B27)/(C27)</f>
        <v>0</v>
      </c>
    </row>
    <row r="28" spans="1:8" x14ac:dyDescent="0.25">
      <c r="A28" s="7" t="s">
        <v>14</v>
      </c>
      <c r="B28" s="31">
        <v>10</v>
      </c>
      <c r="C28" s="31"/>
      <c r="D28" s="29">
        <v>0</v>
      </c>
      <c r="E28" s="32"/>
    </row>
    <row r="29" spans="1:8" x14ac:dyDescent="0.25">
      <c r="A29" s="7" t="s">
        <v>39</v>
      </c>
      <c r="B29" s="31">
        <v>18</v>
      </c>
      <c r="C29" s="31"/>
      <c r="D29" s="29">
        <v>0</v>
      </c>
      <c r="E29" s="32"/>
    </row>
    <row r="30" spans="1:8" x14ac:dyDescent="0.25">
      <c r="A30" s="7" t="s">
        <v>38</v>
      </c>
      <c r="B30" s="38">
        <v>25</v>
      </c>
      <c r="C30" s="31"/>
      <c r="D30" s="29">
        <v>0</v>
      </c>
      <c r="E30" s="32"/>
    </row>
    <row r="31" spans="1:8" ht="19.5" thickBot="1" x14ac:dyDescent="0.35">
      <c r="A31" s="8"/>
      <c r="B31" s="4"/>
      <c r="C31" s="4"/>
      <c r="D31" s="14"/>
      <c r="E31" s="16" t="s">
        <v>25</v>
      </c>
      <c r="F31" s="24" t="s">
        <v>41</v>
      </c>
      <c r="G31" s="24" t="s">
        <v>40</v>
      </c>
      <c r="H31" s="24" t="s">
        <v>42</v>
      </c>
    </row>
    <row r="32" spans="1:8" ht="19.5" thickBot="1" x14ac:dyDescent="0.35">
      <c r="A32" s="8"/>
      <c r="B32" s="39">
        <f>B27+B14+B9+B4</f>
        <v>100</v>
      </c>
      <c r="C32" s="2"/>
      <c r="D32" s="14"/>
      <c r="E32" s="16">
        <f>E27+E14+E9+E4</f>
        <v>0</v>
      </c>
      <c r="F32" s="27">
        <v>0</v>
      </c>
      <c r="G32" s="27">
        <v>0</v>
      </c>
      <c r="H32" s="27">
        <v>0</v>
      </c>
    </row>
    <row r="33" spans="1:6" x14ac:dyDescent="0.25">
      <c r="A33" s="10"/>
      <c r="B33" s="11"/>
      <c r="C33" s="11"/>
      <c r="D33" s="12"/>
      <c r="E33" s="12"/>
    </row>
    <row r="35" spans="1:6" x14ac:dyDescent="0.25">
      <c r="B35" s="20" t="s">
        <v>29</v>
      </c>
      <c r="C35" s="20" t="s">
        <v>31</v>
      </c>
      <c r="D35" s="20" t="s">
        <v>32</v>
      </c>
      <c r="E35" s="20" t="s">
        <v>30</v>
      </c>
      <c r="F35" s="20" t="s">
        <v>33</v>
      </c>
    </row>
    <row r="36" spans="1:6" x14ac:dyDescent="0.25">
      <c r="B36" s="50" t="s">
        <v>26</v>
      </c>
      <c r="C36" s="41">
        <v>98</v>
      </c>
      <c r="D36" s="41">
        <v>100</v>
      </c>
      <c r="E36" s="41">
        <v>20000000</v>
      </c>
      <c r="F36" s="42">
        <f>IF($E$32&gt;=C36,IF($E$32&lt;=D36,E36,0),0)</f>
        <v>0</v>
      </c>
    </row>
    <row r="37" spans="1:6" x14ac:dyDescent="0.25">
      <c r="B37" s="51"/>
      <c r="C37" s="41">
        <v>88</v>
      </c>
      <c r="D37" s="41">
        <v>97</v>
      </c>
      <c r="E37" s="40">
        <v>15000000</v>
      </c>
      <c r="F37" s="42">
        <f t="shared" ref="F37:F49" si="0">IF($E$32&gt;=C37,IF($E$32&lt;=D37,E37,0),0)</f>
        <v>0</v>
      </c>
    </row>
    <row r="38" spans="1:6" x14ac:dyDescent="0.25">
      <c r="B38" s="51"/>
      <c r="C38" s="41">
        <v>71</v>
      </c>
      <c r="D38" s="41">
        <v>87</v>
      </c>
      <c r="E38" s="40">
        <v>13000000</v>
      </c>
      <c r="F38" s="42">
        <f t="shared" si="0"/>
        <v>0</v>
      </c>
    </row>
    <row r="39" spans="1:6" x14ac:dyDescent="0.25">
      <c r="B39" s="52"/>
      <c r="C39" s="41">
        <v>51</v>
      </c>
      <c r="D39" s="41">
        <v>70</v>
      </c>
      <c r="E39" s="41">
        <v>11000000</v>
      </c>
      <c r="F39" s="42">
        <f>IF($E$32&gt;=C39,IF($E$32&lt;=D39,E39,0),0)</f>
        <v>0</v>
      </c>
    </row>
    <row r="40" spans="1:6" x14ac:dyDescent="0.25">
      <c r="B40" s="17"/>
      <c r="C40" s="40"/>
      <c r="D40" s="40"/>
      <c r="E40" s="41"/>
      <c r="F40" s="42"/>
    </row>
    <row r="41" spans="1:6" x14ac:dyDescent="0.25">
      <c r="B41" s="50" t="s">
        <v>27</v>
      </c>
      <c r="C41" s="41">
        <v>98</v>
      </c>
      <c r="D41" s="41">
        <v>100</v>
      </c>
      <c r="E41" s="41">
        <v>10000000</v>
      </c>
      <c r="F41" s="42">
        <f t="shared" si="0"/>
        <v>0</v>
      </c>
    </row>
    <row r="42" spans="1:6" x14ac:dyDescent="0.25">
      <c r="B42" s="53"/>
      <c r="C42" s="41">
        <v>88</v>
      </c>
      <c r="D42" s="41">
        <v>97</v>
      </c>
      <c r="E42" s="40">
        <v>8000000</v>
      </c>
      <c r="F42" s="42">
        <f t="shared" si="0"/>
        <v>0</v>
      </c>
    </row>
    <row r="43" spans="1:6" x14ac:dyDescent="0.25">
      <c r="B43" s="53"/>
      <c r="C43" s="41">
        <v>71</v>
      </c>
      <c r="D43" s="41">
        <v>87</v>
      </c>
      <c r="E43" s="40">
        <v>7000000</v>
      </c>
      <c r="F43" s="42">
        <f t="shared" si="0"/>
        <v>0</v>
      </c>
    </row>
    <row r="44" spans="1:6" ht="25.5" customHeight="1" x14ac:dyDescent="0.25">
      <c r="B44" s="54"/>
      <c r="C44" s="41">
        <v>51</v>
      </c>
      <c r="D44" s="41">
        <v>70</v>
      </c>
      <c r="E44" s="41">
        <v>6000000</v>
      </c>
      <c r="F44" s="42">
        <f t="shared" si="0"/>
        <v>0</v>
      </c>
    </row>
    <row r="45" spans="1:6" x14ac:dyDescent="0.25">
      <c r="B45" s="17"/>
      <c r="C45" s="21"/>
      <c r="D45" s="21"/>
      <c r="E45" s="19"/>
      <c r="F45" s="22"/>
    </row>
    <row r="46" spans="1:6" hidden="1" x14ac:dyDescent="0.25">
      <c r="B46" s="50" t="s">
        <v>28</v>
      </c>
      <c r="C46" s="19">
        <v>98</v>
      </c>
      <c r="D46" s="19">
        <v>100</v>
      </c>
      <c r="E46" s="19">
        <v>5000000</v>
      </c>
      <c r="F46" s="43">
        <f t="shared" si="0"/>
        <v>0</v>
      </c>
    </row>
    <row r="47" spans="1:6" hidden="1" x14ac:dyDescent="0.25">
      <c r="B47" s="53"/>
      <c r="C47" s="19">
        <v>88</v>
      </c>
      <c r="D47" s="19">
        <v>97</v>
      </c>
      <c r="E47" s="19">
        <v>4000000</v>
      </c>
      <c r="F47" s="43">
        <f t="shared" si="0"/>
        <v>0</v>
      </c>
    </row>
    <row r="48" spans="1:6" hidden="1" x14ac:dyDescent="0.25">
      <c r="B48" s="53"/>
      <c r="C48" s="19">
        <v>71</v>
      </c>
      <c r="D48" s="19">
        <v>87</v>
      </c>
      <c r="E48" s="19">
        <v>3000000</v>
      </c>
      <c r="F48" s="43">
        <f t="shared" si="0"/>
        <v>0</v>
      </c>
    </row>
    <row r="49" spans="2:6" hidden="1" x14ac:dyDescent="0.25">
      <c r="B49" s="54"/>
      <c r="C49" s="19">
        <v>51</v>
      </c>
      <c r="D49" s="19">
        <v>70</v>
      </c>
      <c r="E49" s="19">
        <v>2000000</v>
      </c>
      <c r="F49" s="43">
        <f t="shared" si="0"/>
        <v>0</v>
      </c>
    </row>
    <row r="52" spans="2:6" x14ac:dyDescent="0.25">
      <c r="D52" s="23"/>
    </row>
  </sheetData>
  <mergeCells count="4">
    <mergeCell ref="A1:E2"/>
    <mergeCell ref="B36:B39"/>
    <mergeCell ref="B41:B44"/>
    <mergeCell ref="B46:B4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Hoja1!_GoBack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Hermes02</dc:creator>
  <cp:lastModifiedBy>USUARIO</cp:lastModifiedBy>
  <dcterms:created xsi:type="dcterms:W3CDTF">2011-03-23T15:24:22Z</dcterms:created>
  <dcterms:modified xsi:type="dcterms:W3CDTF">2014-03-10T21:55:20Z</dcterms:modified>
</cp:coreProperties>
</file>